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A1008サーバールーム/"/>
    </mc:Choice>
  </mc:AlternateContent>
  <xr:revisionPtr revIDLastSave="143" documentId="8_{55968814-E263-4EB0-B700-AC9B82A8222E}" xr6:coauthVersionLast="47" xr6:coauthVersionMax="47" xr10:uidLastSave="{1B800E53-BC11-4856-A596-DE6502425E6C}"/>
  <bookViews>
    <workbookView xWindow="28680" yWindow="-120" windowWidth="29040" windowHeight="15720" xr2:uid="{FF791072-F02F-42C5-B053-FBFB154BF1EE}"/>
  </bookViews>
  <sheets>
    <sheet name="使い方" sheetId="21" r:id="rId1"/>
    <sheet name="AIC14F SVR" sheetId="1" r:id="rId2"/>
    <sheet name="AIR6F HUB" sheetId="2" r:id="rId3"/>
    <sheet name="AIR7F HUB" sheetId="7" r:id="rId4"/>
    <sheet name="AIR8F HUB" sheetId="8" r:id="rId5"/>
    <sheet name="MM9F HUB" sheetId="3" r:id="rId6"/>
    <sheet name="MM10F SVR" sheetId="9" r:id="rId7"/>
    <sheet name="MM11F HUB" sheetId="10" r:id="rId8"/>
    <sheet name="Inui13F SVR" sheetId="5" r:id="rId9"/>
    <sheet name="Inui12F HUB" sheetId="11" r:id="rId10"/>
    <sheet name="Inui6F HUB" sheetId="12" r:id="rId11"/>
    <sheet name="Toriton4F HUB" sheetId="6" r:id="rId12"/>
    <sheet name="Toriton17F SVR" sheetId="13" r:id="rId13"/>
    <sheet name="AIT9F MDF" sheetId="15" r:id="rId14"/>
    <sheet name="AIT9F IDF" sheetId="16" r:id="rId15"/>
    <sheet name="AIT8F MDF" sheetId="17" r:id="rId16"/>
    <sheet name="AIT8F IDF" sheetId="18" r:id="rId17"/>
    <sheet name="kansai3F SVR" sheetId="19" r:id="rId18"/>
    <sheet name="kansai7F SVR" sheetId="20" r:id="rId19"/>
    <sheet name="更新履歴" sheetId="22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2" l="1"/>
  <c r="B15" i="22"/>
  <c r="B14" i="22"/>
  <c r="B13" i="22"/>
  <c r="B12" i="22"/>
  <c r="B11" i="22"/>
  <c r="B10" i="22"/>
  <c r="B9" i="22"/>
  <c r="B8" i="22"/>
  <c r="B7" i="22"/>
  <c r="B6" i="22"/>
  <c r="B5" i="22"/>
  <c r="B4" i="22"/>
  <c r="E39" i="20"/>
  <c r="D39" i="20"/>
  <c r="D40" i="20" s="1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D41" i="20" l="1"/>
  <c r="E40" i="20"/>
  <c r="E41" i="20" s="1"/>
  <c r="F39" i="19"/>
  <c r="E39" i="19"/>
  <c r="D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F39" i="18"/>
  <c r="E39" i="18"/>
  <c r="D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E39" i="17"/>
  <c r="D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E39" i="16"/>
  <c r="D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F39" i="15"/>
  <c r="E39" i="15"/>
  <c r="D39" i="15"/>
  <c r="D40" i="15" s="1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D40" i="18" l="1"/>
  <c r="D41" i="18" s="1"/>
  <c r="E40" i="16"/>
  <c r="E41" i="16" s="1"/>
  <c r="E40" i="15"/>
  <c r="E41" i="15" s="1"/>
  <c r="E40" i="18"/>
  <c r="E41" i="18" s="1"/>
  <c r="D40" i="16"/>
  <c r="D41" i="16" s="1"/>
  <c r="D41" i="15"/>
  <c r="D40" i="19"/>
  <c r="D41" i="19" s="1"/>
  <c r="E40" i="19"/>
  <c r="E41" i="19" s="1"/>
  <c r="F40" i="19"/>
  <c r="F41" i="19" s="1"/>
  <c r="F40" i="18"/>
  <c r="F41" i="18" s="1"/>
  <c r="D40" i="17"/>
  <c r="D41" i="17" s="1"/>
  <c r="E40" i="17"/>
  <c r="E41" i="17" s="1"/>
  <c r="F40" i="15"/>
  <c r="F41" i="15" s="1"/>
  <c r="E39" i="13"/>
  <c r="D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F39" i="6"/>
  <c r="E39" i="6"/>
  <c r="D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E40" i="12"/>
  <c r="D40" i="12"/>
  <c r="E39" i="12"/>
  <c r="D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E40" i="11"/>
  <c r="D40" i="11"/>
  <c r="E39" i="11"/>
  <c r="E41" i="11" s="1"/>
  <c r="D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G39" i="9"/>
  <c r="F39" i="9"/>
  <c r="F40" i="9" s="1"/>
  <c r="E39" i="9"/>
  <c r="E40" i="9" s="1"/>
  <c r="D39" i="9"/>
  <c r="D40" i="9" s="1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E41" i="12" l="1"/>
  <c r="D41" i="12"/>
  <c r="G40" i="9"/>
  <c r="G41" i="9" s="1"/>
  <c r="F41" i="9"/>
  <c r="D40" i="13"/>
  <c r="D41" i="13" s="1"/>
  <c r="E40" i="13"/>
  <c r="E41" i="13" s="1"/>
  <c r="D41" i="11"/>
  <c r="D41" i="9"/>
  <c r="E41" i="9"/>
  <c r="D40" i="6"/>
  <c r="D41" i="6" s="1"/>
  <c r="E40" i="6"/>
  <c r="E41" i="6" s="1"/>
  <c r="F40" i="6"/>
  <c r="F41" i="6" s="1"/>
  <c r="E39" i="10"/>
  <c r="D39" i="10"/>
  <c r="F39" i="8"/>
  <c r="E39" i="8"/>
  <c r="D39" i="8"/>
  <c r="E39" i="7"/>
  <c r="D39" i="7"/>
  <c r="F40" i="8" l="1"/>
  <c r="F41" i="8" s="1"/>
  <c r="D40" i="10"/>
  <c r="D41" i="10" s="1"/>
  <c r="E40" i="10"/>
  <c r="E41" i="10" s="1"/>
  <c r="D40" i="8"/>
  <c r="D41" i="8" s="1"/>
  <c r="E40" i="8"/>
  <c r="E41" i="8" s="1"/>
  <c r="D40" i="7"/>
  <c r="D41" i="7" s="1"/>
  <c r="E40" i="7"/>
  <c r="E41" i="7" s="1"/>
  <c r="G39" i="5"/>
  <c r="G40" i="5" l="1"/>
  <c r="G41" i="5" s="1"/>
  <c r="F39" i="5"/>
  <c r="E39" i="5"/>
  <c r="D39" i="5"/>
  <c r="F40" i="5" l="1"/>
  <c r="F41" i="5" s="1"/>
  <c r="D40" i="5"/>
  <c r="D41" i="5" s="1"/>
  <c r="E40" i="5"/>
  <c r="E41" i="5" s="1"/>
  <c r="F39" i="3"/>
  <c r="E39" i="3"/>
  <c r="D39" i="3"/>
  <c r="F39" i="2"/>
  <c r="E39" i="2"/>
  <c r="D39" i="2"/>
  <c r="E39" i="1"/>
  <c r="D39" i="1"/>
  <c r="D40" i="1" s="1"/>
  <c r="F40" i="3" l="1"/>
  <c r="F41" i="3" s="1"/>
  <c r="F40" i="2"/>
  <c r="F41" i="2"/>
  <c r="D40" i="3"/>
  <c r="D41" i="3" s="1"/>
  <c r="E40" i="3"/>
  <c r="E41" i="3" s="1"/>
  <c r="D40" i="2"/>
  <c r="D41" i="2" s="1"/>
  <c r="E40" i="2"/>
  <c r="E41" i="2" s="1"/>
  <c r="E40" i="1"/>
  <c r="E41" i="1" s="1"/>
  <c r="D41" i="1"/>
</calcChain>
</file>

<file path=xl/sharedStrings.xml><?xml version="1.0" encoding="utf-8"?>
<sst xmlns="http://schemas.openxmlformats.org/spreadsheetml/2006/main" count="772" uniqueCount="90">
  <si>
    <t>日付</t>
    <rPh sb="0" eb="2">
      <t>ヒヅケ</t>
    </rPh>
    <phoneticPr fontId="1"/>
  </si>
  <si>
    <t>14F SVR (入口奥)</t>
    <rPh sb="9" eb="11">
      <t>イリグチ</t>
    </rPh>
    <rPh sb="11" eb="12">
      <t>オク</t>
    </rPh>
    <phoneticPr fontId="1"/>
  </si>
  <si>
    <t>14F SVR (入口)</t>
    <rPh sb="9" eb="11">
      <t>イリグチ</t>
    </rPh>
    <phoneticPr fontId="1"/>
  </si>
  <si>
    <t>設定温度22℃</t>
    <rPh sb="0" eb="4">
      <t>セッテイオンド</t>
    </rPh>
    <phoneticPr fontId="1"/>
  </si>
  <si>
    <t>設定温度(℃)</t>
    <rPh sb="0" eb="4">
      <t>セッテイオンド</t>
    </rPh>
    <phoneticPr fontId="1"/>
  </si>
  <si>
    <t>判定</t>
    <rPh sb="0" eb="2">
      <t>ハンテイ</t>
    </rPh>
    <phoneticPr fontId="1"/>
  </si>
  <si>
    <t xml:space="preserve">AC-6F-01a-1　HUBルーム </t>
    <phoneticPr fontId="1"/>
  </si>
  <si>
    <t xml:space="preserve">AC-6F-01a-2　HUBルーム   </t>
    <phoneticPr fontId="1"/>
  </si>
  <si>
    <t xml:space="preserve">AC-6F-01a-3　HUBルーム   </t>
    <phoneticPr fontId="1"/>
  </si>
  <si>
    <t>サーバールーム空調設定温度作業シート(AIC)</t>
    <rPh sb="7" eb="9">
      <t>クウチョウ</t>
    </rPh>
    <rPh sb="9" eb="13">
      <t>セッテイオンド</t>
    </rPh>
    <rPh sb="13" eb="15">
      <t>サギョウ</t>
    </rPh>
    <phoneticPr fontId="1"/>
  </si>
  <si>
    <t>サーバールーム空調設定温度作業シート(AIR)</t>
    <rPh sb="7" eb="9">
      <t>クウチョウ</t>
    </rPh>
    <rPh sb="9" eb="13">
      <t>セッテイオンド</t>
    </rPh>
    <rPh sb="13" eb="15">
      <t>サギョウ</t>
    </rPh>
    <phoneticPr fontId="1"/>
  </si>
  <si>
    <t xml:space="preserve">AC-7F-01a-1　HUBルーム </t>
    <phoneticPr fontId="1"/>
  </si>
  <si>
    <t xml:space="preserve">AC-7F-01a-2　HUBルーム   </t>
    <phoneticPr fontId="1"/>
  </si>
  <si>
    <t xml:space="preserve">AC-8F-01a-1　HUBルーム </t>
    <phoneticPr fontId="1"/>
  </si>
  <si>
    <t xml:space="preserve">AC-8F-01a-2　HUBルーム   </t>
    <phoneticPr fontId="1"/>
  </si>
  <si>
    <t xml:space="preserve">AC-8F-01a-3　HUBルーム   </t>
    <phoneticPr fontId="1"/>
  </si>
  <si>
    <t>サーバールーム空調設定温度作業シート(MM)</t>
    <rPh sb="7" eb="9">
      <t>クウチョウ</t>
    </rPh>
    <rPh sb="9" eb="13">
      <t>セッテイオンド</t>
    </rPh>
    <rPh sb="13" eb="15">
      <t>サギョウ</t>
    </rPh>
    <phoneticPr fontId="1"/>
  </si>
  <si>
    <t xml:space="preserve">9F HUB室 PAC-4-1          </t>
    <phoneticPr fontId="1"/>
  </si>
  <si>
    <t>9F HUB室 PAC-4-2</t>
    <phoneticPr fontId="1"/>
  </si>
  <si>
    <t xml:space="preserve">9F HUB室 PAC-4-3 </t>
    <phoneticPr fontId="1"/>
  </si>
  <si>
    <t xml:space="preserve">10F サーバー室 5-1          </t>
    <phoneticPr fontId="1"/>
  </si>
  <si>
    <t xml:space="preserve">10F サーバー室 5-2     </t>
    <phoneticPr fontId="1"/>
  </si>
  <si>
    <t>10F サーバー室 5-3</t>
    <phoneticPr fontId="1"/>
  </si>
  <si>
    <t>10F サーバー室 5-4</t>
    <phoneticPr fontId="1"/>
  </si>
  <si>
    <t xml:space="preserve">11F HUB室　入り口側            </t>
    <phoneticPr fontId="1"/>
  </si>
  <si>
    <t xml:space="preserve">11F HUB室　奥側    </t>
    <phoneticPr fontId="1"/>
  </si>
  <si>
    <t>サーバールーム空調設定温度作業シート(Inui)</t>
    <rPh sb="7" eb="9">
      <t>クウチョウ</t>
    </rPh>
    <rPh sb="9" eb="13">
      <t>セッテイオンド</t>
    </rPh>
    <rPh sb="13" eb="15">
      <t>サギョウ</t>
    </rPh>
    <phoneticPr fontId="1"/>
  </si>
  <si>
    <t xml:space="preserve">13F C014104               </t>
    <phoneticPr fontId="1"/>
  </si>
  <si>
    <t xml:space="preserve">13F C014105     </t>
    <phoneticPr fontId="1"/>
  </si>
  <si>
    <t xml:space="preserve">13F C014106     </t>
    <phoneticPr fontId="1"/>
  </si>
  <si>
    <t xml:space="preserve">13F C014203   </t>
    <phoneticPr fontId="1"/>
  </si>
  <si>
    <t xml:space="preserve">12F ハブルーム-1 </t>
    <phoneticPr fontId="1"/>
  </si>
  <si>
    <t xml:space="preserve">6F HUBルーム①            </t>
    <phoneticPr fontId="1"/>
  </si>
  <si>
    <t xml:space="preserve">6F HUBルーム② </t>
    <phoneticPr fontId="1"/>
  </si>
  <si>
    <t xml:space="preserve">4F HUB室PAC-1-1            </t>
    <phoneticPr fontId="1"/>
  </si>
  <si>
    <t xml:space="preserve">4F HUB室PAC-1-2  </t>
    <phoneticPr fontId="1"/>
  </si>
  <si>
    <t xml:space="preserve">4F HUB室PAC-1-3    </t>
    <phoneticPr fontId="1"/>
  </si>
  <si>
    <t xml:space="preserve">17Fサーバー室1     </t>
    <phoneticPr fontId="1"/>
  </si>
  <si>
    <t>17Fサーバー室2</t>
    <phoneticPr fontId="1"/>
  </si>
  <si>
    <t>12F ハブルーム-2</t>
    <phoneticPr fontId="1"/>
  </si>
  <si>
    <t>日</t>
    <rPh sb="0" eb="1">
      <t>ニチ</t>
    </rPh>
    <phoneticPr fontId="1"/>
  </si>
  <si>
    <t>設定温度22℃以外</t>
    <rPh sb="0" eb="4">
      <t>セッテイオンド</t>
    </rPh>
    <rPh sb="7" eb="9">
      <t>イガイ</t>
    </rPh>
    <phoneticPr fontId="1"/>
  </si>
  <si>
    <t>日</t>
    <rPh sb="0" eb="1">
      <t>ニチ</t>
    </rPh>
    <phoneticPr fontId="1"/>
  </si>
  <si>
    <t>9F MDF ACP-9-5-A2</t>
    <phoneticPr fontId="1"/>
  </si>
  <si>
    <t>9F MDF ACP-9-5-A1</t>
    <phoneticPr fontId="1"/>
  </si>
  <si>
    <t>9F MDF ACP-9-5-A3</t>
    <phoneticPr fontId="1"/>
  </si>
  <si>
    <t>9F IDF ACP-9-2-A4</t>
    <phoneticPr fontId="1"/>
  </si>
  <si>
    <t>9F IDF ACP-9-2-A5</t>
    <phoneticPr fontId="1"/>
  </si>
  <si>
    <t xml:space="preserve">8F MDF ACP-8-4-A1   </t>
    <phoneticPr fontId="1"/>
  </si>
  <si>
    <t xml:space="preserve">8F MDF ACP-8-4-A2 </t>
    <phoneticPr fontId="1"/>
  </si>
  <si>
    <t>8F IDF ACP-8-5-A1</t>
    <phoneticPr fontId="1"/>
  </si>
  <si>
    <t>8F IDF ACP-8-5-A2</t>
    <phoneticPr fontId="1"/>
  </si>
  <si>
    <t>8F IDF ACP-8-6-A1</t>
    <phoneticPr fontId="1"/>
  </si>
  <si>
    <t>AIT住友不動産麻布十番ビル9F (MDF)</t>
    <phoneticPr fontId="1"/>
  </si>
  <si>
    <t>AIT住友不動産麻布十番ビル9F (IDF)</t>
    <phoneticPr fontId="1"/>
  </si>
  <si>
    <t>AIT住友不動産麻布十番ビル8F (MDF)</t>
    <phoneticPr fontId="1"/>
  </si>
  <si>
    <t>AIT住友不動産麻布十番ビル8F (IDF)</t>
    <phoneticPr fontId="1"/>
  </si>
  <si>
    <t>サーバールーム空調設定温度作業シート(AIT)</t>
    <rPh sb="7" eb="9">
      <t>クウチョウ</t>
    </rPh>
    <rPh sb="9" eb="13">
      <t>セッテイオンド</t>
    </rPh>
    <rPh sb="13" eb="15">
      <t>サギョウ</t>
    </rPh>
    <phoneticPr fontId="1"/>
  </si>
  <si>
    <t>サーバールーム空調設定温度作業シート(kansai)</t>
    <rPh sb="7" eb="9">
      <t>クウチョウ</t>
    </rPh>
    <rPh sb="9" eb="13">
      <t>セッテイオンド</t>
    </rPh>
    <rPh sb="13" eb="15">
      <t>サギョウ</t>
    </rPh>
    <phoneticPr fontId="1"/>
  </si>
  <si>
    <t>PAC-1 3Fサーバー室 奥</t>
    <phoneticPr fontId="1"/>
  </si>
  <si>
    <t>PAC-2 3Fサーバー室 中</t>
    <phoneticPr fontId="1"/>
  </si>
  <si>
    <t>PAC-3 3Fサーバー室 手前</t>
    <phoneticPr fontId="1"/>
  </si>
  <si>
    <t>赤坂インターシティ 14F (SVR)</t>
    <rPh sb="0" eb="2">
      <t>アカサカ</t>
    </rPh>
    <phoneticPr fontId="1"/>
  </si>
  <si>
    <t>赤坂インターシティ AIR 6F (HUB)</t>
    <rPh sb="0" eb="2">
      <t>アカサカ</t>
    </rPh>
    <phoneticPr fontId="1"/>
  </si>
  <si>
    <t>赤坂インターシティ AIR 7F(HUB)</t>
    <rPh sb="0" eb="2">
      <t>アカサカ</t>
    </rPh>
    <phoneticPr fontId="1"/>
  </si>
  <si>
    <t>赤坂インターシティ AIR 8F (HUB)</t>
    <rPh sb="0" eb="2">
      <t>アカサカ</t>
    </rPh>
    <phoneticPr fontId="1"/>
  </si>
  <si>
    <t>みなとらいオフィス 9F (HUB)</t>
    <phoneticPr fontId="1"/>
  </si>
  <si>
    <t>みなとらいオフィス 10F (SVR)</t>
    <phoneticPr fontId="1"/>
  </si>
  <si>
    <t>みなとらいオフィス 11F(HUB)</t>
    <phoneticPr fontId="1"/>
  </si>
  <si>
    <t>イヌイ勝どきビル 13F (SVR)</t>
    <rPh sb="3" eb="4">
      <t>カチ</t>
    </rPh>
    <phoneticPr fontId="1"/>
  </si>
  <si>
    <t>イヌイ勝どきビル 12F (HUB)</t>
    <rPh sb="3" eb="4">
      <t>カチ</t>
    </rPh>
    <phoneticPr fontId="1"/>
  </si>
  <si>
    <t>イヌイ勝どきビル 6F (HUB)</t>
    <rPh sb="3" eb="4">
      <t>カチ</t>
    </rPh>
    <phoneticPr fontId="1"/>
  </si>
  <si>
    <t>トリトンスクエア 4F (HUB)</t>
    <phoneticPr fontId="1"/>
  </si>
  <si>
    <t>トリトンスクエア 17F (SVR)</t>
    <phoneticPr fontId="1"/>
  </si>
  <si>
    <t>アクセンチュア関西オフィス3F (SVR)</t>
    <phoneticPr fontId="1"/>
  </si>
  <si>
    <t>アクセンチュア関西オフィス7F</t>
    <phoneticPr fontId="1"/>
  </si>
  <si>
    <t>PAC-4 7Fサーバー室 手前</t>
    <phoneticPr fontId="1"/>
  </si>
  <si>
    <t>PAC-4 7Fサーバー室 奥</t>
    <phoneticPr fontId="1"/>
  </si>
  <si>
    <t>シートの使い方</t>
    <rPh sb="4" eb="5">
      <t>ツカ</t>
    </rPh>
    <rPh sb="6" eb="7">
      <t>カタ</t>
    </rPh>
    <phoneticPr fontId="1"/>
  </si>
  <si>
    <t>および階数を確認し、設定温度を値貼り付けでコピペしてください。</t>
    <phoneticPr fontId="1"/>
  </si>
  <si>
    <t>ver</t>
    <phoneticPr fontId="1"/>
  </si>
  <si>
    <t>更新内容</t>
    <rPh sb="0" eb="4">
      <t>コウシンナイヨウ</t>
    </rPh>
    <phoneticPr fontId="1"/>
  </si>
  <si>
    <t>番号</t>
    <rPh sb="0" eb="2">
      <t>バンゴウ</t>
    </rPh>
    <phoneticPr fontId="1"/>
  </si>
  <si>
    <t>新規作成</t>
    <rPh sb="0" eb="4">
      <t>シンキサクセイ</t>
    </rPh>
    <phoneticPr fontId="1"/>
  </si>
  <si>
    <t>takao.hattori</t>
    <phoneticPr fontId="1"/>
  </si>
  <si>
    <t>更新者(EID)</t>
    <rPh sb="0" eb="3">
      <t>コウシンシャ</t>
    </rPh>
    <phoneticPr fontId="1"/>
  </si>
  <si>
    <t>赤色で「OK」になった場所の室温データを、サーバールーム室温データに使用してください。</t>
    <rPh sb="0" eb="2">
      <t>アカイロ</t>
    </rPh>
    <rPh sb="11" eb="13">
      <t>バショ</t>
    </rPh>
    <rPh sb="14" eb="16">
      <t>シツオン</t>
    </rPh>
    <rPh sb="28" eb="30">
      <t>シツオン</t>
    </rPh>
    <rPh sb="34" eb="36">
      <t>シヨウ</t>
    </rPh>
    <phoneticPr fontId="1"/>
  </si>
  <si>
    <t>②各拠点の階別にシートが作成されているので、ダウンロードしたCSVファイルの拠点、</t>
    <rPh sb="1" eb="2">
      <t>カク</t>
    </rPh>
    <rPh sb="2" eb="4">
      <t>キョテン</t>
    </rPh>
    <rPh sb="5" eb="6">
      <t>カイ</t>
    </rPh>
    <rPh sb="6" eb="7">
      <t>ベツ</t>
    </rPh>
    <rPh sb="12" eb="14">
      <t>サクセイ</t>
    </rPh>
    <rPh sb="38" eb="40">
      <t>キョテン</t>
    </rPh>
    <phoneticPr fontId="1"/>
  </si>
  <si>
    <t>③判定フラグが「OK」の場合、「OK」の文字が赤色になっているので、</t>
    <rPh sb="1" eb="3">
      <t>ハンテイ</t>
    </rPh>
    <rPh sb="12" eb="14">
      <t>バアイ</t>
    </rPh>
    <rPh sb="20" eb="22">
      <t>モジ</t>
    </rPh>
    <rPh sb="23" eb="25">
      <t>アカイロ</t>
    </rPh>
    <phoneticPr fontId="1"/>
  </si>
  <si>
    <t>①下にある「データ削除」ボタンをクリックします。各拠点、各階別の過去データが削除されます。</t>
    <rPh sb="1" eb="2">
      <t>シタ</t>
    </rPh>
    <rPh sb="9" eb="11">
      <t>サクジョ</t>
    </rPh>
    <rPh sb="24" eb="27">
      <t>カクキョテン</t>
    </rPh>
    <rPh sb="28" eb="30">
      <t>カクカイ</t>
    </rPh>
    <rPh sb="30" eb="31">
      <t>ベツ</t>
    </rPh>
    <rPh sb="32" eb="34">
      <t>カコ</t>
    </rPh>
    <rPh sb="38" eb="40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</si>
</sst>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;@"/>
    <numFmt numFmtId="177" formatCode="0.00_ 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3" borderId="1" xfId="0" applyFill="1" applyBorder="1">
      <alignment vertical="center"/>
    </xf>
    <xf numFmtId="0" fontId="3" fillId="0" borderId="0" xfId="0" applyFont="1">
      <alignment vertical="center"/>
    </xf>
    <xf numFmtId="176" fontId="0" fillId="0" borderId="1" xfId="0" applyNumberFormat="1" applyBorder="1" applyAlignment="1">
      <alignment horizontal="right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9" xfId="0" applyBorder="1" applyAlignment="1">
      <alignment horizontal="right"/>
    </xf>
    <xf numFmtId="0" fontId="0" fillId="3" borderId="8" xfId="0" applyFill="1" applyBorder="1">
      <alignment vertical="center"/>
    </xf>
    <xf numFmtId="0" fontId="0" fillId="0" borderId="8" xfId="0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/>
    </xf>
    <xf numFmtId="176" fontId="0" fillId="0" borderId="15" xfId="0" applyNumberFormat="1" applyBorder="1" applyAlignment="1">
      <alignment horizontal="right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0" borderId="21" xfId="0" applyBorder="1" applyAlignment="1">
      <alignment horizontal="right"/>
    </xf>
    <xf numFmtId="176" fontId="0" fillId="0" borderId="22" xfId="0" applyNumberFormat="1" applyBorder="1" applyAlignment="1">
      <alignment horizontal="right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176" fontId="0" fillId="0" borderId="15" xfId="0" applyNumberFormat="1" applyBorder="1">
      <alignment vertical="center"/>
    </xf>
    <xf numFmtId="176" fontId="0" fillId="0" borderId="22" xfId="0" applyNumberFormat="1" applyBorder="1">
      <alignment vertical="center"/>
    </xf>
    <xf numFmtId="0" fontId="0" fillId="0" borderId="9" xfId="0" applyBorder="1">
      <alignment vertical="center"/>
    </xf>
    <xf numFmtId="0" fontId="0" fillId="0" borderId="24" xfId="0" applyBorder="1" applyAlignment="1">
      <alignment horizontal="right" vertical="center"/>
    </xf>
    <xf numFmtId="0" fontId="4" fillId="0" borderId="0" xfId="0" applyFont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77" fontId="0" fillId="0" borderId="29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12" xfId="0" applyNumberFormat="1" applyBorder="1">
      <alignment vertical="center"/>
    </xf>
    <xf numFmtId="0" fontId="0" fillId="2" borderId="3" xfId="0" applyFill="1" applyBorder="1">
      <alignment vertical="center"/>
    </xf>
    <xf numFmtId="0" fontId="0" fillId="0" borderId="4" xfId="0" applyBorder="1">
      <alignment vertical="center"/>
    </xf>
    <xf numFmtId="0" fontId="0" fillId="2" borderId="17" xfId="0" applyFill="1" applyBorder="1">
      <alignment vertical="center"/>
    </xf>
    <xf numFmtId="0" fontId="0" fillId="0" borderId="18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36"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  <dxf>
      <font>
        <color theme="5" tint="-0.24994659260841701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16</xdr:row>
      <xdr:rowOff>19050</xdr:rowOff>
    </xdr:from>
    <xdr:to>
      <xdr:col>5</xdr:col>
      <xdr:colOff>9525</xdr:colOff>
      <xdr:row>18</xdr:row>
      <xdr:rowOff>0</xdr:rowOff>
    </xdr:to>
    <xdr:sp macro="[0]!data_clea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1C64456-E77A-8588-16E5-B42473553E78}"/>
            </a:ext>
          </a:extLst>
        </xdr:cNvPr>
        <xdr:cNvSpPr/>
      </xdr:nvSpPr>
      <xdr:spPr>
        <a:xfrm>
          <a:off x="1333500" y="3676650"/>
          <a:ext cx="1962150" cy="4381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データ削除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30A9-0FF7-4B90-9107-F8B81B74967F}">
  <sheetPr codeName="Sheet1"/>
  <dimension ref="B3:D17"/>
  <sheetViews>
    <sheetView tabSelected="1" workbookViewId="0">
      <selection activeCell="F25" sqref="F25"/>
    </sheetView>
  </sheetViews>
  <sheetFormatPr defaultRowHeight="18" x14ac:dyDescent="0.55000000000000004"/>
  <sheetData>
    <row r="3" spans="2:2" x14ac:dyDescent="0.55000000000000004">
      <c r="B3" s="30" t="s">
        <v>78</v>
      </c>
    </row>
    <row r="5" spans="2:2" x14ac:dyDescent="0.55000000000000004">
      <c r="B5" t="s">
        <v>89</v>
      </c>
    </row>
    <row r="7" spans="2:2" x14ac:dyDescent="0.55000000000000004">
      <c r="B7" t="s">
        <v>87</v>
      </c>
    </row>
    <row r="8" spans="2:2" x14ac:dyDescent="0.55000000000000004">
      <c r="B8" t="s">
        <v>79</v>
      </c>
    </row>
    <row r="10" spans="2:2" x14ac:dyDescent="0.55000000000000004">
      <c r="B10" t="s">
        <v>88</v>
      </c>
    </row>
    <row r="11" spans="2:2" x14ac:dyDescent="0.55000000000000004">
      <c r="B11" t="s">
        <v>86</v>
      </c>
    </row>
    <row r="17" spans="4:4" x14ac:dyDescent="0.55000000000000004">
      <c r="D17" s="30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5A08C-5338-4735-86FE-439FFA3D20EB}">
  <sheetPr codeName="Sheet2"/>
  <dimension ref="B2:E41"/>
  <sheetViews>
    <sheetView topLeftCell="A3" zoomScaleNormal="100" workbookViewId="0">
      <selection activeCell="E14" sqref="E14"/>
    </sheetView>
  </sheetViews>
  <sheetFormatPr defaultRowHeight="18" x14ac:dyDescent="0.55000000000000004"/>
  <cols>
    <col min="2" max="2" width="13.6640625" customWidth="1"/>
    <col min="3" max="3" width="6.4140625" customWidth="1"/>
    <col min="4" max="4" width="14.9140625" customWidth="1"/>
    <col min="5" max="5" width="17.5" customWidth="1"/>
  </cols>
  <sheetData>
    <row r="2" spans="2:5" ht="22.5" x14ac:dyDescent="0.55000000000000004">
      <c r="B2" s="5" t="s">
        <v>9</v>
      </c>
      <c r="C2" s="5"/>
    </row>
    <row r="3" spans="2:5" ht="22.5" x14ac:dyDescent="0.55000000000000004">
      <c r="B3" s="5"/>
      <c r="C3" s="5"/>
    </row>
    <row r="4" spans="2:5" x14ac:dyDescent="0.55000000000000004">
      <c r="B4" s="3" t="s">
        <v>62</v>
      </c>
      <c r="C4" s="3"/>
    </row>
    <row r="5" spans="2:5" ht="18.5" thickBot="1" x14ac:dyDescent="0.6"/>
    <row r="6" spans="2:5" x14ac:dyDescent="0.55000000000000004">
      <c r="B6" s="43"/>
      <c r="C6" s="44"/>
      <c r="D6" s="7" t="s">
        <v>2</v>
      </c>
      <c r="E6" s="8" t="s">
        <v>1</v>
      </c>
    </row>
    <row r="7" spans="2:5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5" ht="18.5" thickTop="1" x14ac:dyDescent="0.55000000000000004">
      <c r="B8" s="14">
        <f>ROW()-7</f>
        <v>1</v>
      </c>
      <c r="C8" s="15" t="s">
        <v>40</v>
      </c>
      <c r="D8" s="16"/>
      <c r="E8" s="17"/>
    </row>
    <row r="9" spans="2:5" x14ac:dyDescent="0.55000000000000004">
      <c r="B9" s="9">
        <f t="shared" ref="B9:B38" si="0">ROW()-7</f>
        <v>2</v>
      </c>
      <c r="C9" s="6" t="s">
        <v>40</v>
      </c>
      <c r="D9" s="4"/>
      <c r="E9" s="10"/>
    </row>
    <row r="10" spans="2:5" x14ac:dyDescent="0.55000000000000004">
      <c r="B10" s="9">
        <f t="shared" si="0"/>
        <v>3</v>
      </c>
      <c r="C10" s="6" t="s">
        <v>40</v>
      </c>
      <c r="D10" s="4"/>
      <c r="E10" s="10"/>
    </row>
    <row r="11" spans="2:5" x14ac:dyDescent="0.55000000000000004">
      <c r="B11" s="9">
        <f t="shared" si="0"/>
        <v>4</v>
      </c>
      <c r="C11" s="6" t="s">
        <v>40</v>
      </c>
      <c r="D11" s="4"/>
      <c r="E11" s="10"/>
    </row>
    <row r="12" spans="2:5" x14ac:dyDescent="0.55000000000000004">
      <c r="B12" s="9">
        <f t="shared" si="0"/>
        <v>5</v>
      </c>
      <c r="C12" s="6" t="s">
        <v>40</v>
      </c>
      <c r="D12" s="4"/>
      <c r="E12" s="10"/>
    </row>
    <row r="13" spans="2:5" x14ac:dyDescent="0.55000000000000004">
      <c r="B13" s="9">
        <f t="shared" si="0"/>
        <v>6</v>
      </c>
      <c r="C13" s="6" t="s">
        <v>40</v>
      </c>
      <c r="D13" s="4"/>
      <c r="E13" s="10"/>
    </row>
    <row r="14" spans="2:5" x14ac:dyDescent="0.55000000000000004">
      <c r="B14" s="9">
        <f t="shared" si="0"/>
        <v>7</v>
      </c>
      <c r="C14" s="6" t="s">
        <v>40</v>
      </c>
      <c r="D14" s="4"/>
      <c r="E14" s="10"/>
    </row>
    <row r="15" spans="2:5" x14ac:dyDescent="0.55000000000000004">
      <c r="B15" s="9">
        <f t="shared" si="0"/>
        <v>8</v>
      </c>
      <c r="C15" s="6" t="s">
        <v>40</v>
      </c>
      <c r="D15" s="4"/>
      <c r="E15" s="10"/>
    </row>
    <row r="16" spans="2:5" x14ac:dyDescent="0.55000000000000004">
      <c r="B16" s="9">
        <f t="shared" si="0"/>
        <v>9</v>
      </c>
      <c r="C16" s="6" t="s">
        <v>40</v>
      </c>
      <c r="D16" s="4"/>
      <c r="E16" s="10"/>
    </row>
    <row r="17" spans="2:5" x14ac:dyDescent="0.55000000000000004">
      <c r="B17" s="9">
        <f t="shared" si="0"/>
        <v>10</v>
      </c>
      <c r="C17" s="6" t="s">
        <v>40</v>
      </c>
      <c r="D17" s="4"/>
      <c r="E17" s="10"/>
    </row>
    <row r="18" spans="2:5" x14ac:dyDescent="0.55000000000000004">
      <c r="B18" s="9">
        <f t="shared" si="0"/>
        <v>11</v>
      </c>
      <c r="C18" s="6" t="s">
        <v>40</v>
      </c>
      <c r="D18" s="4"/>
      <c r="E18" s="10"/>
    </row>
    <row r="19" spans="2:5" x14ac:dyDescent="0.55000000000000004">
      <c r="B19" s="9">
        <f t="shared" si="0"/>
        <v>12</v>
      </c>
      <c r="C19" s="6" t="s">
        <v>40</v>
      </c>
      <c r="D19" s="4"/>
      <c r="E19" s="10"/>
    </row>
    <row r="20" spans="2:5" x14ac:dyDescent="0.55000000000000004">
      <c r="B20" s="9">
        <f t="shared" si="0"/>
        <v>13</v>
      </c>
      <c r="C20" s="6" t="s">
        <v>40</v>
      </c>
      <c r="D20" s="4"/>
      <c r="E20" s="10"/>
    </row>
    <row r="21" spans="2:5" x14ac:dyDescent="0.55000000000000004">
      <c r="B21" s="9">
        <f t="shared" si="0"/>
        <v>14</v>
      </c>
      <c r="C21" s="6" t="s">
        <v>40</v>
      </c>
      <c r="D21" s="4"/>
      <c r="E21" s="10"/>
    </row>
    <row r="22" spans="2:5" x14ac:dyDescent="0.55000000000000004">
      <c r="B22" s="9">
        <f t="shared" si="0"/>
        <v>15</v>
      </c>
      <c r="C22" s="6" t="s">
        <v>40</v>
      </c>
      <c r="D22" s="4"/>
      <c r="E22" s="10"/>
    </row>
    <row r="23" spans="2:5" x14ac:dyDescent="0.55000000000000004">
      <c r="B23" s="9">
        <f t="shared" si="0"/>
        <v>16</v>
      </c>
      <c r="C23" s="6" t="s">
        <v>40</v>
      </c>
      <c r="D23" s="4"/>
      <c r="E23" s="10"/>
    </row>
    <row r="24" spans="2:5" x14ac:dyDescent="0.55000000000000004">
      <c r="B24" s="9">
        <f t="shared" si="0"/>
        <v>17</v>
      </c>
      <c r="C24" s="6" t="s">
        <v>40</v>
      </c>
      <c r="D24" s="4"/>
      <c r="E24" s="10"/>
    </row>
    <row r="25" spans="2:5" x14ac:dyDescent="0.55000000000000004">
      <c r="B25" s="9">
        <f t="shared" si="0"/>
        <v>18</v>
      </c>
      <c r="C25" s="6" t="s">
        <v>40</v>
      </c>
      <c r="D25" s="4"/>
      <c r="E25" s="10"/>
    </row>
    <row r="26" spans="2:5" x14ac:dyDescent="0.55000000000000004">
      <c r="B26" s="9">
        <f t="shared" si="0"/>
        <v>19</v>
      </c>
      <c r="C26" s="6" t="s">
        <v>40</v>
      </c>
      <c r="D26" s="4"/>
      <c r="E26" s="10"/>
    </row>
    <row r="27" spans="2:5" x14ac:dyDescent="0.55000000000000004">
      <c r="B27" s="9">
        <f t="shared" si="0"/>
        <v>20</v>
      </c>
      <c r="C27" s="6" t="s">
        <v>40</v>
      </c>
      <c r="D27" s="4"/>
      <c r="E27" s="10"/>
    </row>
    <row r="28" spans="2:5" x14ac:dyDescent="0.55000000000000004">
      <c r="B28" s="9">
        <f t="shared" si="0"/>
        <v>21</v>
      </c>
      <c r="C28" s="6" t="s">
        <v>40</v>
      </c>
      <c r="D28" s="4"/>
      <c r="E28" s="10"/>
    </row>
    <row r="29" spans="2:5" x14ac:dyDescent="0.55000000000000004">
      <c r="B29" s="9">
        <f t="shared" si="0"/>
        <v>22</v>
      </c>
      <c r="C29" s="6" t="s">
        <v>40</v>
      </c>
      <c r="D29" s="4"/>
      <c r="E29" s="10"/>
    </row>
    <row r="30" spans="2:5" x14ac:dyDescent="0.55000000000000004">
      <c r="B30" s="9">
        <f t="shared" si="0"/>
        <v>23</v>
      </c>
      <c r="C30" s="6" t="s">
        <v>40</v>
      </c>
      <c r="D30" s="4"/>
      <c r="E30" s="10"/>
    </row>
    <row r="31" spans="2:5" x14ac:dyDescent="0.55000000000000004">
      <c r="B31" s="9">
        <f t="shared" si="0"/>
        <v>24</v>
      </c>
      <c r="C31" s="6" t="s">
        <v>40</v>
      </c>
      <c r="D31" s="4"/>
      <c r="E31" s="10"/>
    </row>
    <row r="32" spans="2:5" x14ac:dyDescent="0.55000000000000004">
      <c r="B32" s="9">
        <f t="shared" si="0"/>
        <v>25</v>
      </c>
      <c r="C32" s="6" t="s">
        <v>40</v>
      </c>
      <c r="D32" s="4"/>
      <c r="E32" s="10"/>
    </row>
    <row r="33" spans="2:5" x14ac:dyDescent="0.55000000000000004">
      <c r="B33" s="9">
        <f t="shared" si="0"/>
        <v>26</v>
      </c>
      <c r="C33" s="6" t="s">
        <v>40</v>
      </c>
      <c r="D33" s="4"/>
      <c r="E33" s="10"/>
    </row>
    <row r="34" spans="2:5" x14ac:dyDescent="0.55000000000000004">
      <c r="B34" s="9">
        <f t="shared" si="0"/>
        <v>27</v>
      </c>
      <c r="C34" s="6" t="s">
        <v>40</v>
      </c>
      <c r="D34" s="4"/>
      <c r="E34" s="10"/>
    </row>
    <row r="35" spans="2:5" x14ac:dyDescent="0.55000000000000004">
      <c r="B35" s="9">
        <f t="shared" si="0"/>
        <v>28</v>
      </c>
      <c r="C35" s="6" t="s">
        <v>40</v>
      </c>
      <c r="D35" s="4"/>
      <c r="E35" s="10"/>
    </row>
    <row r="36" spans="2:5" x14ac:dyDescent="0.55000000000000004">
      <c r="B36" s="9">
        <f t="shared" si="0"/>
        <v>29</v>
      </c>
      <c r="C36" s="6" t="s">
        <v>40</v>
      </c>
      <c r="D36" s="4"/>
      <c r="E36" s="10"/>
    </row>
    <row r="37" spans="2:5" x14ac:dyDescent="0.55000000000000004">
      <c r="B37" s="9">
        <f t="shared" si="0"/>
        <v>30</v>
      </c>
      <c r="C37" s="6" t="s">
        <v>40</v>
      </c>
      <c r="D37" s="4"/>
      <c r="E37" s="10"/>
    </row>
    <row r="38" spans="2:5" ht="18.5" thickBot="1" x14ac:dyDescent="0.6">
      <c r="B38" s="20">
        <f t="shared" si="0"/>
        <v>31</v>
      </c>
      <c r="C38" s="21" t="s">
        <v>40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48" t="s">
        <v>41</v>
      </c>
      <c r="C40" s="49"/>
      <c r="D40" s="1">
        <f>COUNT(D8:D38)-D39</f>
        <v>0</v>
      </c>
      <c r="E40" s="11">
        <f>COUNT(E8:E38)-E39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</row>
  </sheetData>
  <mergeCells count="5">
    <mergeCell ref="B39:C39"/>
    <mergeCell ref="B40:C40"/>
    <mergeCell ref="B41:C41"/>
    <mergeCell ref="B7:C7"/>
    <mergeCell ref="B6:C6"/>
  </mergeCells>
  <phoneticPr fontId="1"/>
  <conditionalFormatting sqref="D41:E41">
    <cfRule type="cellIs" dxfId="35" priority="1" operator="equal">
      <formula>"OK"</formula>
    </cfRule>
    <cfRule type="cellIs" dxfId="34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6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89A6-0F04-4A0F-8583-5E39BA266157}">
  <sheetPr codeName="Sheet3"/>
  <dimension ref="B2:F41"/>
  <sheetViews>
    <sheetView workbookViewId="0">
      <selection activeCell="F16" sqref="F16"/>
    </sheetView>
  </sheetViews>
  <sheetFormatPr defaultRowHeight="18" x14ac:dyDescent="0.55000000000000004"/>
  <cols>
    <col min="2" max="2" width="12.5" bestFit="1" customWidth="1"/>
    <col min="3" max="3" width="4" customWidth="1"/>
    <col min="4" max="4" width="24.6640625" bestFit="1" customWidth="1"/>
    <col min="5" max="5" width="23.83203125" customWidth="1"/>
    <col min="6" max="6" width="24.1640625" customWidth="1"/>
    <col min="8" max="8" width="13.25" customWidth="1"/>
    <col min="9" max="9" width="14.83203125" customWidth="1"/>
    <col min="10" max="10" width="14.75" customWidth="1"/>
    <col min="11" max="11" width="17.6640625" customWidth="1"/>
    <col min="12" max="12" width="15.9140625" customWidth="1"/>
    <col min="14" max="14" width="16.1640625" customWidth="1"/>
    <col min="15" max="15" width="15.58203125" customWidth="1"/>
    <col min="16" max="16" width="13.75" customWidth="1"/>
    <col min="17" max="17" width="15.75" customWidth="1"/>
    <col min="18" max="18" width="15.5" customWidth="1"/>
    <col min="19" max="19" width="17.4140625" customWidth="1"/>
    <col min="20" max="20" width="16.08203125" customWidth="1"/>
  </cols>
  <sheetData>
    <row r="2" spans="2:6" ht="22.5" x14ac:dyDescent="0.55000000000000004">
      <c r="B2" s="5" t="s">
        <v>10</v>
      </c>
      <c r="C2" s="5"/>
    </row>
    <row r="4" spans="2:6" x14ac:dyDescent="0.55000000000000004">
      <c r="B4" s="3" t="s">
        <v>63</v>
      </c>
      <c r="C4" s="3"/>
      <c r="D4" s="3"/>
    </row>
    <row r="5" spans="2:6" ht="18.5" thickBot="1" x14ac:dyDescent="0.6"/>
    <row r="6" spans="2:6" x14ac:dyDescent="0.55000000000000004">
      <c r="B6" s="43"/>
      <c r="C6" s="44"/>
      <c r="D6" s="7" t="s">
        <v>6</v>
      </c>
      <c r="E6" s="7" t="s">
        <v>7</v>
      </c>
      <c r="F6" s="8" t="s">
        <v>8</v>
      </c>
    </row>
    <row r="7" spans="2:6" ht="18.5" thickBot="1" x14ac:dyDescent="0.6">
      <c r="B7" s="45" t="s">
        <v>0</v>
      </c>
      <c r="C7" s="46"/>
      <c r="D7" s="18" t="s">
        <v>4</v>
      </c>
      <c r="E7" s="18" t="s">
        <v>4</v>
      </c>
      <c r="F7" s="19" t="s">
        <v>4</v>
      </c>
    </row>
    <row r="8" spans="2:6" ht="18.5" thickTop="1" x14ac:dyDescent="0.55000000000000004">
      <c r="B8" s="14">
        <f>ROW()-7</f>
        <v>1</v>
      </c>
      <c r="C8" s="15" t="s">
        <v>40</v>
      </c>
      <c r="D8" s="16"/>
      <c r="E8" s="16"/>
      <c r="F8" s="17"/>
    </row>
    <row r="9" spans="2:6" x14ac:dyDescent="0.55000000000000004">
      <c r="B9" s="9">
        <f t="shared" ref="B9:B38" si="0">ROW()-7</f>
        <v>2</v>
      </c>
      <c r="C9" s="6" t="s">
        <v>40</v>
      </c>
      <c r="D9" s="4"/>
      <c r="E9" s="4"/>
      <c r="F9" s="10"/>
    </row>
    <row r="10" spans="2:6" x14ac:dyDescent="0.55000000000000004">
      <c r="B10" s="9">
        <f t="shared" si="0"/>
        <v>3</v>
      </c>
      <c r="C10" s="6" t="s">
        <v>40</v>
      </c>
      <c r="D10" s="4"/>
      <c r="E10" s="4"/>
      <c r="F10" s="10"/>
    </row>
    <row r="11" spans="2:6" x14ac:dyDescent="0.55000000000000004">
      <c r="B11" s="9">
        <f t="shared" si="0"/>
        <v>4</v>
      </c>
      <c r="C11" s="6" t="s">
        <v>40</v>
      </c>
      <c r="D11" s="4"/>
      <c r="E11" s="4"/>
      <c r="F11" s="10"/>
    </row>
    <row r="12" spans="2:6" x14ac:dyDescent="0.55000000000000004">
      <c r="B12" s="9">
        <f t="shared" si="0"/>
        <v>5</v>
      </c>
      <c r="C12" s="6" t="s">
        <v>40</v>
      </c>
      <c r="D12" s="4"/>
      <c r="E12" s="4"/>
      <c r="F12" s="10"/>
    </row>
    <row r="13" spans="2:6" x14ac:dyDescent="0.55000000000000004">
      <c r="B13" s="9">
        <f t="shared" si="0"/>
        <v>6</v>
      </c>
      <c r="C13" s="6" t="s">
        <v>40</v>
      </c>
      <c r="D13" s="4"/>
      <c r="E13" s="4"/>
      <c r="F13" s="10"/>
    </row>
    <row r="14" spans="2:6" x14ac:dyDescent="0.55000000000000004">
      <c r="B14" s="9">
        <f t="shared" si="0"/>
        <v>7</v>
      </c>
      <c r="C14" s="6" t="s">
        <v>40</v>
      </c>
      <c r="D14" s="4"/>
      <c r="E14" s="4"/>
      <c r="F14" s="10"/>
    </row>
    <row r="15" spans="2:6" x14ac:dyDescent="0.55000000000000004">
      <c r="B15" s="9">
        <f t="shared" si="0"/>
        <v>8</v>
      </c>
      <c r="C15" s="6" t="s">
        <v>40</v>
      </c>
      <c r="D15" s="4"/>
      <c r="E15" s="4"/>
      <c r="F15" s="10"/>
    </row>
    <row r="16" spans="2:6" x14ac:dyDescent="0.55000000000000004">
      <c r="B16" s="9">
        <f t="shared" si="0"/>
        <v>9</v>
      </c>
      <c r="C16" s="6" t="s">
        <v>40</v>
      </c>
      <c r="D16" s="4"/>
      <c r="E16" s="4"/>
      <c r="F16" s="10"/>
    </row>
    <row r="17" spans="2:6" x14ac:dyDescent="0.55000000000000004">
      <c r="B17" s="9">
        <f t="shared" si="0"/>
        <v>10</v>
      </c>
      <c r="C17" s="6" t="s">
        <v>40</v>
      </c>
      <c r="D17" s="4"/>
      <c r="E17" s="4"/>
      <c r="F17" s="10"/>
    </row>
    <row r="18" spans="2:6" x14ac:dyDescent="0.55000000000000004">
      <c r="B18" s="9">
        <f t="shared" si="0"/>
        <v>11</v>
      </c>
      <c r="C18" s="6" t="s">
        <v>40</v>
      </c>
      <c r="D18" s="4"/>
      <c r="E18" s="4"/>
      <c r="F18" s="10"/>
    </row>
    <row r="19" spans="2:6" x14ac:dyDescent="0.55000000000000004">
      <c r="B19" s="9">
        <f t="shared" si="0"/>
        <v>12</v>
      </c>
      <c r="C19" s="6" t="s">
        <v>40</v>
      </c>
      <c r="D19" s="4"/>
      <c r="E19" s="4"/>
      <c r="F19" s="10"/>
    </row>
    <row r="20" spans="2:6" x14ac:dyDescent="0.55000000000000004">
      <c r="B20" s="9">
        <f t="shared" si="0"/>
        <v>13</v>
      </c>
      <c r="C20" s="6" t="s">
        <v>40</v>
      </c>
      <c r="D20" s="4"/>
      <c r="E20" s="4"/>
      <c r="F20" s="10"/>
    </row>
    <row r="21" spans="2:6" x14ac:dyDescent="0.55000000000000004">
      <c r="B21" s="9">
        <f t="shared" si="0"/>
        <v>14</v>
      </c>
      <c r="C21" s="6" t="s">
        <v>40</v>
      </c>
      <c r="D21" s="4"/>
      <c r="E21" s="4"/>
      <c r="F21" s="10"/>
    </row>
    <row r="22" spans="2:6" x14ac:dyDescent="0.55000000000000004">
      <c r="B22" s="9">
        <f t="shared" si="0"/>
        <v>15</v>
      </c>
      <c r="C22" s="6" t="s">
        <v>40</v>
      </c>
      <c r="D22" s="4"/>
      <c r="E22" s="4"/>
      <c r="F22" s="10"/>
    </row>
    <row r="23" spans="2:6" x14ac:dyDescent="0.55000000000000004">
      <c r="B23" s="9">
        <f t="shared" si="0"/>
        <v>16</v>
      </c>
      <c r="C23" s="6" t="s">
        <v>40</v>
      </c>
      <c r="D23" s="4"/>
      <c r="E23" s="4"/>
      <c r="F23" s="10"/>
    </row>
    <row r="24" spans="2:6" x14ac:dyDescent="0.55000000000000004">
      <c r="B24" s="9">
        <f t="shared" si="0"/>
        <v>17</v>
      </c>
      <c r="C24" s="6" t="s">
        <v>40</v>
      </c>
      <c r="D24" s="4"/>
      <c r="E24" s="4"/>
      <c r="F24" s="10"/>
    </row>
    <row r="25" spans="2:6" x14ac:dyDescent="0.55000000000000004">
      <c r="B25" s="9">
        <f t="shared" si="0"/>
        <v>18</v>
      </c>
      <c r="C25" s="6" t="s">
        <v>40</v>
      </c>
      <c r="D25" s="4"/>
      <c r="E25" s="4"/>
      <c r="F25" s="10"/>
    </row>
    <row r="26" spans="2:6" x14ac:dyDescent="0.55000000000000004">
      <c r="B26" s="9">
        <f t="shared" si="0"/>
        <v>19</v>
      </c>
      <c r="C26" s="6" t="s">
        <v>40</v>
      </c>
      <c r="D26" s="4"/>
      <c r="E26" s="4"/>
      <c r="F26" s="10"/>
    </row>
    <row r="27" spans="2:6" x14ac:dyDescent="0.55000000000000004">
      <c r="B27" s="9">
        <f t="shared" si="0"/>
        <v>20</v>
      </c>
      <c r="C27" s="6" t="s">
        <v>40</v>
      </c>
      <c r="D27" s="4"/>
      <c r="E27" s="4"/>
      <c r="F27" s="10"/>
    </row>
    <row r="28" spans="2:6" x14ac:dyDescent="0.55000000000000004">
      <c r="B28" s="9">
        <f t="shared" si="0"/>
        <v>21</v>
      </c>
      <c r="C28" s="6" t="s">
        <v>40</v>
      </c>
      <c r="D28" s="4"/>
      <c r="E28" s="4"/>
      <c r="F28" s="10"/>
    </row>
    <row r="29" spans="2:6" x14ac:dyDescent="0.55000000000000004">
      <c r="B29" s="9">
        <f t="shared" si="0"/>
        <v>22</v>
      </c>
      <c r="C29" s="6" t="s">
        <v>40</v>
      </c>
      <c r="D29" s="4"/>
      <c r="E29" s="4"/>
      <c r="F29" s="10"/>
    </row>
    <row r="30" spans="2:6" x14ac:dyDescent="0.55000000000000004">
      <c r="B30" s="9">
        <f t="shared" si="0"/>
        <v>23</v>
      </c>
      <c r="C30" s="6" t="s">
        <v>40</v>
      </c>
      <c r="D30" s="4"/>
      <c r="E30" s="4"/>
      <c r="F30" s="10"/>
    </row>
    <row r="31" spans="2:6" x14ac:dyDescent="0.55000000000000004">
      <c r="B31" s="9">
        <f t="shared" si="0"/>
        <v>24</v>
      </c>
      <c r="C31" s="6" t="s">
        <v>40</v>
      </c>
      <c r="D31" s="4"/>
      <c r="E31" s="4"/>
      <c r="F31" s="10"/>
    </row>
    <row r="32" spans="2:6" x14ac:dyDescent="0.55000000000000004">
      <c r="B32" s="9">
        <f t="shared" si="0"/>
        <v>25</v>
      </c>
      <c r="C32" s="6" t="s">
        <v>40</v>
      </c>
      <c r="D32" s="4"/>
      <c r="E32" s="4"/>
      <c r="F32" s="10"/>
    </row>
    <row r="33" spans="2:6" x14ac:dyDescent="0.55000000000000004">
      <c r="B33" s="9">
        <f t="shared" si="0"/>
        <v>26</v>
      </c>
      <c r="C33" s="6" t="s">
        <v>40</v>
      </c>
      <c r="D33" s="4"/>
      <c r="E33" s="4"/>
      <c r="F33" s="10"/>
    </row>
    <row r="34" spans="2:6" x14ac:dyDescent="0.55000000000000004">
      <c r="B34" s="9">
        <f t="shared" si="0"/>
        <v>27</v>
      </c>
      <c r="C34" s="6" t="s">
        <v>40</v>
      </c>
      <c r="D34" s="4"/>
      <c r="E34" s="4"/>
      <c r="F34" s="10"/>
    </row>
    <row r="35" spans="2:6" x14ac:dyDescent="0.55000000000000004">
      <c r="B35" s="9">
        <f t="shared" si="0"/>
        <v>28</v>
      </c>
      <c r="C35" s="6" t="s">
        <v>40</v>
      </c>
      <c r="D35" s="4"/>
      <c r="E35" s="4"/>
      <c r="F35" s="10"/>
    </row>
    <row r="36" spans="2:6" x14ac:dyDescent="0.55000000000000004">
      <c r="B36" s="9">
        <f t="shared" si="0"/>
        <v>29</v>
      </c>
      <c r="C36" s="6" t="s">
        <v>40</v>
      </c>
      <c r="D36" s="4"/>
      <c r="E36" s="4"/>
      <c r="F36" s="10"/>
    </row>
    <row r="37" spans="2:6" x14ac:dyDescent="0.55000000000000004">
      <c r="B37" s="9">
        <f t="shared" si="0"/>
        <v>30</v>
      </c>
      <c r="C37" s="6" t="s">
        <v>40</v>
      </c>
      <c r="D37" s="4"/>
      <c r="E37" s="4"/>
      <c r="F37" s="10"/>
    </row>
    <row r="38" spans="2:6" ht="18.5" thickBot="1" x14ac:dyDescent="0.6">
      <c r="B38" s="20">
        <f t="shared" si="0"/>
        <v>31</v>
      </c>
      <c r="C38" s="21" t="s">
        <v>40</v>
      </c>
      <c r="D38" s="22"/>
      <c r="E38" s="22"/>
      <c r="F38" s="23"/>
    </row>
    <row r="39" spans="2:6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5">
        <f>COUNTIF(F8:F38,"22")</f>
        <v>0</v>
      </c>
    </row>
    <row r="40" spans="2:6" x14ac:dyDescent="0.55000000000000004">
      <c r="B40" s="48" t="s">
        <v>41</v>
      </c>
      <c r="C40" s="49"/>
      <c r="D40" s="1">
        <f>COUNT(D8:D38)-D39</f>
        <v>0</v>
      </c>
      <c r="E40" s="1">
        <f>COUNT(E8:E38)-E39</f>
        <v>0</v>
      </c>
      <c r="F40" s="11">
        <f>COUNT(F8:F38)-F39</f>
        <v>0</v>
      </c>
    </row>
    <row r="41" spans="2:6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12" t="str">
        <f>IF(F39&gt;F40,"OK","NG")</f>
        <v>NG</v>
      </c>
    </row>
  </sheetData>
  <mergeCells count="5">
    <mergeCell ref="B7:C7"/>
    <mergeCell ref="B6:C6"/>
    <mergeCell ref="B39:C39"/>
    <mergeCell ref="B40:C40"/>
    <mergeCell ref="B41:C41"/>
  </mergeCells>
  <phoneticPr fontId="1"/>
  <conditionalFormatting sqref="D41:F41">
    <cfRule type="cellIs" dxfId="33" priority="1" operator="equal">
      <formula>"OK"</formula>
    </cfRule>
    <cfRule type="cellIs" dxfId="32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0210A-6B3D-4970-B0D9-AE434B4E2BEF}">
  <sheetPr codeName="Sheet4"/>
  <dimension ref="B2:F41"/>
  <sheetViews>
    <sheetView topLeftCell="A21" workbookViewId="0">
      <selection activeCell="E30" sqref="E30"/>
    </sheetView>
  </sheetViews>
  <sheetFormatPr defaultRowHeight="18" x14ac:dyDescent="0.55000000000000004"/>
  <cols>
    <col min="2" max="2" width="12.5" bestFit="1" customWidth="1"/>
    <col min="3" max="3" width="4.33203125" customWidth="1"/>
    <col min="4" max="4" width="24.6640625" bestFit="1" customWidth="1"/>
    <col min="5" max="5" width="25.75" bestFit="1" customWidth="1"/>
    <col min="6" max="6" width="13.25" customWidth="1"/>
    <col min="7" max="7" width="14.83203125" customWidth="1"/>
    <col min="8" max="8" width="14.75" customWidth="1"/>
    <col min="9" max="9" width="17.6640625" customWidth="1"/>
    <col min="10" max="10" width="15.9140625" customWidth="1"/>
    <col min="12" max="12" width="16.1640625" customWidth="1"/>
    <col min="13" max="13" width="15.58203125" customWidth="1"/>
    <col min="14" max="14" width="13.75" customWidth="1"/>
    <col min="15" max="15" width="15.75" customWidth="1"/>
    <col min="16" max="16" width="15.5" customWidth="1"/>
    <col min="17" max="17" width="17.4140625" customWidth="1"/>
    <col min="18" max="18" width="16.08203125" customWidth="1"/>
  </cols>
  <sheetData>
    <row r="2" spans="2:6" ht="22.5" x14ac:dyDescent="0.55000000000000004">
      <c r="B2" s="5" t="s">
        <v>10</v>
      </c>
      <c r="C2" s="5"/>
    </row>
    <row r="3" spans="2:6" x14ac:dyDescent="0.55000000000000004">
      <c r="F3" s="3"/>
    </row>
    <row r="4" spans="2:6" x14ac:dyDescent="0.55000000000000004">
      <c r="B4" s="3" t="s">
        <v>64</v>
      </c>
      <c r="C4" s="3"/>
      <c r="D4" s="3"/>
    </row>
    <row r="5" spans="2:6" ht="18.5" thickBot="1" x14ac:dyDescent="0.6"/>
    <row r="6" spans="2:6" x14ac:dyDescent="0.55000000000000004">
      <c r="B6" s="43"/>
      <c r="C6" s="44"/>
      <c r="D6" s="7" t="s">
        <v>11</v>
      </c>
      <c r="E6" s="8" t="s">
        <v>12</v>
      </c>
    </row>
    <row r="7" spans="2:6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6" ht="18.5" thickTop="1" x14ac:dyDescent="0.55000000000000004">
      <c r="B8" s="14">
        <f>ROW()-7</f>
        <v>1</v>
      </c>
      <c r="C8" s="26" t="s">
        <v>40</v>
      </c>
      <c r="D8" s="16"/>
      <c r="E8" s="17"/>
    </row>
    <row r="9" spans="2:6" x14ac:dyDescent="0.55000000000000004">
      <c r="B9" s="9">
        <f t="shared" ref="B9:B38" si="0">ROW()-7</f>
        <v>2</v>
      </c>
      <c r="C9" s="2" t="s">
        <v>40</v>
      </c>
      <c r="D9" s="4"/>
      <c r="E9" s="10"/>
    </row>
    <row r="10" spans="2:6" x14ac:dyDescent="0.55000000000000004">
      <c r="B10" s="9">
        <f t="shared" si="0"/>
        <v>3</v>
      </c>
      <c r="C10" s="2" t="s">
        <v>40</v>
      </c>
      <c r="D10" s="4"/>
      <c r="E10" s="10"/>
    </row>
    <row r="11" spans="2:6" x14ac:dyDescent="0.55000000000000004">
      <c r="B11" s="9">
        <f t="shared" si="0"/>
        <v>4</v>
      </c>
      <c r="C11" s="2" t="s">
        <v>40</v>
      </c>
      <c r="D11" s="4"/>
      <c r="E11" s="10"/>
    </row>
    <row r="12" spans="2:6" x14ac:dyDescent="0.55000000000000004">
      <c r="B12" s="9">
        <f t="shared" si="0"/>
        <v>5</v>
      </c>
      <c r="C12" s="2" t="s">
        <v>40</v>
      </c>
      <c r="D12" s="4"/>
      <c r="E12" s="10"/>
    </row>
    <row r="13" spans="2:6" x14ac:dyDescent="0.55000000000000004">
      <c r="B13" s="9">
        <f t="shared" si="0"/>
        <v>6</v>
      </c>
      <c r="C13" s="2" t="s">
        <v>40</v>
      </c>
      <c r="D13" s="4"/>
      <c r="E13" s="10"/>
    </row>
    <row r="14" spans="2:6" x14ac:dyDescent="0.55000000000000004">
      <c r="B14" s="9">
        <f t="shared" si="0"/>
        <v>7</v>
      </c>
      <c r="C14" s="2" t="s">
        <v>40</v>
      </c>
      <c r="D14" s="4"/>
      <c r="E14" s="10"/>
    </row>
    <row r="15" spans="2:6" x14ac:dyDescent="0.55000000000000004">
      <c r="B15" s="9">
        <f t="shared" si="0"/>
        <v>8</v>
      </c>
      <c r="C15" s="2" t="s">
        <v>40</v>
      </c>
      <c r="D15" s="4"/>
      <c r="E15" s="10"/>
    </row>
    <row r="16" spans="2:6" x14ac:dyDescent="0.55000000000000004">
      <c r="B16" s="9">
        <f t="shared" si="0"/>
        <v>9</v>
      </c>
      <c r="C16" s="2" t="s">
        <v>40</v>
      </c>
      <c r="D16" s="4"/>
      <c r="E16" s="10"/>
    </row>
    <row r="17" spans="2:5" x14ac:dyDescent="0.55000000000000004">
      <c r="B17" s="9">
        <f t="shared" si="0"/>
        <v>10</v>
      </c>
      <c r="C17" s="2" t="s">
        <v>40</v>
      </c>
      <c r="D17" s="4"/>
      <c r="E17" s="10"/>
    </row>
    <row r="18" spans="2:5" x14ac:dyDescent="0.55000000000000004">
      <c r="B18" s="9">
        <f t="shared" si="0"/>
        <v>11</v>
      </c>
      <c r="C18" s="2" t="s">
        <v>40</v>
      </c>
      <c r="D18" s="4"/>
      <c r="E18" s="10"/>
    </row>
    <row r="19" spans="2:5" x14ac:dyDescent="0.55000000000000004">
      <c r="B19" s="9">
        <f t="shared" si="0"/>
        <v>12</v>
      </c>
      <c r="C19" s="2" t="s">
        <v>40</v>
      </c>
      <c r="D19" s="4"/>
      <c r="E19" s="10"/>
    </row>
    <row r="20" spans="2:5" x14ac:dyDescent="0.55000000000000004">
      <c r="B20" s="9">
        <f t="shared" si="0"/>
        <v>13</v>
      </c>
      <c r="C20" s="2" t="s">
        <v>40</v>
      </c>
      <c r="D20" s="4"/>
      <c r="E20" s="10"/>
    </row>
    <row r="21" spans="2:5" x14ac:dyDescent="0.55000000000000004">
      <c r="B21" s="9">
        <f t="shared" si="0"/>
        <v>14</v>
      </c>
      <c r="C21" s="2" t="s">
        <v>40</v>
      </c>
      <c r="D21" s="4"/>
      <c r="E21" s="10"/>
    </row>
    <row r="22" spans="2:5" x14ac:dyDescent="0.55000000000000004">
      <c r="B22" s="9">
        <f t="shared" si="0"/>
        <v>15</v>
      </c>
      <c r="C22" s="2" t="s">
        <v>40</v>
      </c>
      <c r="D22" s="4"/>
      <c r="E22" s="10"/>
    </row>
    <row r="23" spans="2:5" x14ac:dyDescent="0.55000000000000004">
      <c r="B23" s="9">
        <f t="shared" si="0"/>
        <v>16</v>
      </c>
      <c r="C23" s="2" t="s">
        <v>40</v>
      </c>
      <c r="D23" s="4"/>
      <c r="E23" s="10"/>
    </row>
    <row r="24" spans="2:5" x14ac:dyDescent="0.55000000000000004">
      <c r="B24" s="9">
        <f t="shared" si="0"/>
        <v>17</v>
      </c>
      <c r="C24" s="2" t="s">
        <v>40</v>
      </c>
      <c r="D24" s="4"/>
      <c r="E24" s="10"/>
    </row>
    <row r="25" spans="2:5" x14ac:dyDescent="0.55000000000000004">
      <c r="B25" s="9">
        <f t="shared" si="0"/>
        <v>18</v>
      </c>
      <c r="C25" s="2" t="s">
        <v>40</v>
      </c>
      <c r="D25" s="4"/>
      <c r="E25" s="10"/>
    </row>
    <row r="26" spans="2:5" x14ac:dyDescent="0.55000000000000004">
      <c r="B26" s="9">
        <f t="shared" si="0"/>
        <v>19</v>
      </c>
      <c r="C26" s="2" t="s">
        <v>40</v>
      </c>
      <c r="D26" s="4"/>
      <c r="E26" s="10"/>
    </row>
    <row r="27" spans="2:5" x14ac:dyDescent="0.55000000000000004">
      <c r="B27" s="9">
        <f t="shared" si="0"/>
        <v>20</v>
      </c>
      <c r="C27" s="2" t="s">
        <v>40</v>
      </c>
      <c r="D27" s="4"/>
      <c r="E27" s="10"/>
    </row>
    <row r="28" spans="2:5" x14ac:dyDescent="0.55000000000000004">
      <c r="B28" s="9">
        <f t="shared" si="0"/>
        <v>21</v>
      </c>
      <c r="C28" s="2" t="s">
        <v>40</v>
      </c>
      <c r="D28" s="4"/>
      <c r="E28" s="10"/>
    </row>
    <row r="29" spans="2:5" x14ac:dyDescent="0.55000000000000004">
      <c r="B29" s="9">
        <f t="shared" si="0"/>
        <v>22</v>
      </c>
      <c r="C29" s="2" t="s">
        <v>40</v>
      </c>
      <c r="D29" s="4"/>
      <c r="E29" s="10"/>
    </row>
    <row r="30" spans="2:5" x14ac:dyDescent="0.55000000000000004">
      <c r="B30" s="9">
        <f t="shared" si="0"/>
        <v>23</v>
      </c>
      <c r="C30" s="2" t="s">
        <v>40</v>
      </c>
      <c r="D30" s="4"/>
      <c r="E30" s="10"/>
    </row>
    <row r="31" spans="2:5" x14ac:dyDescent="0.55000000000000004">
      <c r="B31" s="9">
        <f t="shared" si="0"/>
        <v>24</v>
      </c>
      <c r="C31" s="2" t="s">
        <v>40</v>
      </c>
      <c r="D31" s="4"/>
      <c r="E31" s="10"/>
    </row>
    <row r="32" spans="2:5" x14ac:dyDescent="0.55000000000000004">
      <c r="B32" s="9">
        <f t="shared" si="0"/>
        <v>25</v>
      </c>
      <c r="C32" s="2" t="s">
        <v>40</v>
      </c>
      <c r="D32" s="4"/>
      <c r="E32" s="10"/>
    </row>
    <row r="33" spans="2:5" x14ac:dyDescent="0.55000000000000004">
      <c r="B33" s="9">
        <f t="shared" si="0"/>
        <v>26</v>
      </c>
      <c r="C33" s="2" t="s">
        <v>40</v>
      </c>
      <c r="D33" s="4"/>
      <c r="E33" s="10"/>
    </row>
    <row r="34" spans="2:5" x14ac:dyDescent="0.55000000000000004">
      <c r="B34" s="9">
        <f t="shared" si="0"/>
        <v>27</v>
      </c>
      <c r="C34" s="2" t="s">
        <v>40</v>
      </c>
      <c r="D34" s="4"/>
      <c r="E34" s="10"/>
    </row>
    <row r="35" spans="2:5" x14ac:dyDescent="0.55000000000000004">
      <c r="B35" s="9">
        <f t="shared" si="0"/>
        <v>28</v>
      </c>
      <c r="C35" s="2" t="s">
        <v>40</v>
      </c>
      <c r="D35" s="4"/>
      <c r="E35" s="10"/>
    </row>
    <row r="36" spans="2:5" x14ac:dyDescent="0.55000000000000004">
      <c r="B36" s="9">
        <f t="shared" si="0"/>
        <v>29</v>
      </c>
      <c r="C36" s="2" t="s">
        <v>40</v>
      </c>
      <c r="D36" s="4"/>
      <c r="E36" s="10"/>
    </row>
    <row r="37" spans="2:5" x14ac:dyDescent="0.55000000000000004">
      <c r="B37" s="9">
        <f t="shared" si="0"/>
        <v>30</v>
      </c>
      <c r="C37" s="2" t="s">
        <v>40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40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48" t="s">
        <v>41</v>
      </c>
      <c r="C40" s="49"/>
      <c r="D40" s="1">
        <f>COUNT(D8:D38)-D39</f>
        <v>0</v>
      </c>
      <c r="E40" s="11">
        <f>COUNT(E8:E38)-E39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</row>
  </sheetData>
  <mergeCells count="5">
    <mergeCell ref="B7:C7"/>
    <mergeCell ref="B6:C6"/>
    <mergeCell ref="B39:C39"/>
    <mergeCell ref="B40:C40"/>
    <mergeCell ref="B41:C41"/>
  </mergeCells>
  <phoneticPr fontId="1"/>
  <conditionalFormatting sqref="D41:E41">
    <cfRule type="cellIs" dxfId="31" priority="1" operator="equal">
      <formula>"OK"</formula>
    </cfRule>
    <cfRule type="cellIs" dxfId="30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7DFEA-8862-4538-A6C7-641DA9FAFF60}">
  <sheetPr codeName="Sheet5"/>
  <dimension ref="B2:K41"/>
  <sheetViews>
    <sheetView topLeftCell="A33" workbookViewId="0">
      <selection activeCell="E52" sqref="E52"/>
    </sheetView>
  </sheetViews>
  <sheetFormatPr defaultRowHeight="18" x14ac:dyDescent="0.55000000000000004"/>
  <cols>
    <col min="2" max="2" width="12.5" bestFit="1" customWidth="1"/>
    <col min="3" max="3" width="6.4140625" customWidth="1"/>
    <col min="4" max="4" width="24.6640625" bestFit="1" customWidth="1"/>
    <col min="5" max="6" width="25.75" bestFit="1" customWidth="1"/>
    <col min="7" max="7" width="14.75" customWidth="1"/>
    <col min="8" max="8" width="17.6640625" customWidth="1"/>
    <col min="9" max="9" width="15.9140625" customWidth="1"/>
    <col min="11" max="11" width="16.1640625" customWidth="1"/>
    <col min="12" max="12" width="15.58203125" customWidth="1"/>
    <col min="13" max="13" width="13.75" customWidth="1"/>
    <col min="14" max="14" width="15.75" customWidth="1"/>
    <col min="15" max="15" width="15.5" customWidth="1"/>
    <col min="16" max="16" width="17.4140625" customWidth="1"/>
    <col min="17" max="17" width="16.08203125" customWidth="1"/>
  </cols>
  <sheetData>
    <row r="2" spans="2:11" ht="22.5" x14ac:dyDescent="0.55000000000000004">
      <c r="B2" s="5" t="s">
        <v>10</v>
      </c>
      <c r="C2" s="5"/>
    </row>
    <row r="3" spans="2:11" x14ac:dyDescent="0.55000000000000004">
      <c r="F3" s="3"/>
      <c r="K3" s="3"/>
    </row>
    <row r="4" spans="2:11" x14ac:dyDescent="0.55000000000000004">
      <c r="B4" s="3" t="s">
        <v>65</v>
      </c>
      <c r="C4" s="3"/>
      <c r="D4" s="3"/>
    </row>
    <row r="5" spans="2:11" ht="18.5" thickBot="1" x14ac:dyDescent="0.6"/>
    <row r="6" spans="2:11" x14ac:dyDescent="0.55000000000000004">
      <c r="B6" s="43"/>
      <c r="C6" s="44"/>
      <c r="D6" s="7" t="s">
        <v>13</v>
      </c>
      <c r="E6" s="7" t="s">
        <v>14</v>
      </c>
      <c r="F6" s="8" t="s">
        <v>15</v>
      </c>
    </row>
    <row r="7" spans="2:11" ht="18.5" thickBot="1" x14ac:dyDescent="0.6">
      <c r="B7" s="45" t="s">
        <v>0</v>
      </c>
      <c r="C7" s="46"/>
      <c r="D7" s="18" t="s">
        <v>4</v>
      </c>
      <c r="E7" s="18" t="s">
        <v>4</v>
      </c>
      <c r="F7" s="19" t="s">
        <v>4</v>
      </c>
    </row>
    <row r="8" spans="2:11" ht="18.5" thickTop="1" x14ac:dyDescent="0.55000000000000004">
      <c r="B8" s="14">
        <f>ROW()-7</f>
        <v>1</v>
      </c>
      <c r="C8" s="26" t="s">
        <v>40</v>
      </c>
      <c r="D8" s="16"/>
      <c r="E8" s="16"/>
      <c r="F8" s="17"/>
    </row>
    <row r="9" spans="2:11" x14ac:dyDescent="0.55000000000000004">
      <c r="B9" s="9">
        <f t="shared" ref="B9:B38" si="0">ROW()-7</f>
        <v>2</v>
      </c>
      <c r="C9" s="2" t="s">
        <v>40</v>
      </c>
      <c r="D9" s="4"/>
      <c r="E9" s="4"/>
      <c r="F9" s="10"/>
    </row>
    <row r="10" spans="2:11" x14ac:dyDescent="0.55000000000000004">
      <c r="B10" s="9">
        <f t="shared" si="0"/>
        <v>3</v>
      </c>
      <c r="C10" s="2" t="s">
        <v>40</v>
      </c>
      <c r="D10" s="4"/>
      <c r="E10" s="4"/>
      <c r="F10" s="10"/>
    </row>
    <row r="11" spans="2:11" x14ac:dyDescent="0.55000000000000004">
      <c r="B11" s="9">
        <f t="shared" si="0"/>
        <v>4</v>
      </c>
      <c r="C11" s="2" t="s">
        <v>40</v>
      </c>
      <c r="D11" s="4"/>
      <c r="E11" s="4"/>
      <c r="F11" s="10"/>
    </row>
    <row r="12" spans="2:11" x14ac:dyDescent="0.55000000000000004">
      <c r="B12" s="9">
        <f t="shared" si="0"/>
        <v>5</v>
      </c>
      <c r="C12" s="2" t="s">
        <v>40</v>
      </c>
      <c r="D12" s="4"/>
      <c r="E12" s="4"/>
      <c r="F12" s="10"/>
    </row>
    <row r="13" spans="2:11" x14ac:dyDescent="0.55000000000000004">
      <c r="B13" s="9">
        <f t="shared" si="0"/>
        <v>6</v>
      </c>
      <c r="C13" s="2" t="s">
        <v>40</v>
      </c>
      <c r="D13" s="4"/>
      <c r="E13" s="4"/>
      <c r="F13" s="10"/>
    </row>
    <row r="14" spans="2:11" x14ac:dyDescent="0.55000000000000004">
      <c r="B14" s="9">
        <f t="shared" si="0"/>
        <v>7</v>
      </c>
      <c r="C14" s="2" t="s">
        <v>40</v>
      </c>
      <c r="D14" s="4"/>
      <c r="E14" s="4"/>
      <c r="F14" s="10"/>
    </row>
    <row r="15" spans="2:11" x14ac:dyDescent="0.55000000000000004">
      <c r="B15" s="9">
        <f t="shared" si="0"/>
        <v>8</v>
      </c>
      <c r="C15" s="2" t="s">
        <v>40</v>
      </c>
      <c r="D15" s="4"/>
      <c r="E15" s="4"/>
      <c r="F15" s="10"/>
    </row>
    <row r="16" spans="2:11" x14ac:dyDescent="0.55000000000000004">
      <c r="B16" s="9">
        <f t="shared" si="0"/>
        <v>9</v>
      </c>
      <c r="C16" s="2" t="s">
        <v>40</v>
      </c>
      <c r="D16" s="4"/>
      <c r="E16" s="4"/>
      <c r="F16" s="10"/>
    </row>
    <row r="17" spans="2:6" x14ac:dyDescent="0.55000000000000004">
      <c r="B17" s="9">
        <f t="shared" si="0"/>
        <v>10</v>
      </c>
      <c r="C17" s="2" t="s">
        <v>40</v>
      </c>
      <c r="D17" s="4"/>
      <c r="E17" s="4"/>
      <c r="F17" s="10"/>
    </row>
    <row r="18" spans="2:6" x14ac:dyDescent="0.55000000000000004">
      <c r="B18" s="9">
        <f t="shared" si="0"/>
        <v>11</v>
      </c>
      <c r="C18" s="2" t="s">
        <v>40</v>
      </c>
      <c r="D18" s="4"/>
      <c r="E18" s="4"/>
      <c r="F18" s="10"/>
    </row>
    <row r="19" spans="2:6" x14ac:dyDescent="0.55000000000000004">
      <c r="B19" s="9">
        <f t="shared" si="0"/>
        <v>12</v>
      </c>
      <c r="C19" s="2" t="s">
        <v>40</v>
      </c>
      <c r="D19" s="4"/>
      <c r="E19" s="4"/>
      <c r="F19" s="10"/>
    </row>
    <row r="20" spans="2:6" x14ac:dyDescent="0.55000000000000004">
      <c r="B20" s="9">
        <f t="shared" si="0"/>
        <v>13</v>
      </c>
      <c r="C20" s="2" t="s">
        <v>40</v>
      </c>
      <c r="D20" s="4"/>
      <c r="E20" s="4"/>
      <c r="F20" s="10"/>
    </row>
    <row r="21" spans="2:6" x14ac:dyDescent="0.55000000000000004">
      <c r="B21" s="9">
        <f t="shared" si="0"/>
        <v>14</v>
      </c>
      <c r="C21" s="2" t="s">
        <v>40</v>
      </c>
      <c r="D21" s="4"/>
      <c r="E21" s="4"/>
      <c r="F21" s="10"/>
    </row>
    <row r="22" spans="2:6" x14ac:dyDescent="0.55000000000000004">
      <c r="B22" s="9">
        <f t="shared" si="0"/>
        <v>15</v>
      </c>
      <c r="C22" s="2" t="s">
        <v>40</v>
      </c>
      <c r="D22" s="4"/>
      <c r="E22" s="4"/>
      <c r="F22" s="10"/>
    </row>
    <row r="23" spans="2:6" x14ac:dyDescent="0.55000000000000004">
      <c r="B23" s="9">
        <f t="shared" si="0"/>
        <v>16</v>
      </c>
      <c r="C23" s="2" t="s">
        <v>40</v>
      </c>
      <c r="D23" s="4"/>
      <c r="E23" s="4"/>
      <c r="F23" s="10"/>
    </row>
    <row r="24" spans="2:6" x14ac:dyDescent="0.55000000000000004">
      <c r="B24" s="9">
        <f t="shared" si="0"/>
        <v>17</v>
      </c>
      <c r="C24" s="2" t="s">
        <v>40</v>
      </c>
      <c r="D24" s="4"/>
      <c r="E24" s="4"/>
      <c r="F24" s="10"/>
    </row>
    <row r="25" spans="2:6" x14ac:dyDescent="0.55000000000000004">
      <c r="B25" s="9">
        <f t="shared" si="0"/>
        <v>18</v>
      </c>
      <c r="C25" s="2" t="s">
        <v>40</v>
      </c>
      <c r="D25" s="4"/>
      <c r="E25" s="4"/>
      <c r="F25" s="10"/>
    </row>
    <row r="26" spans="2:6" x14ac:dyDescent="0.55000000000000004">
      <c r="B26" s="9">
        <f t="shared" si="0"/>
        <v>19</v>
      </c>
      <c r="C26" s="2" t="s">
        <v>40</v>
      </c>
      <c r="D26" s="4"/>
      <c r="E26" s="4"/>
      <c r="F26" s="10"/>
    </row>
    <row r="27" spans="2:6" x14ac:dyDescent="0.55000000000000004">
      <c r="B27" s="9">
        <f t="shared" si="0"/>
        <v>20</v>
      </c>
      <c r="C27" s="2" t="s">
        <v>40</v>
      </c>
      <c r="D27" s="4"/>
      <c r="E27" s="4"/>
      <c r="F27" s="10"/>
    </row>
    <row r="28" spans="2:6" x14ac:dyDescent="0.55000000000000004">
      <c r="B28" s="9">
        <f t="shared" si="0"/>
        <v>21</v>
      </c>
      <c r="C28" s="2" t="s">
        <v>40</v>
      </c>
      <c r="D28" s="4"/>
      <c r="E28" s="4"/>
      <c r="F28" s="10"/>
    </row>
    <row r="29" spans="2:6" x14ac:dyDescent="0.55000000000000004">
      <c r="B29" s="9">
        <f t="shared" si="0"/>
        <v>22</v>
      </c>
      <c r="C29" s="2" t="s">
        <v>40</v>
      </c>
      <c r="D29" s="4"/>
      <c r="E29" s="4"/>
      <c r="F29" s="10"/>
    </row>
    <row r="30" spans="2:6" x14ac:dyDescent="0.55000000000000004">
      <c r="B30" s="9">
        <f t="shared" si="0"/>
        <v>23</v>
      </c>
      <c r="C30" s="2" t="s">
        <v>40</v>
      </c>
      <c r="D30" s="4"/>
      <c r="E30" s="4"/>
      <c r="F30" s="10"/>
    </row>
    <row r="31" spans="2:6" x14ac:dyDescent="0.55000000000000004">
      <c r="B31" s="9">
        <f t="shared" si="0"/>
        <v>24</v>
      </c>
      <c r="C31" s="2" t="s">
        <v>40</v>
      </c>
      <c r="D31" s="4"/>
      <c r="E31" s="4"/>
      <c r="F31" s="10"/>
    </row>
    <row r="32" spans="2:6" x14ac:dyDescent="0.55000000000000004">
      <c r="B32" s="9">
        <f t="shared" si="0"/>
        <v>25</v>
      </c>
      <c r="C32" s="2" t="s">
        <v>40</v>
      </c>
      <c r="D32" s="4"/>
      <c r="E32" s="4"/>
      <c r="F32" s="10"/>
    </row>
    <row r="33" spans="2:6" x14ac:dyDescent="0.55000000000000004">
      <c r="B33" s="9">
        <f t="shared" si="0"/>
        <v>26</v>
      </c>
      <c r="C33" s="2" t="s">
        <v>40</v>
      </c>
      <c r="D33" s="4"/>
      <c r="E33" s="4"/>
      <c r="F33" s="10"/>
    </row>
    <row r="34" spans="2:6" x14ac:dyDescent="0.55000000000000004">
      <c r="B34" s="9">
        <f t="shared" si="0"/>
        <v>27</v>
      </c>
      <c r="C34" s="2" t="s">
        <v>40</v>
      </c>
      <c r="D34" s="4"/>
      <c r="E34" s="4"/>
      <c r="F34" s="10"/>
    </row>
    <row r="35" spans="2:6" x14ac:dyDescent="0.55000000000000004">
      <c r="B35" s="9">
        <f t="shared" si="0"/>
        <v>28</v>
      </c>
      <c r="C35" s="2" t="s">
        <v>40</v>
      </c>
      <c r="D35" s="4"/>
      <c r="E35" s="4"/>
      <c r="F35" s="10"/>
    </row>
    <row r="36" spans="2:6" x14ac:dyDescent="0.55000000000000004">
      <c r="B36" s="9">
        <f t="shared" si="0"/>
        <v>29</v>
      </c>
      <c r="C36" s="2" t="s">
        <v>40</v>
      </c>
      <c r="D36" s="4"/>
      <c r="E36" s="4"/>
      <c r="F36" s="10"/>
    </row>
    <row r="37" spans="2:6" x14ac:dyDescent="0.55000000000000004">
      <c r="B37" s="9">
        <f t="shared" si="0"/>
        <v>30</v>
      </c>
      <c r="C37" s="2" t="s">
        <v>40</v>
      </c>
      <c r="D37" s="4"/>
      <c r="E37" s="4"/>
      <c r="F37" s="10"/>
    </row>
    <row r="38" spans="2:6" ht="18.5" thickBot="1" x14ac:dyDescent="0.6">
      <c r="B38" s="20">
        <f t="shared" si="0"/>
        <v>31</v>
      </c>
      <c r="C38" s="27" t="s">
        <v>40</v>
      </c>
      <c r="D38" s="22"/>
      <c r="E38" s="22"/>
      <c r="F38" s="23"/>
    </row>
    <row r="39" spans="2:6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5">
        <f>COUNTIF(F8:F38,"22")</f>
        <v>0</v>
      </c>
    </row>
    <row r="40" spans="2:6" x14ac:dyDescent="0.55000000000000004">
      <c r="B40" s="48" t="s">
        <v>41</v>
      </c>
      <c r="C40" s="49"/>
      <c r="D40" s="1">
        <f>COUNT(D8:D38)-D39</f>
        <v>0</v>
      </c>
      <c r="E40" s="1">
        <f>COUNT(E8:E38)-E39</f>
        <v>0</v>
      </c>
      <c r="F40" s="11">
        <f>COUNT(F8:F38)-F39</f>
        <v>0</v>
      </c>
    </row>
    <row r="41" spans="2:6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13" t="str">
        <f>IF(F39&gt;F40,"OK","NG")</f>
        <v>NG</v>
      </c>
    </row>
  </sheetData>
  <mergeCells count="5">
    <mergeCell ref="B6:C6"/>
    <mergeCell ref="B7:C7"/>
    <mergeCell ref="B39:C39"/>
    <mergeCell ref="B40:C40"/>
    <mergeCell ref="B41:C41"/>
  </mergeCells>
  <phoneticPr fontId="1"/>
  <conditionalFormatting sqref="D41:F41">
    <cfRule type="cellIs" dxfId="29" priority="1" operator="equal">
      <formula>"OK"</formula>
    </cfRule>
    <cfRule type="cellIs" dxfId="28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9247-F227-4153-A537-1702DC5F8D92}">
  <sheetPr codeName="Sheet6"/>
  <dimension ref="B2:F41"/>
  <sheetViews>
    <sheetView topLeftCell="A22" workbookViewId="0">
      <selection activeCell="H37" sqref="H37"/>
    </sheetView>
  </sheetViews>
  <sheetFormatPr defaultRowHeight="18" x14ac:dyDescent="0.55000000000000004"/>
  <cols>
    <col min="2" max="2" width="12.5" bestFit="1" customWidth="1"/>
    <col min="3" max="3" width="7.25" customWidth="1"/>
    <col min="4" max="4" width="23.1640625" bestFit="1" customWidth="1"/>
    <col min="5" max="5" width="17.83203125" bestFit="1" customWidth="1"/>
    <col min="6" max="6" width="18.33203125" bestFit="1" customWidth="1"/>
  </cols>
  <sheetData>
    <row r="2" spans="2:6" ht="22.5" x14ac:dyDescent="0.55000000000000004">
      <c r="B2" s="5" t="s">
        <v>16</v>
      </c>
      <c r="C2" s="5"/>
    </row>
    <row r="4" spans="2:6" x14ac:dyDescent="0.55000000000000004">
      <c r="B4" s="3" t="s">
        <v>66</v>
      </c>
      <c r="C4" s="3"/>
      <c r="D4" s="3"/>
    </row>
    <row r="5" spans="2:6" ht="18.5" thickBot="1" x14ac:dyDescent="0.6"/>
    <row r="6" spans="2:6" x14ac:dyDescent="0.55000000000000004">
      <c r="B6" s="43"/>
      <c r="C6" s="44"/>
      <c r="D6" s="7" t="s">
        <v>17</v>
      </c>
      <c r="E6" s="7" t="s">
        <v>18</v>
      </c>
      <c r="F6" s="8" t="s">
        <v>19</v>
      </c>
    </row>
    <row r="7" spans="2:6" ht="18.5" thickBot="1" x14ac:dyDescent="0.6">
      <c r="B7" s="45" t="s">
        <v>0</v>
      </c>
      <c r="C7" s="46"/>
      <c r="D7" s="18" t="s">
        <v>4</v>
      </c>
      <c r="E7" s="18" t="s">
        <v>4</v>
      </c>
      <c r="F7" s="19" t="s">
        <v>4</v>
      </c>
    </row>
    <row r="8" spans="2:6" ht="18.5" thickTop="1" x14ac:dyDescent="0.55000000000000004">
      <c r="B8" s="14">
        <f>ROW()-7</f>
        <v>1</v>
      </c>
      <c r="C8" s="26" t="s">
        <v>40</v>
      </c>
      <c r="D8" s="16"/>
      <c r="E8" s="16"/>
      <c r="F8" s="17"/>
    </row>
    <row r="9" spans="2:6" x14ac:dyDescent="0.55000000000000004">
      <c r="B9" s="9">
        <f t="shared" ref="B9:B38" si="0">ROW()-7</f>
        <v>2</v>
      </c>
      <c r="C9" s="2" t="s">
        <v>40</v>
      </c>
      <c r="D9" s="4"/>
      <c r="E9" s="4"/>
      <c r="F9" s="10"/>
    </row>
    <row r="10" spans="2:6" x14ac:dyDescent="0.55000000000000004">
      <c r="B10" s="9">
        <f t="shared" si="0"/>
        <v>3</v>
      </c>
      <c r="C10" s="2" t="s">
        <v>40</v>
      </c>
      <c r="D10" s="4"/>
      <c r="E10" s="4"/>
      <c r="F10" s="10"/>
    </row>
    <row r="11" spans="2:6" x14ac:dyDescent="0.55000000000000004">
      <c r="B11" s="9">
        <f t="shared" si="0"/>
        <v>4</v>
      </c>
      <c r="C11" s="2" t="s">
        <v>40</v>
      </c>
      <c r="D11" s="4"/>
      <c r="E11" s="4"/>
      <c r="F11" s="10"/>
    </row>
    <row r="12" spans="2:6" x14ac:dyDescent="0.55000000000000004">
      <c r="B12" s="9">
        <f t="shared" si="0"/>
        <v>5</v>
      </c>
      <c r="C12" s="2" t="s">
        <v>40</v>
      </c>
      <c r="D12" s="4"/>
      <c r="E12" s="4"/>
      <c r="F12" s="10"/>
    </row>
    <row r="13" spans="2:6" x14ac:dyDescent="0.55000000000000004">
      <c r="B13" s="9">
        <f t="shared" si="0"/>
        <v>6</v>
      </c>
      <c r="C13" s="2" t="s">
        <v>40</v>
      </c>
      <c r="D13" s="4"/>
      <c r="E13" s="4"/>
      <c r="F13" s="10"/>
    </row>
    <row r="14" spans="2:6" x14ac:dyDescent="0.55000000000000004">
      <c r="B14" s="9">
        <f t="shared" si="0"/>
        <v>7</v>
      </c>
      <c r="C14" s="2" t="s">
        <v>40</v>
      </c>
      <c r="D14" s="4"/>
      <c r="E14" s="4"/>
      <c r="F14" s="10"/>
    </row>
    <row r="15" spans="2:6" x14ac:dyDescent="0.55000000000000004">
      <c r="B15" s="9">
        <f t="shared" si="0"/>
        <v>8</v>
      </c>
      <c r="C15" s="2" t="s">
        <v>40</v>
      </c>
      <c r="D15" s="4"/>
      <c r="E15" s="4"/>
      <c r="F15" s="10"/>
    </row>
    <row r="16" spans="2:6" x14ac:dyDescent="0.55000000000000004">
      <c r="B16" s="9">
        <f t="shared" si="0"/>
        <v>9</v>
      </c>
      <c r="C16" s="2" t="s">
        <v>40</v>
      </c>
      <c r="D16" s="4"/>
      <c r="E16" s="4"/>
      <c r="F16" s="10"/>
    </row>
    <row r="17" spans="2:6" x14ac:dyDescent="0.55000000000000004">
      <c r="B17" s="9">
        <f t="shared" si="0"/>
        <v>10</v>
      </c>
      <c r="C17" s="2" t="s">
        <v>40</v>
      </c>
      <c r="D17" s="4"/>
      <c r="E17" s="4"/>
      <c r="F17" s="10"/>
    </row>
    <row r="18" spans="2:6" x14ac:dyDescent="0.55000000000000004">
      <c r="B18" s="9">
        <f t="shared" si="0"/>
        <v>11</v>
      </c>
      <c r="C18" s="2" t="s">
        <v>40</v>
      </c>
      <c r="D18" s="4"/>
      <c r="E18" s="4"/>
      <c r="F18" s="10"/>
    </row>
    <row r="19" spans="2:6" x14ac:dyDescent="0.55000000000000004">
      <c r="B19" s="9">
        <f t="shared" si="0"/>
        <v>12</v>
      </c>
      <c r="C19" s="2" t="s">
        <v>40</v>
      </c>
      <c r="D19" s="4"/>
      <c r="E19" s="4"/>
      <c r="F19" s="10"/>
    </row>
    <row r="20" spans="2:6" x14ac:dyDescent="0.55000000000000004">
      <c r="B20" s="9">
        <f t="shared" si="0"/>
        <v>13</v>
      </c>
      <c r="C20" s="2" t="s">
        <v>40</v>
      </c>
      <c r="D20" s="4"/>
      <c r="E20" s="4"/>
      <c r="F20" s="10"/>
    </row>
    <row r="21" spans="2:6" x14ac:dyDescent="0.55000000000000004">
      <c r="B21" s="9">
        <f t="shared" si="0"/>
        <v>14</v>
      </c>
      <c r="C21" s="2" t="s">
        <v>40</v>
      </c>
      <c r="D21" s="4"/>
      <c r="E21" s="4"/>
      <c r="F21" s="10"/>
    </row>
    <row r="22" spans="2:6" x14ac:dyDescent="0.55000000000000004">
      <c r="B22" s="9">
        <f t="shared" si="0"/>
        <v>15</v>
      </c>
      <c r="C22" s="2" t="s">
        <v>40</v>
      </c>
      <c r="D22" s="4"/>
      <c r="E22" s="4"/>
      <c r="F22" s="10"/>
    </row>
    <row r="23" spans="2:6" x14ac:dyDescent="0.55000000000000004">
      <c r="B23" s="9">
        <f t="shared" si="0"/>
        <v>16</v>
      </c>
      <c r="C23" s="2" t="s">
        <v>40</v>
      </c>
      <c r="D23" s="4"/>
      <c r="E23" s="4"/>
      <c r="F23" s="10"/>
    </row>
    <row r="24" spans="2:6" x14ac:dyDescent="0.55000000000000004">
      <c r="B24" s="9">
        <f t="shared" si="0"/>
        <v>17</v>
      </c>
      <c r="C24" s="2" t="s">
        <v>40</v>
      </c>
      <c r="D24" s="4"/>
      <c r="E24" s="4"/>
      <c r="F24" s="10"/>
    </row>
    <row r="25" spans="2:6" x14ac:dyDescent="0.55000000000000004">
      <c r="B25" s="9">
        <f t="shared" si="0"/>
        <v>18</v>
      </c>
      <c r="C25" s="2" t="s">
        <v>40</v>
      </c>
      <c r="D25" s="4"/>
      <c r="E25" s="4"/>
      <c r="F25" s="10"/>
    </row>
    <row r="26" spans="2:6" x14ac:dyDescent="0.55000000000000004">
      <c r="B26" s="9">
        <f t="shared" si="0"/>
        <v>19</v>
      </c>
      <c r="C26" s="2" t="s">
        <v>40</v>
      </c>
      <c r="D26" s="4"/>
      <c r="E26" s="4"/>
      <c r="F26" s="10"/>
    </row>
    <row r="27" spans="2:6" x14ac:dyDescent="0.55000000000000004">
      <c r="B27" s="9">
        <f t="shared" si="0"/>
        <v>20</v>
      </c>
      <c r="C27" s="2" t="s">
        <v>40</v>
      </c>
      <c r="D27" s="4"/>
      <c r="E27" s="4"/>
      <c r="F27" s="10"/>
    </row>
    <row r="28" spans="2:6" x14ac:dyDescent="0.55000000000000004">
      <c r="B28" s="9">
        <f t="shared" si="0"/>
        <v>21</v>
      </c>
      <c r="C28" s="2" t="s">
        <v>40</v>
      </c>
      <c r="D28" s="4"/>
      <c r="E28" s="4"/>
      <c r="F28" s="10"/>
    </row>
    <row r="29" spans="2:6" x14ac:dyDescent="0.55000000000000004">
      <c r="B29" s="9">
        <f t="shared" si="0"/>
        <v>22</v>
      </c>
      <c r="C29" s="2" t="s">
        <v>40</v>
      </c>
      <c r="D29" s="4"/>
      <c r="E29" s="4"/>
      <c r="F29" s="10"/>
    </row>
    <row r="30" spans="2:6" x14ac:dyDescent="0.55000000000000004">
      <c r="B30" s="9">
        <f t="shared" si="0"/>
        <v>23</v>
      </c>
      <c r="C30" s="2" t="s">
        <v>40</v>
      </c>
      <c r="D30" s="4"/>
      <c r="E30" s="4"/>
      <c r="F30" s="10"/>
    </row>
    <row r="31" spans="2:6" x14ac:dyDescent="0.55000000000000004">
      <c r="B31" s="9">
        <f t="shared" si="0"/>
        <v>24</v>
      </c>
      <c r="C31" s="2" t="s">
        <v>40</v>
      </c>
      <c r="D31" s="4"/>
      <c r="E31" s="4"/>
      <c r="F31" s="10"/>
    </row>
    <row r="32" spans="2:6" x14ac:dyDescent="0.55000000000000004">
      <c r="B32" s="9">
        <f t="shared" si="0"/>
        <v>25</v>
      </c>
      <c r="C32" s="2" t="s">
        <v>40</v>
      </c>
      <c r="D32" s="4"/>
      <c r="E32" s="4"/>
      <c r="F32" s="10"/>
    </row>
    <row r="33" spans="2:6" x14ac:dyDescent="0.55000000000000004">
      <c r="B33" s="9">
        <f t="shared" si="0"/>
        <v>26</v>
      </c>
      <c r="C33" s="2" t="s">
        <v>40</v>
      </c>
      <c r="D33" s="4"/>
      <c r="E33" s="4"/>
      <c r="F33" s="10"/>
    </row>
    <row r="34" spans="2:6" x14ac:dyDescent="0.55000000000000004">
      <c r="B34" s="9">
        <f t="shared" si="0"/>
        <v>27</v>
      </c>
      <c r="C34" s="2" t="s">
        <v>40</v>
      </c>
      <c r="D34" s="4"/>
      <c r="E34" s="4"/>
      <c r="F34" s="10"/>
    </row>
    <row r="35" spans="2:6" x14ac:dyDescent="0.55000000000000004">
      <c r="B35" s="9">
        <f t="shared" si="0"/>
        <v>28</v>
      </c>
      <c r="C35" s="2" t="s">
        <v>40</v>
      </c>
      <c r="D35" s="4"/>
      <c r="E35" s="4"/>
      <c r="F35" s="10"/>
    </row>
    <row r="36" spans="2:6" x14ac:dyDescent="0.55000000000000004">
      <c r="B36" s="9">
        <f t="shared" si="0"/>
        <v>29</v>
      </c>
      <c r="C36" s="2" t="s">
        <v>40</v>
      </c>
      <c r="D36" s="4"/>
      <c r="E36" s="4"/>
      <c r="F36" s="10"/>
    </row>
    <row r="37" spans="2:6" x14ac:dyDescent="0.55000000000000004">
      <c r="B37" s="9">
        <f t="shared" si="0"/>
        <v>30</v>
      </c>
      <c r="C37" s="2" t="s">
        <v>40</v>
      </c>
      <c r="D37" s="4"/>
      <c r="E37" s="4"/>
      <c r="F37" s="10"/>
    </row>
    <row r="38" spans="2:6" ht="18.5" thickBot="1" x14ac:dyDescent="0.6">
      <c r="B38" s="20">
        <f t="shared" si="0"/>
        <v>31</v>
      </c>
      <c r="C38" s="27" t="s">
        <v>40</v>
      </c>
      <c r="D38" s="22"/>
      <c r="E38" s="22"/>
      <c r="F38" s="23"/>
    </row>
    <row r="39" spans="2:6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5">
        <f>COUNTIF(F8:F38,"22")</f>
        <v>0</v>
      </c>
    </row>
    <row r="40" spans="2:6" x14ac:dyDescent="0.55000000000000004">
      <c r="B40" s="28" t="s">
        <v>41</v>
      </c>
      <c r="C40" s="1"/>
      <c r="D40" s="1">
        <f>COUNT(D8:D38)-D39</f>
        <v>0</v>
      </c>
      <c r="E40" s="1">
        <f>COUNT(E8:E38)-E39</f>
        <v>0</v>
      </c>
      <c r="F40" s="11">
        <f>COUNT(F8:F38)-F39</f>
        <v>0</v>
      </c>
    </row>
    <row r="41" spans="2:6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13" t="str">
        <f>IF(F39&gt;F40,"OK","NG")</f>
        <v>NG</v>
      </c>
    </row>
  </sheetData>
  <mergeCells count="4">
    <mergeCell ref="B6:C6"/>
    <mergeCell ref="B7:C7"/>
    <mergeCell ref="B41:C41"/>
    <mergeCell ref="B39:C39"/>
  </mergeCells>
  <phoneticPr fontId="1"/>
  <conditionalFormatting sqref="D41:F41">
    <cfRule type="cellIs" dxfId="27" priority="1" operator="equal">
      <formula>"OK"</formula>
    </cfRule>
    <cfRule type="cellIs" dxfId="26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EB794-2410-4831-934E-440D5A7ACE0A}">
  <sheetPr codeName="Sheet7"/>
  <dimension ref="B2:G41"/>
  <sheetViews>
    <sheetView topLeftCell="A24" workbookViewId="0">
      <selection activeCell="G41" sqref="G41"/>
    </sheetView>
  </sheetViews>
  <sheetFormatPr defaultRowHeight="18" x14ac:dyDescent="0.55000000000000004"/>
  <cols>
    <col min="2" max="2" width="14.08203125" customWidth="1"/>
    <col min="3" max="3" width="7.1640625" customWidth="1"/>
    <col min="4" max="4" width="23.1640625" bestFit="1" customWidth="1"/>
    <col min="5" max="5" width="20.5" bestFit="1" customWidth="1"/>
    <col min="6" max="6" width="19.25" customWidth="1"/>
    <col min="7" max="7" width="17.83203125" bestFit="1" customWidth="1"/>
    <col min="8" max="8" width="15.9140625" customWidth="1"/>
    <col min="9" max="9" width="13.75" customWidth="1"/>
    <col min="10" max="10" width="15.75" customWidth="1"/>
    <col min="11" max="11" width="15.5" customWidth="1"/>
  </cols>
  <sheetData>
    <row r="2" spans="2:7" ht="22.5" x14ac:dyDescent="0.55000000000000004">
      <c r="B2" s="5" t="s">
        <v>16</v>
      </c>
      <c r="C2" s="5"/>
    </row>
    <row r="3" spans="2:7" x14ac:dyDescent="0.55000000000000004">
      <c r="F3" s="3"/>
    </row>
    <row r="4" spans="2:7" x14ac:dyDescent="0.55000000000000004">
      <c r="B4" s="3" t="s">
        <v>67</v>
      </c>
      <c r="C4" s="3"/>
      <c r="D4" s="3"/>
      <c r="F4" s="3"/>
    </row>
    <row r="5" spans="2:7" ht="18.5" thickBot="1" x14ac:dyDescent="0.6"/>
    <row r="6" spans="2:7" x14ac:dyDescent="0.55000000000000004">
      <c r="B6" s="43"/>
      <c r="C6" s="44"/>
      <c r="D6" s="7" t="s">
        <v>20</v>
      </c>
      <c r="E6" s="7" t="s">
        <v>21</v>
      </c>
      <c r="F6" s="7" t="s">
        <v>22</v>
      </c>
      <c r="G6" s="8" t="s">
        <v>23</v>
      </c>
    </row>
    <row r="7" spans="2:7" ht="18.5" thickBot="1" x14ac:dyDescent="0.6">
      <c r="B7" s="45" t="s">
        <v>0</v>
      </c>
      <c r="C7" s="46"/>
      <c r="D7" s="18" t="s">
        <v>4</v>
      </c>
      <c r="E7" s="18" t="s">
        <v>4</v>
      </c>
      <c r="F7" s="18" t="s">
        <v>4</v>
      </c>
      <c r="G7" s="19" t="s">
        <v>4</v>
      </c>
    </row>
    <row r="8" spans="2:7" ht="18.5" thickTop="1" x14ac:dyDescent="0.55000000000000004">
      <c r="B8" s="14">
        <f>ROW()-7</f>
        <v>1</v>
      </c>
      <c r="C8" s="26" t="s">
        <v>40</v>
      </c>
      <c r="D8" s="16"/>
      <c r="E8" s="16"/>
      <c r="F8" s="16"/>
      <c r="G8" s="17"/>
    </row>
    <row r="9" spans="2:7" x14ac:dyDescent="0.55000000000000004">
      <c r="B9" s="9">
        <f t="shared" ref="B9:B38" si="0">ROW()-7</f>
        <v>2</v>
      </c>
      <c r="C9" s="2" t="s">
        <v>40</v>
      </c>
      <c r="D9" s="4"/>
      <c r="E9" s="4"/>
      <c r="F9" s="4"/>
      <c r="G9" s="10"/>
    </row>
    <row r="10" spans="2:7" x14ac:dyDescent="0.55000000000000004">
      <c r="B10" s="9">
        <f t="shared" si="0"/>
        <v>3</v>
      </c>
      <c r="C10" s="2" t="s">
        <v>40</v>
      </c>
      <c r="D10" s="4"/>
      <c r="E10" s="4"/>
      <c r="F10" s="4"/>
      <c r="G10" s="10"/>
    </row>
    <row r="11" spans="2:7" x14ac:dyDescent="0.55000000000000004">
      <c r="B11" s="9">
        <f t="shared" si="0"/>
        <v>4</v>
      </c>
      <c r="C11" s="2" t="s">
        <v>40</v>
      </c>
      <c r="D11" s="4"/>
      <c r="E11" s="4"/>
      <c r="F11" s="4"/>
      <c r="G11" s="10"/>
    </row>
    <row r="12" spans="2:7" x14ac:dyDescent="0.55000000000000004">
      <c r="B12" s="9">
        <f t="shared" si="0"/>
        <v>5</v>
      </c>
      <c r="C12" s="2" t="s">
        <v>40</v>
      </c>
      <c r="D12" s="4"/>
      <c r="E12" s="4"/>
      <c r="F12" s="4"/>
      <c r="G12" s="10"/>
    </row>
    <row r="13" spans="2:7" x14ac:dyDescent="0.55000000000000004">
      <c r="B13" s="9">
        <f t="shared" si="0"/>
        <v>6</v>
      </c>
      <c r="C13" s="2" t="s">
        <v>40</v>
      </c>
      <c r="D13" s="4"/>
      <c r="E13" s="4"/>
      <c r="F13" s="4"/>
      <c r="G13" s="10"/>
    </row>
    <row r="14" spans="2:7" x14ac:dyDescent="0.55000000000000004">
      <c r="B14" s="9">
        <f t="shared" si="0"/>
        <v>7</v>
      </c>
      <c r="C14" s="2" t="s">
        <v>40</v>
      </c>
      <c r="D14" s="4"/>
      <c r="E14" s="4"/>
      <c r="F14" s="4"/>
      <c r="G14" s="10"/>
    </row>
    <row r="15" spans="2:7" x14ac:dyDescent="0.55000000000000004">
      <c r="B15" s="9">
        <f t="shared" si="0"/>
        <v>8</v>
      </c>
      <c r="C15" s="2" t="s">
        <v>40</v>
      </c>
      <c r="D15" s="4"/>
      <c r="E15" s="4"/>
      <c r="F15" s="4"/>
      <c r="G15" s="10"/>
    </row>
    <row r="16" spans="2:7" x14ac:dyDescent="0.55000000000000004">
      <c r="B16" s="9">
        <f t="shared" si="0"/>
        <v>9</v>
      </c>
      <c r="C16" s="2" t="s">
        <v>40</v>
      </c>
      <c r="D16" s="4"/>
      <c r="E16" s="4"/>
      <c r="F16" s="4"/>
      <c r="G16" s="10"/>
    </row>
    <row r="17" spans="2:7" x14ac:dyDescent="0.55000000000000004">
      <c r="B17" s="9">
        <f t="shared" si="0"/>
        <v>10</v>
      </c>
      <c r="C17" s="2" t="s">
        <v>40</v>
      </c>
      <c r="D17" s="4"/>
      <c r="E17" s="4"/>
      <c r="F17" s="4"/>
      <c r="G17" s="10"/>
    </row>
    <row r="18" spans="2:7" x14ac:dyDescent="0.55000000000000004">
      <c r="B18" s="9">
        <f t="shared" si="0"/>
        <v>11</v>
      </c>
      <c r="C18" s="2" t="s">
        <v>40</v>
      </c>
      <c r="D18" s="4"/>
      <c r="E18" s="4"/>
      <c r="F18" s="4"/>
      <c r="G18" s="10"/>
    </row>
    <row r="19" spans="2:7" x14ac:dyDescent="0.55000000000000004">
      <c r="B19" s="9">
        <f t="shared" si="0"/>
        <v>12</v>
      </c>
      <c r="C19" s="2" t="s">
        <v>40</v>
      </c>
      <c r="D19" s="4"/>
      <c r="E19" s="4"/>
      <c r="F19" s="4"/>
      <c r="G19" s="10"/>
    </row>
    <row r="20" spans="2:7" x14ac:dyDescent="0.55000000000000004">
      <c r="B20" s="9">
        <f t="shared" si="0"/>
        <v>13</v>
      </c>
      <c r="C20" s="2" t="s">
        <v>40</v>
      </c>
      <c r="D20" s="4"/>
      <c r="E20" s="4"/>
      <c r="F20" s="4"/>
      <c r="G20" s="10"/>
    </row>
    <row r="21" spans="2:7" x14ac:dyDescent="0.55000000000000004">
      <c r="B21" s="9">
        <f t="shared" si="0"/>
        <v>14</v>
      </c>
      <c r="C21" s="2" t="s">
        <v>40</v>
      </c>
      <c r="D21" s="4"/>
      <c r="E21" s="4"/>
      <c r="F21" s="4"/>
      <c r="G21" s="10"/>
    </row>
    <row r="22" spans="2:7" x14ac:dyDescent="0.55000000000000004">
      <c r="B22" s="9">
        <f t="shared" si="0"/>
        <v>15</v>
      </c>
      <c r="C22" s="2" t="s">
        <v>40</v>
      </c>
      <c r="D22" s="4"/>
      <c r="E22" s="4"/>
      <c r="F22" s="4"/>
      <c r="G22" s="10"/>
    </row>
    <row r="23" spans="2:7" x14ac:dyDescent="0.55000000000000004">
      <c r="B23" s="9">
        <f t="shared" si="0"/>
        <v>16</v>
      </c>
      <c r="C23" s="2" t="s">
        <v>40</v>
      </c>
      <c r="D23" s="4"/>
      <c r="E23" s="4"/>
      <c r="F23" s="4"/>
      <c r="G23" s="10"/>
    </row>
    <row r="24" spans="2:7" x14ac:dyDescent="0.55000000000000004">
      <c r="B24" s="9">
        <f t="shared" si="0"/>
        <v>17</v>
      </c>
      <c r="C24" s="2" t="s">
        <v>40</v>
      </c>
      <c r="D24" s="4"/>
      <c r="E24" s="4"/>
      <c r="F24" s="4"/>
      <c r="G24" s="10"/>
    </row>
    <row r="25" spans="2:7" x14ac:dyDescent="0.55000000000000004">
      <c r="B25" s="9">
        <f t="shared" si="0"/>
        <v>18</v>
      </c>
      <c r="C25" s="2" t="s">
        <v>40</v>
      </c>
      <c r="D25" s="4"/>
      <c r="E25" s="4"/>
      <c r="F25" s="4"/>
      <c r="G25" s="10"/>
    </row>
    <row r="26" spans="2:7" x14ac:dyDescent="0.55000000000000004">
      <c r="B26" s="9">
        <f t="shared" si="0"/>
        <v>19</v>
      </c>
      <c r="C26" s="2" t="s">
        <v>40</v>
      </c>
      <c r="D26" s="4"/>
      <c r="E26" s="4"/>
      <c r="F26" s="4"/>
      <c r="G26" s="10"/>
    </row>
    <row r="27" spans="2:7" x14ac:dyDescent="0.55000000000000004">
      <c r="B27" s="9">
        <f t="shared" si="0"/>
        <v>20</v>
      </c>
      <c r="C27" s="2" t="s">
        <v>40</v>
      </c>
      <c r="D27" s="4"/>
      <c r="E27" s="4"/>
      <c r="F27" s="4"/>
      <c r="G27" s="10"/>
    </row>
    <row r="28" spans="2:7" x14ac:dyDescent="0.55000000000000004">
      <c r="B28" s="9">
        <f t="shared" si="0"/>
        <v>21</v>
      </c>
      <c r="C28" s="2" t="s">
        <v>40</v>
      </c>
      <c r="D28" s="4"/>
      <c r="E28" s="4"/>
      <c r="F28" s="4"/>
      <c r="G28" s="10"/>
    </row>
    <row r="29" spans="2:7" x14ac:dyDescent="0.55000000000000004">
      <c r="B29" s="9">
        <f t="shared" si="0"/>
        <v>22</v>
      </c>
      <c r="C29" s="2" t="s">
        <v>40</v>
      </c>
      <c r="D29" s="4"/>
      <c r="E29" s="4"/>
      <c r="F29" s="4"/>
      <c r="G29" s="10"/>
    </row>
    <row r="30" spans="2:7" x14ac:dyDescent="0.55000000000000004">
      <c r="B30" s="9">
        <f t="shared" si="0"/>
        <v>23</v>
      </c>
      <c r="C30" s="2" t="s">
        <v>40</v>
      </c>
      <c r="D30" s="4"/>
      <c r="E30" s="4"/>
      <c r="F30" s="4"/>
      <c r="G30" s="10"/>
    </row>
    <row r="31" spans="2:7" x14ac:dyDescent="0.55000000000000004">
      <c r="B31" s="9">
        <f t="shared" si="0"/>
        <v>24</v>
      </c>
      <c r="C31" s="2" t="s">
        <v>40</v>
      </c>
      <c r="D31" s="4"/>
      <c r="E31" s="4"/>
      <c r="F31" s="4"/>
      <c r="G31" s="10"/>
    </row>
    <row r="32" spans="2:7" x14ac:dyDescent="0.55000000000000004">
      <c r="B32" s="9">
        <f t="shared" si="0"/>
        <v>25</v>
      </c>
      <c r="C32" s="2" t="s">
        <v>40</v>
      </c>
      <c r="D32" s="4"/>
      <c r="E32" s="4"/>
      <c r="F32" s="4"/>
      <c r="G32" s="10"/>
    </row>
    <row r="33" spans="2:7" x14ac:dyDescent="0.55000000000000004">
      <c r="B33" s="9">
        <f t="shared" si="0"/>
        <v>26</v>
      </c>
      <c r="C33" s="2" t="s">
        <v>40</v>
      </c>
      <c r="D33" s="4"/>
      <c r="E33" s="4"/>
      <c r="F33" s="4"/>
      <c r="G33" s="10"/>
    </row>
    <row r="34" spans="2:7" x14ac:dyDescent="0.55000000000000004">
      <c r="B34" s="9">
        <f t="shared" si="0"/>
        <v>27</v>
      </c>
      <c r="C34" s="2" t="s">
        <v>40</v>
      </c>
      <c r="D34" s="4"/>
      <c r="E34" s="4"/>
      <c r="F34" s="4"/>
      <c r="G34" s="10"/>
    </row>
    <row r="35" spans="2:7" x14ac:dyDescent="0.55000000000000004">
      <c r="B35" s="9">
        <f t="shared" si="0"/>
        <v>28</v>
      </c>
      <c r="C35" s="2" t="s">
        <v>40</v>
      </c>
      <c r="D35" s="4"/>
      <c r="E35" s="4"/>
      <c r="F35" s="4"/>
      <c r="G35" s="10"/>
    </row>
    <row r="36" spans="2:7" x14ac:dyDescent="0.55000000000000004">
      <c r="B36" s="9">
        <f t="shared" si="0"/>
        <v>29</v>
      </c>
      <c r="C36" s="2" t="s">
        <v>40</v>
      </c>
      <c r="D36" s="4"/>
      <c r="E36" s="4"/>
      <c r="F36" s="4"/>
      <c r="G36" s="10"/>
    </row>
    <row r="37" spans="2:7" x14ac:dyDescent="0.55000000000000004">
      <c r="B37" s="9">
        <f t="shared" si="0"/>
        <v>30</v>
      </c>
      <c r="C37" s="2" t="s">
        <v>40</v>
      </c>
      <c r="D37" s="4"/>
      <c r="E37" s="4"/>
      <c r="F37" s="4"/>
      <c r="G37" s="10"/>
    </row>
    <row r="38" spans="2:7" ht="18.5" thickBot="1" x14ac:dyDescent="0.6">
      <c r="B38" s="20">
        <f t="shared" si="0"/>
        <v>31</v>
      </c>
      <c r="C38" s="27" t="s">
        <v>40</v>
      </c>
      <c r="D38" s="22"/>
      <c r="E38" s="22"/>
      <c r="F38" s="22"/>
      <c r="G38" s="23"/>
    </row>
    <row r="39" spans="2:7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4">
        <f>COUNTIF(F8:F38,"22")</f>
        <v>0</v>
      </c>
      <c r="G39" s="25">
        <f>COUNTIF(G8:G38,"22")</f>
        <v>0</v>
      </c>
    </row>
    <row r="40" spans="2:7" x14ac:dyDescent="0.55000000000000004">
      <c r="B40" s="28" t="s">
        <v>41</v>
      </c>
      <c r="C40" s="1"/>
      <c r="D40" s="1">
        <f>COUNT(D8:D38)-D39</f>
        <v>0</v>
      </c>
      <c r="E40" s="1">
        <f>COUNT(E8:E38)-E39</f>
        <v>0</v>
      </c>
      <c r="F40" s="1">
        <f>COUNT(F8:F38)-F39</f>
        <v>0</v>
      </c>
      <c r="G40" s="11">
        <f>COUNT(G8:G38)-G39</f>
        <v>0</v>
      </c>
    </row>
    <row r="41" spans="2:7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12" t="str">
        <f>IF(F39&gt;F40,"OK","NG")</f>
        <v>NG</v>
      </c>
      <c r="G41" s="13" t="str">
        <f>IF(G39&gt;G40,"OK","NG")</f>
        <v>NG</v>
      </c>
    </row>
  </sheetData>
  <mergeCells count="4">
    <mergeCell ref="B6:C6"/>
    <mergeCell ref="B7:C7"/>
    <mergeCell ref="B41:C41"/>
    <mergeCell ref="B39:C39"/>
  </mergeCells>
  <phoneticPr fontId="1"/>
  <conditionalFormatting sqref="D41:G41">
    <cfRule type="cellIs" dxfId="25" priority="1" operator="equal">
      <formula>"OK"</formula>
    </cfRule>
    <cfRule type="cellIs" dxfId="24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E4C1-E40F-4742-9FB4-1074249E9D0D}">
  <sheetPr codeName="Sheet8"/>
  <dimension ref="B2:L41"/>
  <sheetViews>
    <sheetView topLeftCell="A24" workbookViewId="0">
      <selection activeCell="E41" sqref="E41"/>
    </sheetView>
  </sheetViews>
  <sheetFormatPr defaultRowHeight="18" x14ac:dyDescent="0.55000000000000004"/>
  <cols>
    <col min="2" max="2" width="12.25" customWidth="1"/>
    <col min="3" max="3" width="5.33203125" customWidth="1"/>
    <col min="4" max="4" width="23.1640625" bestFit="1" customWidth="1"/>
    <col min="5" max="5" width="20.6640625" customWidth="1"/>
    <col min="6" max="10" width="15.9140625" customWidth="1"/>
    <col min="12" max="12" width="16.1640625" customWidth="1"/>
    <col min="13" max="13" width="15.58203125" customWidth="1"/>
    <col min="14" max="14" width="13.75" customWidth="1"/>
    <col min="15" max="15" width="15.75" customWidth="1"/>
    <col min="16" max="16" width="15.5" customWidth="1"/>
  </cols>
  <sheetData>
    <row r="2" spans="2:12" ht="22.5" x14ac:dyDescent="0.55000000000000004">
      <c r="B2" s="5" t="s">
        <v>16</v>
      </c>
      <c r="C2" s="5"/>
    </row>
    <row r="3" spans="2:12" x14ac:dyDescent="0.55000000000000004">
      <c r="E3" s="3"/>
      <c r="L3" s="3"/>
    </row>
    <row r="4" spans="2:12" x14ac:dyDescent="0.55000000000000004">
      <c r="B4" s="3" t="s">
        <v>68</v>
      </c>
      <c r="C4" s="3"/>
      <c r="D4" s="3"/>
      <c r="E4" s="3"/>
      <c r="L4" s="3"/>
    </row>
    <row r="5" spans="2:12" ht="18.5" thickBot="1" x14ac:dyDescent="0.6"/>
    <row r="6" spans="2:12" x14ac:dyDescent="0.55000000000000004">
      <c r="B6" s="43"/>
      <c r="C6" s="44"/>
      <c r="D6" s="7" t="s">
        <v>24</v>
      </c>
      <c r="E6" s="8" t="s">
        <v>25</v>
      </c>
    </row>
    <row r="7" spans="2:12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12" ht="18.5" thickTop="1" x14ac:dyDescent="0.55000000000000004">
      <c r="B8" s="14">
        <f>ROW()-7</f>
        <v>1</v>
      </c>
      <c r="C8" s="26" t="s">
        <v>40</v>
      </c>
      <c r="D8" s="16"/>
      <c r="E8" s="17"/>
    </row>
    <row r="9" spans="2:12" x14ac:dyDescent="0.55000000000000004">
      <c r="B9" s="9">
        <f t="shared" ref="B9:B38" si="0">ROW()-7</f>
        <v>2</v>
      </c>
      <c r="C9" s="2" t="s">
        <v>40</v>
      </c>
      <c r="D9" s="4"/>
      <c r="E9" s="10"/>
    </row>
    <row r="10" spans="2:12" x14ac:dyDescent="0.55000000000000004">
      <c r="B10" s="9">
        <f t="shared" si="0"/>
        <v>3</v>
      </c>
      <c r="C10" s="2" t="s">
        <v>40</v>
      </c>
      <c r="D10" s="4"/>
      <c r="E10" s="10"/>
    </row>
    <row r="11" spans="2:12" x14ac:dyDescent="0.55000000000000004">
      <c r="B11" s="9">
        <f t="shared" si="0"/>
        <v>4</v>
      </c>
      <c r="C11" s="2" t="s">
        <v>40</v>
      </c>
      <c r="D11" s="4"/>
      <c r="E11" s="10"/>
    </row>
    <row r="12" spans="2:12" x14ac:dyDescent="0.55000000000000004">
      <c r="B12" s="9">
        <f t="shared" si="0"/>
        <v>5</v>
      </c>
      <c r="C12" s="2" t="s">
        <v>40</v>
      </c>
      <c r="D12" s="4"/>
      <c r="E12" s="10"/>
    </row>
    <row r="13" spans="2:12" x14ac:dyDescent="0.55000000000000004">
      <c r="B13" s="9">
        <f t="shared" si="0"/>
        <v>6</v>
      </c>
      <c r="C13" s="2" t="s">
        <v>40</v>
      </c>
      <c r="D13" s="4"/>
      <c r="E13" s="10"/>
    </row>
    <row r="14" spans="2:12" x14ac:dyDescent="0.55000000000000004">
      <c r="B14" s="9">
        <f t="shared" si="0"/>
        <v>7</v>
      </c>
      <c r="C14" s="2" t="s">
        <v>40</v>
      </c>
      <c r="D14" s="4"/>
      <c r="E14" s="10"/>
    </row>
    <row r="15" spans="2:12" x14ac:dyDescent="0.55000000000000004">
      <c r="B15" s="9">
        <f t="shared" si="0"/>
        <v>8</v>
      </c>
      <c r="C15" s="2" t="s">
        <v>40</v>
      </c>
      <c r="D15" s="4"/>
      <c r="E15" s="10"/>
    </row>
    <row r="16" spans="2:12" x14ac:dyDescent="0.55000000000000004">
      <c r="B16" s="9">
        <f t="shared" si="0"/>
        <v>9</v>
      </c>
      <c r="C16" s="2" t="s">
        <v>40</v>
      </c>
      <c r="D16" s="4"/>
      <c r="E16" s="10"/>
    </row>
    <row r="17" spans="2:5" x14ac:dyDescent="0.55000000000000004">
      <c r="B17" s="9">
        <f t="shared" si="0"/>
        <v>10</v>
      </c>
      <c r="C17" s="2" t="s">
        <v>40</v>
      </c>
      <c r="D17" s="4"/>
      <c r="E17" s="10"/>
    </row>
    <row r="18" spans="2:5" x14ac:dyDescent="0.55000000000000004">
      <c r="B18" s="9">
        <f t="shared" si="0"/>
        <v>11</v>
      </c>
      <c r="C18" s="2" t="s">
        <v>40</v>
      </c>
      <c r="D18" s="4"/>
      <c r="E18" s="10"/>
    </row>
    <row r="19" spans="2:5" x14ac:dyDescent="0.55000000000000004">
      <c r="B19" s="9">
        <f t="shared" si="0"/>
        <v>12</v>
      </c>
      <c r="C19" s="2" t="s">
        <v>40</v>
      </c>
      <c r="D19" s="4"/>
      <c r="E19" s="10"/>
    </row>
    <row r="20" spans="2:5" x14ac:dyDescent="0.55000000000000004">
      <c r="B20" s="9">
        <f t="shared" si="0"/>
        <v>13</v>
      </c>
      <c r="C20" s="2" t="s">
        <v>40</v>
      </c>
      <c r="D20" s="4"/>
      <c r="E20" s="10"/>
    </row>
    <row r="21" spans="2:5" x14ac:dyDescent="0.55000000000000004">
      <c r="B21" s="9">
        <f t="shared" si="0"/>
        <v>14</v>
      </c>
      <c r="C21" s="2" t="s">
        <v>40</v>
      </c>
      <c r="D21" s="4"/>
      <c r="E21" s="10"/>
    </row>
    <row r="22" spans="2:5" x14ac:dyDescent="0.55000000000000004">
      <c r="B22" s="9">
        <f t="shared" si="0"/>
        <v>15</v>
      </c>
      <c r="C22" s="2" t="s">
        <v>40</v>
      </c>
      <c r="D22" s="4"/>
      <c r="E22" s="10"/>
    </row>
    <row r="23" spans="2:5" x14ac:dyDescent="0.55000000000000004">
      <c r="B23" s="9">
        <f t="shared" si="0"/>
        <v>16</v>
      </c>
      <c r="C23" s="2" t="s">
        <v>40</v>
      </c>
      <c r="D23" s="4"/>
      <c r="E23" s="10"/>
    </row>
    <row r="24" spans="2:5" x14ac:dyDescent="0.55000000000000004">
      <c r="B24" s="9">
        <f t="shared" si="0"/>
        <v>17</v>
      </c>
      <c r="C24" s="2" t="s">
        <v>40</v>
      </c>
      <c r="D24" s="4"/>
      <c r="E24" s="10"/>
    </row>
    <row r="25" spans="2:5" x14ac:dyDescent="0.55000000000000004">
      <c r="B25" s="9">
        <f t="shared" si="0"/>
        <v>18</v>
      </c>
      <c r="C25" s="2" t="s">
        <v>40</v>
      </c>
      <c r="D25" s="4"/>
      <c r="E25" s="10"/>
    </row>
    <row r="26" spans="2:5" x14ac:dyDescent="0.55000000000000004">
      <c r="B26" s="9">
        <f t="shared" si="0"/>
        <v>19</v>
      </c>
      <c r="C26" s="2" t="s">
        <v>40</v>
      </c>
      <c r="D26" s="4"/>
      <c r="E26" s="10"/>
    </row>
    <row r="27" spans="2:5" x14ac:dyDescent="0.55000000000000004">
      <c r="B27" s="9">
        <f t="shared" si="0"/>
        <v>20</v>
      </c>
      <c r="C27" s="2" t="s">
        <v>40</v>
      </c>
      <c r="D27" s="4"/>
      <c r="E27" s="10"/>
    </row>
    <row r="28" spans="2:5" x14ac:dyDescent="0.55000000000000004">
      <c r="B28" s="9">
        <f t="shared" si="0"/>
        <v>21</v>
      </c>
      <c r="C28" s="2" t="s">
        <v>40</v>
      </c>
      <c r="D28" s="4"/>
      <c r="E28" s="10"/>
    </row>
    <row r="29" spans="2:5" x14ac:dyDescent="0.55000000000000004">
      <c r="B29" s="9">
        <f t="shared" si="0"/>
        <v>22</v>
      </c>
      <c r="C29" s="2" t="s">
        <v>40</v>
      </c>
      <c r="D29" s="4"/>
      <c r="E29" s="10"/>
    </row>
    <row r="30" spans="2:5" x14ac:dyDescent="0.55000000000000004">
      <c r="B30" s="9">
        <f t="shared" si="0"/>
        <v>23</v>
      </c>
      <c r="C30" s="2" t="s">
        <v>40</v>
      </c>
      <c r="D30" s="4"/>
      <c r="E30" s="10"/>
    </row>
    <row r="31" spans="2:5" x14ac:dyDescent="0.55000000000000004">
      <c r="B31" s="9">
        <f t="shared" si="0"/>
        <v>24</v>
      </c>
      <c r="C31" s="2" t="s">
        <v>40</v>
      </c>
      <c r="D31" s="4"/>
      <c r="E31" s="10"/>
    </row>
    <row r="32" spans="2:5" x14ac:dyDescent="0.55000000000000004">
      <c r="B32" s="9">
        <f t="shared" si="0"/>
        <v>25</v>
      </c>
      <c r="C32" s="2" t="s">
        <v>40</v>
      </c>
      <c r="D32" s="4"/>
      <c r="E32" s="10"/>
    </row>
    <row r="33" spans="2:5" x14ac:dyDescent="0.55000000000000004">
      <c r="B33" s="9">
        <f t="shared" si="0"/>
        <v>26</v>
      </c>
      <c r="C33" s="2" t="s">
        <v>40</v>
      </c>
      <c r="D33" s="4"/>
      <c r="E33" s="10"/>
    </row>
    <row r="34" spans="2:5" x14ac:dyDescent="0.55000000000000004">
      <c r="B34" s="9">
        <f t="shared" si="0"/>
        <v>27</v>
      </c>
      <c r="C34" s="2" t="s">
        <v>40</v>
      </c>
      <c r="D34" s="4"/>
      <c r="E34" s="10"/>
    </row>
    <row r="35" spans="2:5" x14ac:dyDescent="0.55000000000000004">
      <c r="B35" s="9">
        <f t="shared" si="0"/>
        <v>28</v>
      </c>
      <c r="C35" s="2" t="s">
        <v>40</v>
      </c>
      <c r="D35" s="4"/>
      <c r="E35" s="10"/>
    </row>
    <row r="36" spans="2:5" x14ac:dyDescent="0.55000000000000004">
      <c r="B36" s="9">
        <f t="shared" si="0"/>
        <v>29</v>
      </c>
      <c r="C36" s="2" t="s">
        <v>40</v>
      </c>
      <c r="D36" s="4"/>
      <c r="E36" s="10"/>
    </row>
    <row r="37" spans="2:5" x14ac:dyDescent="0.55000000000000004">
      <c r="B37" s="9">
        <f t="shared" si="0"/>
        <v>30</v>
      </c>
      <c r="C37" s="2" t="s">
        <v>40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40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28" t="s">
        <v>41</v>
      </c>
      <c r="C40" s="1"/>
      <c r="D40" s="1">
        <f>COUNT(D8:D38)-D39</f>
        <v>0</v>
      </c>
      <c r="E40" s="11">
        <f>COUNT(E8:E38)-E39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3" t="str">
        <f>IF(E39&gt;E40,"OK","NG")</f>
        <v>NG</v>
      </c>
    </row>
  </sheetData>
  <mergeCells count="4">
    <mergeCell ref="B7:C7"/>
    <mergeCell ref="B39:C39"/>
    <mergeCell ref="B41:C41"/>
    <mergeCell ref="B6:C6"/>
  </mergeCells>
  <phoneticPr fontId="1"/>
  <conditionalFormatting sqref="D41:E41">
    <cfRule type="cellIs" dxfId="23" priority="1" operator="equal">
      <formula>"OK"</formula>
    </cfRule>
    <cfRule type="cellIs" dxfId="22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20FC8-D5C5-4622-A3D6-C51ED5BEC425}">
  <sheetPr codeName="Sheet9"/>
  <dimension ref="B2:G41"/>
  <sheetViews>
    <sheetView topLeftCell="A24" workbookViewId="0">
      <selection activeCell="I44" sqref="I44"/>
    </sheetView>
  </sheetViews>
  <sheetFormatPr defaultRowHeight="18" x14ac:dyDescent="0.55000000000000004"/>
  <cols>
    <col min="2" max="2" width="12.5" bestFit="1" customWidth="1"/>
    <col min="3" max="3" width="6.5" customWidth="1"/>
    <col min="4" max="4" width="16.33203125" customWidth="1"/>
    <col min="5" max="5" width="15.4140625" customWidth="1"/>
    <col min="6" max="6" width="14.4140625" customWidth="1"/>
    <col min="7" max="8" width="18.5" customWidth="1"/>
    <col min="10" max="10" width="13.25" customWidth="1"/>
    <col min="11" max="11" width="14.83203125" customWidth="1"/>
    <col min="12" max="12" width="14.75" customWidth="1"/>
    <col min="13" max="13" width="17.6640625" customWidth="1"/>
    <col min="14" max="15" width="15.9140625" customWidth="1"/>
    <col min="17" max="17" width="16.1640625" customWidth="1"/>
    <col min="18" max="18" width="15.58203125" customWidth="1"/>
    <col min="19" max="19" width="13.75" customWidth="1"/>
    <col min="20" max="20" width="15.75" customWidth="1"/>
    <col min="21" max="21" width="15.5" customWidth="1"/>
  </cols>
  <sheetData>
    <row r="2" spans="2:7" ht="22.5" x14ac:dyDescent="0.55000000000000004">
      <c r="B2" s="5" t="s">
        <v>26</v>
      </c>
      <c r="C2" s="5"/>
    </row>
    <row r="4" spans="2:7" x14ac:dyDescent="0.55000000000000004">
      <c r="B4" s="3" t="s">
        <v>69</v>
      </c>
      <c r="C4" s="3"/>
      <c r="D4" s="3"/>
    </row>
    <row r="5" spans="2:7" ht="18.5" thickBot="1" x14ac:dyDescent="0.6"/>
    <row r="6" spans="2:7" x14ac:dyDescent="0.55000000000000004">
      <c r="B6" s="43"/>
      <c r="C6" s="44"/>
      <c r="D6" s="7" t="s">
        <v>27</v>
      </c>
      <c r="E6" s="7" t="s">
        <v>28</v>
      </c>
      <c r="F6" s="7" t="s">
        <v>29</v>
      </c>
      <c r="G6" s="8" t="s">
        <v>30</v>
      </c>
    </row>
    <row r="7" spans="2:7" ht="18.5" thickBot="1" x14ac:dyDescent="0.6">
      <c r="B7" s="45" t="s">
        <v>0</v>
      </c>
      <c r="C7" s="46"/>
      <c r="D7" s="18" t="s">
        <v>4</v>
      </c>
      <c r="E7" s="18" t="s">
        <v>4</v>
      </c>
      <c r="F7" s="18" t="s">
        <v>4</v>
      </c>
      <c r="G7" s="19" t="s">
        <v>4</v>
      </c>
    </row>
    <row r="8" spans="2:7" ht="18.5" thickTop="1" x14ac:dyDescent="0.55000000000000004">
      <c r="B8" s="14">
        <f>ROW()-7</f>
        <v>1</v>
      </c>
      <c r="C8" s="26" t="s">
        <v>40</v>
      </c>
      <c r="D8" s="16"/>
      <c r="E8" s="16"/>
      <c r="F8" s="16"/>
      <c r="G8" s="17"/>
    </row>
    <row r="9" spans="2:7" x14ac:dyDescent="0.55000000000000004">
      <c r="B9" s="9">
        <f t="shared" ref="B9:B38" si="0">ROW()-7</f>
        <v>2</v>
      </c>
      <c r="C9" s="2" t="s">
        <v>40</v>
      </c>
      <c r="D9" s="4"/>
      <c r="E9" s="4"/>
      <c r="F9" s="4"/>
      <c r="G9" s="10"/>
    </row>
    <row r="10" spans="2:7" x14ac:dyDescent="0.55000000000000004">
      <c r="B10" s="9">
        <f t="shared" si="0"/>
        <v>3</v>
      </c>
      <c r="C10" s="2" t="s">
        <v>40</v>
      </c>
      <c r="D10" s="4"/>
      <c r="E10" s="4"/>
      <c r="F10" s="4"/>
      <c r="G10" s="10"/>
    </row>
    <row r="11" spans="2:7" x14ac:dyDescent="0.55000000000000004">
      <c r="B11" s="9">
        <f t="shared" si="0"/>
        <v>4</v>
      </c>
      <c r="C11" s="2" t="s">
        <v>40</v>
      </c>
      <c r="D11" s="4"/>
      <c r="E11" s="4"/>
      <c r="F11" s="4"/>
      <c r="G11" s="10"/>
    </row>
    <row r="12" spans="2:7" x14ac:dyDescent="0.55000000000000004">
      <c r="B12" s="9">
        <f t="shared" si="0"/>
        <v>5</v>
      </c>
      <c r="C12" s="2" t="s">
        <v>40</v>
      </c>
      <c r="D12" s="4"/>
      <c r="E12" s="4"/>
      <c r="F12" s="4"/>
      <c r="G12" s="10"/>
    </row>
    <row r="13" spans="2:7" x14ac:dyDescent="0.55000000000000004">
      <c r="B13" s="9">
        <f t="shared" si="0"/>
        <v>6</v>
      </c>
      <c r="C13" s="2" t="s">
        <v>40</v>
      </c>
      <c r="D13" s="4"/>
      <c r="E13" s="4"/>
      <c r="F13" s="4"/>
      <c r="G13" s="10"/>
    </row>
    <row r="14" spans="2:7" x14ac:dyDescent="0.55000000000000004">
      <c r="B14" s="9">
        <f t="shared" si="0"/>
        <v>7</v>
      </c>
      <c r="C14" s="2" t="s">
        <v>40</v>
      </c>
      <c r="D14" s="4"/>
      <c r="E14" s="4"/>
      <c r="F14" s="4"/>
      <c r="G14" s="10"/>
    </row>
    <row r="15" spans="2:7" x14ac:dyDescent="0.55000000000000004">
      <c r="B15" s="9">
        <f t="shared" si="0"/>
        <v>8</v>
      </c>
      <c r="C15" s="2" t="s">
        <v>40</v>
      </c>
      <c r="D15" s="4"/>
      <c r="E15" s="4"/>
      <c r="F15" s="4"/>
      <c r="G15" s="10"/>
    </row>
    <row r="16" spans="2:7" x14ac:dyDescent="0.55000000000000004">
      <c r="B16" s="9">
        <f t="shared" si="0"/>
        <v>9</v>
      </c>
      <c r="C16" s="2" t="s">
        <v>40</v>
      </c>
      <c r="D16" s="4"/>
      <c r="E16" s="4"/>
      <c r="F16" s="4"/>
      <c r="G16" s="10"/>
    </row>
    <row r="17" spans="2:7" x14ac:dyDescent="0.55000000000000004">
      <c r="B17" s="9">
        <f t="shared" si="0"/>
        <v>10</v>
      </c>
      <c r="C17" s="2" t="s">
        <v>40</v>
      </c>
      <c r="D17" s="4"/>
      <c r="E17" s="4"/>
      <c r="F17" s="4"/>
      <c r="G17" s="10"/>
    </row>
    <row r="18" spans="2:7" x14ac:dyDescent="0.55000000000000004">
      <c r="B18" s="9">
        <f t="shared" si="0"/>
        <v>11</v>
      </c>
      <c r="C18" s="2" t="s">
        <v>40</v>
      </c>
      <c r="D18" s="4"/>
      <c r="E18" s="4"/>
      <c r="F18" s="4"/>
      <c r="G18" s="10"/>
    </row>
    <row r="19" spans="2:7" x14ac:dyDescent="0.55000000000000004">
      <c r="B19" s="9">
        <f t="shared" si="0"/>
        <v>12</v>
      </c>
      <c r="C19" s="2" t="s">
        <v>40</v>
      </c>
      <c r="D19" s="4"/>
      <c r="E19" s="4"/>
      <c r="F19" s="4"/>
      <c r="G19" s="10"/>
    </row>
    <row r="20" spans="2:7" x14ac:dyDescent="0.55000000000000004">
      <c r="B20" s="9">
        <f t="shared" si="0"/>
        <v>13</v>
      </c>
      <c r="C20" s="2" t="s">
        <v>40</v>
      </c>
      <c r="D20" s="4"/>
      <c r="E20" s="4"/>
      <c r="F20" s="4"/>
      <c r="G20" s="10"/>
    </row>
    <row r="21" spans="2:7" x14ac:dyDescent="0.55000000000000004">
      <c r="B21" s="9">
        <f t="shared" si="0"/>
        <v>14</v>
      </c>
      <c r="C21" s="2" t="s">
        <v>40</v>
      </c>
      <c r="D21" s="4"/>
      <c r="E21" s="4"/>
      <c r="F21" s="4"/>
      <c r="G21" s="10"/>
    </row>
    <row r="22" spans="2:7" x14ac:dyDescent="0.55000000000000004">
      <c r="B22" s="9">
        <f t="shared" si="0"/>
        <v>15</v>
      </c>
      <c r="C22" s="2" t="s">
        <v>40</v>
      </c>
      <c r="D22" s="4"/>
      <c r="E22" s="4"/>
      <c r="F22" s="4"/>
      <c r="G22" s="10"/>
    </row>
    <row r="23" spans="2:7" x14ac:dyDescent="0.55000000000000004">
      <c r="B23" s="9">
        <f t="shared" si="0"/>
        <v>16</v>
      </c>
      <c r="C23" s="2" t="s">
        <v>40</v>
      </c>
      <c r="D23" s="4"/>
      <c r="E23" s="4"/>
      <c r="F23" s="4"/>
      <c r="G23" s="10"/>
    </row>
    <row r="24" spans="2:7" x14ac:dyDescent="0.55000000000000004">
      <c r="B24" s="9">
        <f t="shared" si="0"/>
        <v>17</v>
      </c>
      <c r="C24" s="2" t="s">
        <v>40</v>
      </c>
      <c r="D24" s="4"/>
      <c r="E24" s="4"/>
      <c r="F24" s="4"/>
      <c r="G24" s="10"/>
    </row>
    <row r="25" spans="2:7" x14ac:dyDescent="0.55000000000000004">
      <c r="B25" s="9">
        <f t="shared" si="0"/>
        <v>18</v>
      </c>
      <c r="C25" s="2" t="s">
        <v>40</v>
      </c>
      <c r="D25" s="4"/>
      <c r="E25" s="4"/>
      <c r="F25" s="4"/>
      <c r="G25" s="10"/>
    </row>
    <row r="26" spans="2:7" x14ac:dyDescent="0.55000000000000004">
      <c r="B26" s="9">
        <f t="shared" si="0"/>
        <v>19</v>
      </c>
      <c r="C26" s="2" t="s">
        <v>40</v>
      </c>
      <c r="D26" s="4"/>
      <c r="E26" s="4"/>
      <c r="F26" s="4"/>
      <c r="G26" s="10"/>
    </row>
    <row r="27" spans="2:7" x14ac:dyDescent="0.55000000000000004">
      <c r="B27" s="9">
        <f t="shared" si="0"/>
        <v>20</v>
      </c>
      <c r="C27" s="2" t="s">
        <v>40</v>
      </c>
      <c r="D27" s="4"/>
      <c r="E27" s="4"/>
      <c r="F27" s="4"/>
      <c r="G27" s="10"/>
    </row>
    <row r="28" spans="2:7" x14ac:dyDescent="0.55000000000000004">
      <c r="B28" s="9">
        <f t="shared" si="0"/>
        <v>21</v>
      </c>
      <c r="C28" s="2" t="s">
        <v>40</v>
      </c>
      <c r="D28" s="4"/>
      <c r="E28" s="4"/>
      <c r="F28" s="4"/>
      <c r="G28" s="10"/>
    </row>
    <row r="29" spans="2:7" x14ac:dyDescent="0.55000000000000004">
      <c r="B29" s="9">
        <f t="shared" si="0"/>
        <v>22</v>
      </c>
      <c r="C29" s="2" t="s">
        <v>40</v>
      </c>
      <c r="D29" s="4"/>
      <c r="E29" s="4"/>
      <c r="F29" s="4"/>
      <c r="G29" s="10"/>
    </row>
    <row r="30" spans="2:7" x14ac:dyDescent="0.55000000000000004">
      <c r="B30" s="9">
        <f t="shared" si="0"/>
        <v>23</v>
      </c>
      <c r="C30" s="2" t="s">
        <v>40</v>
      </c>
      <c r="D30" s="4"/>
      <c r="E30" s="4"/>
      <c r="F30" s="4"/>
      <c r="G30" s="10"/>
    </row>
    <row r="31" spans="2:7" x14ac:dyDescent="0.55000000000000004">
      <c r="B31" s="9">
        <f t="shared" si="0"/>
        <v>24</v>
      </c>
      <c r="C31" s="2" t="s">
        <v>40</v>
      </c>
      <c r="D31" s="4"/>
      <c r="E31" s="4"/>
      <c r="F31" s="4"/>
      <c r="G31" s="10"/>
    </row>
    <row r="32" spans="2:7" x14ac:dyDescent="0.55000000000000004">
      <c r="B32" s="9">
        <f t="shared" si="0"/>
        <v>25</v>
      </c>
      <c r="C32" s="2" t="s">
        <v>40</v>
      </c>
      <c r="D32" s="4"/>
      <c r="E32" s="4"/>
      <c r="F32" s="4"/>
      <c r="G32" s="10"/>
    </row>
    <row r="33" spans="2:7" x14ac:dyDescent="0.55000000000000004">
      <c r="B33" s="9">
        <f t="shared" si="0"/>
        <v>26</v>
      </c>
      <c r="C33" s="2" t="s">
        <v>40</v>
      </c>
      <c r="D33" s="4"/>
      <c r="E33" s="4"/>
      <c r="F33" s="4"/>
      <c r="G33" s="10"/>
    </row>
    <row r="34" spans="2:7" x14ac:dyDescent="0.55000000000000004">
      <c r="B34" s="9">
        <f t="shared" si="0"/>
        <v>27</v>
      </c>
      <c r="C34" s="2" t="s">
        <v>40</v>
      </c>
      <c r="D34" s="4"/>
      <c r="E34" s="4"/>
      <c r="F34" s="4"/>
      <c r="G34" s="10"/>
    </row>
    <row r="35" spans="2:7" x14ac:dyDescent="0.55000000000000004">
      <c r="B35" s="9">
        <f t="shared" si="0"/>
        <v>28</v>
      </c>
      <c r="C35" s="2" t="s">
        <v>40</v>
      </c>
      <c r="D35" s="4"/>
      <c r="E35" s="4"/>
      <c r="F35" s="4"/>
      <c r="G35" s="10"/>
    </row>
    <row r="36" spans="2:7" x14ac:dyDescent="0.55000000000000004">
      <c r="B36" s="9">
        <f t="shared" si="0"/>
        <v>29</v>
      </c>
      <c r="C36" s="2" t="s">
        <v>40</v>
      </c>
      <c r="D36" s="4"/>
      <c r="E36" s="4"/>
      <c r="F36" s="4"/>
      <c r="G36" s="10"/>
    </row>
    <row r="37" spans="2:7" x14ac:dyDescent="0.55000000000000004">
      <c r="B37" s="9">
        <f t="shared" si="0"/>
        <v>30</v>
      </c>
      <c r="C37" s="2" t="s">
        <v>40</v>
      </c>
      <c r="D37" s="4"/>
      <c r="E37" s="4"/>
      <c r="F37" s="4"/>
      <c r="G37" s="10"/>
    </row>
    <row r="38" spans="2:7" ht="18.5" thickBot="1" x14ac:dyDescent="0.6">
      <c r="B38" s="20">
        <f t="shared" si="0"/>
        <v>31</v>
      </c>
      <c r="C38" s="27" t="s">
        <v>40</v>
      </c>
      <c r="D38" s="22"/>
      <c r="E38" s="22"/>
      <c r="F38" s="22"/>
      <c r="G38" s="23"/>
    </row>
    <row r="39" spans="2:7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4">
        <f>COUNTIF(F8:F38,"22")</f>
        <v>0</v>
      </c>
      <c r="G39" s="25">
        <f>COUNTIF(G8:G38,"22")</f>
        <v>0</v>
      </c>
    </row>
    <row r="40" spans="2:7" x14ac:dyDescent="0.55000000000000004">
      <c r="B40" s="28" t="s">
        <v>41</v>
      </c>
      <c r="C40" s="1"/>
      <c r="D40" s="1">
        <f>COUNT(D8:D38)-D39</f>
        <v>0</v>
      </c>
      <c r="E40" s="1">
        <f>COUNT(E8:E38)-E39</f>
        <v>0</v>
      </c>
      <c r="F40" s="1">
        <f>COUNT(F8:F38)-F39</f>
        <v>0</v>
      </c>
      <c r="G40" s="11">
        <f>COUNT(G8:G38)-G39</f>
        <v>0</v>
      </c>
    </row>
    <row r="41" spans="2:7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12" t="str">
        <f>IF(F39&gt;F40,"OK","NG")</f>
        <v>NG</v>
      </c>
      <c r="G41" s="13" t="str">
        <f>IF(G39&gt;G40,"OK","NG")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G41">
    <cfRule type="cellIs" dxfId="21" priority="1" operator="equal">
      <formula>"OK"</formula>
    </cfRule>
    <cfRule type="cellIs" dxfId="20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6BBF1-4944-4A4E-9873-86AD7E79195C}">
  <sheetPr codeName="Sheet10"/>
  <dimension ref="B2:G41"/>
  <sheetViews>
    <sheetView topLeftCell="A27" workbookViewId="0">
      <selection activeCell="E41" sqref="E41"/>
    </sheetView>
  </sheetViews>
  <sheetFormatPr defaultRowHeight="18" x14ac:dyDescent="0.55000000000000004"/>
  <cols>
    <col min="2" max="2" width="12.5" bestFit="1" customWidth="1"/>
    <col min="3" max="3" width="6" customWidth="1"/>
    <col min="4" max="4" width="17.6640625" customWidth="1"/>
    <col min="5" max="5" width="16.5" customWidth="1"/>
    <col min="6" max="6" width="18.5" customWidth="1"/>
    <col min="7" max="7" width="16.1640625" customWidth="1"/>
    <col min="8" max="8" width="15.58203125" customWidth="1"/>
    <col min="9" max="9" width="13.75" customWidth="1"/>
    <col min="10" max="10" width="15.75" customWidth="1"/>
    <col min="11" max="11" width="15.5" customWidth="1"/>
  </cols>
  <sheetData>
    <row r="2" spans="2:7" ht="22.5" x14ac:dyDescent="0.55000000000000004">
      <c r="B2" s="5" t="s">
        <v>26</v>
      </c>
      <c r="C2" s="5"/>
    </row>
    <row r="3" spans="2:7" x14ac:dyDescent="0.55000000000000004">
      <c r="G3" s="3"/>
    </row>
    <row r="4" spans="2:7" x14ac:dyDescent="0.55000000000000004">
      <c r="B4" s="3" t="s">
        <v>70</v>
      </c>
      <c r="C4" s="3"/>
    </row>
    <row r="5" spans="2:7" ht="18.5" thickBot="1" x14ac:dyDescent="0.6"/>
    <row r="6" spans="2:7" x14ac:dyDescent="0.55000000000000004">
      <c r="B6" s="43"/>
      <c r="C6" s="44"/>
      <c r="D6" s="7" t="s">
        <v>31</v>
      </c>
      <c r="E6" s="8" t="s">
        <v>39</v>
      </c>
    </row>
    <row r="7" spans="2:7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7" ht="18.5" thickTop="1" x14ac:dyDescent="0.55000000000000004">
      <c r="B8" s="14">
        <f>ROW()-7</f>
        <v>1</v>
      </c>
      <c r="C8" s="26" t="s">
        <v>42</v>
      </c>
      <c r="D8" s="16"/>
      <c r="E8" s="17"/>
    </row>
    <row r="9" spans="2:7" x14ac:dyDescent="0.55000000000000004">
      <c r="B9" s="9">
        <f t="shared" ref="B9:B38" si="0">ROW()-7</f>
        <v>2</v>
      </c>
      <c r="C9" s="2" t="s">
        <v>42</v>
      </c>
      <c r="D9" s="4"/>
      <c r="E9" s="10"/>
    </row>
    <row r="10" spans="2:7" x14ac:dyDescent="0.55000000000000004">
      <c r="B10" s="9">
        <f t="shared" si="0"/>
        <v>3</v>
      </c>
      <c r="C10" s="2" t="s">
        <v>42</v>
      </c>
      <c r="D10" s="4"/>
      <c r="E10" s="10"/>
    </row>
    <row r="11" spans="2:7" x14ac:dyDescent="0.55000000000000004">
      <c r="B11" s="9">
        <f t="shared" si="0"/>
        <v>4</v>
      </c>
      <c r="C11" s="2" t="s">
        <v>42</v>
      </c>
      <c r="D11" s="4"/>
      <c r="E11" s="10"/>
    </row>
    <row r="12" spans="2:7" x14ac:dyDescent="0.55000000000000004">
      <c r="B12" s="9">
        <f t="shared" si="0"/>
        <v>5</v>
      </c>
      <c r="C12" s="2" t="s">
        <v>42</v>
      </c>
      <c r="D12" s="4"/>
      <c r="E12" s="10"/>
    </row>
    <row r="13" spans="2:7" x14ac:dyDescent="0.55000000000000004">
      <c r="B13" s="9">
        <f t="shared" si="0"/>
        <v>6</v>
      </c>
      <c r="C13" s="2" t="s">
        <v>42</v>
      </c>
      <c r="D13" s="4"/>
      <c r="E13" s="10"/>
    </row>
    <row r="14" spans="2:7" x14ac:dyDescent="0.55000000000000004">
      <c r="B14" s="9">
        <f t="shared" si="0"/>
        <v>7</v>
      </c>
      <c r="C14" s="2" t="s">
        <v>42</v>
      </c>
      <c r="D14" s="4"/>
      <c r="E14" s="10"/>
    </row>
    <row r="15" spans="2:7" x14ac:dyDescent="0.55000000000000004">
      <c r="B15" s="9">
        <f t="shared" si="0"/>
        <v>8</v>
      </c>
      <c r="C15" s="2" t="s">
        <v>42</v>
      </c>
      <c r="D15" s="4"/>
      <c r="E15" s="10"/>
    </row>
    <row r="16" spans="2:7" x14ac:dyDescent="0.55000000000000004">
      <c r="B16" s="9">
        <f t="shared" si="0"/>
        <v>9</v>
      </c>
      <c r="C16" s="2" t="s">
        <v>42</v>
      </c>
      <c r="D16" s="4"/>
      <c r="E16" s="10"/>
    </row>
    <row r="17" spans="2:5" x14ac:dyDescent="0.55000000000000004">
      <c r="B17" s="9">
        <f t="shared" si="0"/>
        <v>10</v>
      </c>
      <c r="C17" s="2" t="s">
        <v>42</v>
      </c>
      <c r="D17" s="4"/>
      <c r="E17" s="10"/>
    </row>
    <row r="18" spans="2:5" x14ac:dyDescent="0.55000000000000004">
      <c r="B18" s="9">
        <f t="shared" si="0"/>
        <v>11</v>
      </c>
      <c r="C18" s="2" t="s">
        <v>42</v>
      </c>
      <c r="D18" s="4"/>
      <c r="E18" s="10"/>
    </row>
    <row r="19" spans="2:5" x14ac:dyDescent="0.55000000000000004">
      <c r="B19" s="9">
        <f t="shared" si="0"/>
        <v>12</v>
      </c>
      <c r="C19" s="2" t="s">
        <v>42</v>
      </c>
      <c r="D19" s="4"/>
      <c r="E19" s="10"/>
    </row>
    <row r="20" spans="2:5" x14ac:dyDescent="0.55000000000000004">
      <c r="B20" s="9">
        <f t="shared" si="0"/>
        <v>13</v>
      </c>
      <c r="C20" s="2" t="s">
        <v>42</v>
      </c>
      <c r="D20" s="4"/>
      <c r="E20" s="10"/>
    </row>
    <row r="21" spans="2:5" x14ac:dyDescent="0.55000000000000004">
      <c r="B21" s="9">
        <f t="shared" si="0"/>
        <v>14</v>
      </c>
      <c r="C21" s="2" t="s">
        <v>42</v>
      </c>
      <c r="D21" s="4"/>
      <c r="E21" s="10"/>
    </row>
    <row r="22" spans="2:5" x14ac:dyDescent="0.55000000000000004">
      <c r="B22" s="9">
        <f t="shared" si="0"/>
        <v>15</v>
      </c>
      <c r="C22" s="2" t="s">
        <v>42</v>
      </c>
      <c r="D22" s="4"/>
      <c r="E22" s="10"/>
    </row>
    <row r="23" spans="2:5" x14ac:dyDescent="0.55000000000000004">
      <c r="B23" s="9">
        <f t="shared" si="0"/>
        <v>16</v>
      </c>
      <c r="C23" s="2" t="s">
        <v>42</v>
      </c>
      <c r="D23" s="4"/>
      <c r="E23" s="10"/>
    </row>
    <row r="24" spans="2:5" x14ac:dyDescent="0.55000000000000004">
      <c r="B24" s="9">
        <f t="shared" si="0"/>
        <v>17</v>
      </c>
      <c r="C24" s="2" t="s">
        <v>42</v>
      </c>
      <c r="D24" s="4"/>
      <c r="E24" s="10"/>
    </row>
    <row r="25" spans="2:5" x14ac:dyDescent="0.55000000000000004">
      <c r="B25" s="9">
        <f t="shared" si="0"/>
        <v>18</v>
      </c>
      <c r="C25" s="2" t="s">
        <v>42</v>
      </c>
      <c r="D25" s="4"/>
      <c r="E25" s="10"/>
    </row>
    <row r="26" spans="2:5" x14ac:dyDescent="0.55000000000000004">
      <c r="B26" s="9">
        <f t="shared" si="0"/>
        <v>19</v>
      </c>
      <c r="C26" s="2" t="s">
        <v>42</v>
      </c>
      <c r="D26" s="4"/>
      <c r="E26" s="10"/>
    </row>
    <row r="27" spans="2:5" x14ac:dyDescent="0.55000000000000004">
      <c r="B27" s="9">
        <f t="shared" si="0"/>
        <v>20</v>
      </c>
      <c r="C27" s="2" t="s">
        <v>42</v>
      </c>
      <c r="D27" s="4"/>
      <c r="E27" s="10"/>
    </row>
    <row r="28" spans="2:5" x14ac:dyDescent="0.55000000000000004">
      <c r="B28" s="9">
        <f t="shared" si="0"/>
        <v>21</v>
      </c>
      <c r="C28" s="2" t="s">
        <v>42</v>
      </c>
      <c r="D28" s="4"/>
      <c r="E28" s="10"/>
    </row>
    <row r="29" spans="2:5" x14ac:dyDescent="0.55000000000000004">
      <c r="B29" s="9">
        <f t="shared" si="0"/>
        <v>22</v>
      </c>
      <c r="C29" s="2" t="s">
        <v>42</v>
      </c>
      <c r="D29" s="4"/>
      <c r="E29" s="10"/>
    </row>
    <row r="30" spans="2:5" x14ac:dyDescent="0.55000000000000004">
      <c r="B30" s="9">
        <f t="shared" si="0"/>
        <v>23</v>
      </c>
      <c r="C30" s="2" t="s">
        <v>42</v>
      </c>
      <c r="D30" s="4"/>
      <c r="E30" s="10"/>
    </row>
    <row r="31" spans="2:5" x14ac:dyDescent="0.55000000000000004">
      <c r="B31" s="9">
        <f t="shared" si="0"/>
        <v>24</v>
      </c>
      <c r="C31" s="2" t="s">
        <v>42</v>
      </c>
      <c r="D31" s="4"/>
      <c r="E31" s="10"/>
    </row>
    <row r="32" spans="2:5" x14ac:dyDescent="0.55000000000000004">
      <c r="B32" s="9">
        <f t="shared" si="0"/>
        <v>25</v>
      </c>
      <c r="C32" s="2" t="s">
        <v>42</v>
      </c>
      <c r="D32" s="4"/>
      <c r="E32" s="10"/>
    </row>
    <row r="33" spans="2:5" x14ac:dyDescent="0.55000000000000004">
      <c r="B33" s="9">
        <f t="shared" si="0"/>
        <v>26</v>
      </c>
      <c r="C33" s="2" t="s">
        <v>42</v>
      </c>
      <c r="D33" s="4"/>
      <c r="E33" s="10"/>
    </row>
    <row r="34" spans="2:5" x14ac:dyDescent="0.55000000000000004">
      <c r="B34" s="9">
        <f t="shared" si="0"/>
        <v>27</v>
      </c>
      <c r="C34" s="2" t="s">
        <v>42</v>
      </c>
      <c r="D34" s="4"/>
      <c r="E34" s="10"/>
    </row>
    <row r="35" spans="2:5" x14ac:dyDescent="0.55000000000000004">
      <c r="B35" s="9">
        <f t="shared" si="0"/>
        <v>28</v>
      </c>
      <c r="C35" s="2" t="s">
        <v>42</v>
      </c>
      <c r="D35" s="4"/>
      <c r="E35" s="10"/>
    </row>
    <row r="36" spans="2:5" x14ac:dyDescent="0.55000000000000004">
      <c r="B36" s="9">
        <f t="shared" si="0"/>
        <v>29</v>
      </c>
      <c r="C36" s="2" t="s">
        <v>42</v>
      </c>
      <c r="D36" s="4"/>
      <c r="E36" s="10"/>
    </row>
    <row r="37" spans="2:5" x14ac:dyDescent="0.55000000000000004">
      <c r="B37" s="9">
        <f t="shared" si="0"/>
        <v>30</v>
      </c>
      <c r="C37" s="2" t="s">
        <v>42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42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28" t="s">
        <v>41</v>
      </c>
      <c r="C40" s="1"/>
      <c r="D40" s="1">
        <f>COUNTIF(D8:D38,"24")</f>
        <v>0</v>
      </c>
      <c r="E40" s="11">
        <f>COUNTIF(E8:E38,"26")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3" t="str">
        <f>IF(E39&gt;E40,"OK","NG")</f>
        <v>NG</v>
      </c>
    </row>
  </sheetData>
  <mergeCells count="4">
    <mergeCell ref="B39:C39"/>
    <mergeCell ref="B41:C41"/>
    <mergeCell ref="B6:C6"/>
    <mergeCell ref="B7:C7"/>
  </mergeCells>
  <phoneticPr fontId="1"/>
  <conditionalFormatting sqref="D41:E41">
    <cfRule type="cellIs" dxfId="19" priority="1" operator="equal">
      <formula>"OK"</formula>
    </cfRule>
    <cfRule type="cellIs" dxfId="18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E302-B491-4196-B089-BA2AAB8DFDBC}">
  <sheetPr codeName="Sheet11"/>
  <dimension ref="B2:M41"/>
  <sheetViews>
    <sheetView topLeftCell="A27" workbookViewId="0">
      <selection activeCell="G42" sqref="G42"/>
    </sheetView>
  </sheetViews>
  <sheetFormatPr defaultRowHeight="18" x14ac:dyDescent="0.55000000000000004"/>
  <cols>
    <col min="2" max="2" width="12.5" bestFit="1" customWidth="1"/>
    <col min="3" max="3" width="6.83203125" customWidth="1"/>
    <col min="4" max="4" width="17.6640625" customWidth="1"/>
    <col min="5" max="5" width="18.5" customWidth="1"/>
    <col min="6" max="6" width="13.25" customWidth="1"/>
    <col min="7" max="7" width="14.83203125" customWidth="1"/>
    <col min="8" max="8" width="14.75" customWidth="1"/>
    <col min="9" max="9" width="17.6640625" customWidth="1"/>
    <col min="10" max="11" width="15.9140625" customWidth="1"/>
    <col min="13" max="13" width="16.1640625" customWidth="1"/>
    <col min="14" max="14" width="15.58203125" customWidth="1"/>
    <col min="15" max="15" width="13.75" customWidth="1"/>
    <col min="16" max="16" width="15.75" customWidth="1"/>
    <col min="17" max="17" width="15.5" customWidth="1"/>
  </cols>
  <sheetData>
    <row r="2" spans="2:13" ht="22.5" x14ac:dyDescent="0.55000000000000004">
      <c r="B2" s="5" t="s">
        <v>26</v>
      </c>
      <c r="C2" s="5"/>
    </row>
    <row r="3" spans="2:13" x14ac:dyDescent="0.55000000000000004">
      <c r="F3" s="3"/>
      <c r="M3" s="3"/>
    </row>
    <row r="4" spans="2:13" x14ac:dyDescent="0.55000000000000004">
      <c r="B4" s="3" t="s">
        <v>71</v>
      </c>
      <c r="C4" s="3"/>
    </row>
    <row r="5" spans="2:13" ht="18.5" thickBot="1" x14ac:dyDescent="0.6"/>
    <row r="6" spans="2:13" x14ac:dyDescent="0.55000000000000004">
      <c r="B6" s="43"/>
      <c r="C6" s="44"/>
      <c r="D6" s="7" t="s">
        <v>32</v>
      </c>
      <c r="E6" s="8" t="s">
        <v>33</v>
      </c>
    </row>
    <row r="7" spans="2:13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13" ht="18.5" thickTop="1" x14ac:dyDescent="0.55000000000000004">
      <c r="B8" s="14">
        <f>ROW()-7</f>
        <v>1</v>
      </c>
      <c r="C8" s="26" t="s">
        <v>42</v>
      </c>
      <c r="D8" s="16"/>
      <c r="E8" s="17"/>
    </row>
    <row r="9" spans="2:13" x14ac:dyDescent="0.55000000000000004">
      <c r="B9" s="9">
        <f t="shared" ref="B9:B38" si="0">ROW()-7</f>
        <v>2</v>
      </c>
      <c r="C9" s="2" t="s">
        <v>42</v>
      </c>
      <c r="D9" s="4"/>
      <c r="E9" s="10"/>
    </row>
    <row r="10" spans="2:13" x14ac:dyDescent="0.55000000000000004">
      <c r="B10" s="9">
        <f t="shared" si="0"/>
        <v>3</v>
      </c>
      <c r="C10" s="2" t="s">
        <v>42</v>
      </c>
      <c r="D10" s="4"/>
      <c r="E10" s="10"/>
    </row>
    <row r="11" spans="2:13" x14ac:dyDescent="0.55000000000000004">
      <c r="B11" s="9">
        <f t="shared" si="0"/>
        <v>4</v>
      </c>
      <c r="C11" s="2" t="s">
        <v>42</v>
      </c>
      <c r="D11" s="4"/>
      <c r="E11" s="10"/>
    </row>
    <row r="12" spans="2:13" x14ac:dyDescent="0.55000000000000004">
      <c r="B12" s="9">
        <f t="shared" si="0"/>
        <v>5</v>
      </c>
      <c r="C12" s="2" t="s">
        <v>42</v>
      </c>
      <c r="D12" s="4"/>
      <c r="E12" s="10"/>
    </row>
    <row r="13" spans="2:13" x14ac:dyDescent="0.55000000000000004">
      <c r="B13" s="9">
        <f t="shared" si="0"/>
        <v>6</v>
      </c>
      <c r="C13" s="2" t="s">
        <v>42</v>
      </c>
      <c r="D13" s="4"/>
      <c r="E13" s="10"/>
    </row>
    <row r="14" spans="2:13" x14ac:dyDescent="0.55000000000000004">
      <c r="B14" s="9">
        <f t="shared" si="0"/>
        <v>7</v>
      </c>
      <c r="C14" s="2" t="s">
        <v>42</v>
      </c>
      <c r="D14" s="4"/>
      <c r="E14" s="10"/>
    </row>
    <row r="15" spans="2:13" x14ac:dyDescent="0.55000000000000004">
      <c r="B15" s="9">
        <f t="shared" si="0"/>
        <v>8</v>
      </c>
      <c r="C15" s="2" t="s">
        <v>42</v>
      </c>
      <c r="D15" s="4"/>
      <c r="E15" s="10"/>
    </row>
    <row r="16" spans="2:13" x14ac:dyDescent="0.55000000000000004">
      <c r="B16" s="9">
        <f t="shared" si="0"/>
        <v>9</v>
      </c>
      <c r="C16" s="2" t="s">
        <v>42</v>
      </c>
      <c r="D16" s="4"/>
      <c r="E16" s="10"/>
    </row>
    <row r="17" spans="2:5" x14ac:dyDescent="0.55000000000000004">
      <c r="B17" s="9">
        <f t="shared" si="0"/>
        <v>10</v>
      </c>
      <c r="C17" s="2" t="s">
        <v>42</v>
      </c>
      <c r="D17" s="4"/>
      <c r="E17" s="10"/>
    </row>
    <row r="18" spans="2:5" x14ac:dyDescent="0.55000000000000004">
      <c r="B18" s="9">
        <f t="shared" si="0"/>
        <v>11</v>
      </c>
      <c r="C18" s="2" t="s">
        <v>42</v>
      </c>
      <c r="D18" s="4"/>
      <c r="E18" s="10"/>
    </row>
    <row r="19" spans="2:5" x14ac:dyDescent="0.55000000000000004">
      <c r="B19" s="9">
        <f t="shared" si="0"/>
        <v>12</v>
      </c>
      <c r="C19" s="2" t="s">
        <v>42</v>
      </c>
      <c r="D19" s="4"/>
      <c r="E19" s="10"/>
    </row>
    <row r="20" spans="2:5" x14ac:dyDescent="0.55000000000000004">
      <c r="B20" s="9">
        <f t="shared" si="0"/>
        <v>13</v>
      </c>
      <c r="C20" s="2" t="s">
        <v>42</v>
      </c>
      <c r="D20" s="4"/>
      <c r="E20" s="10"/>
    </row>
    <row r="21" spans="2:5" x14ac:dyDescent="0.55000000000000004">
      <c r="B21" s="9">
        <f t="shared" si="0"/>
        <v>14</v>
      </c>
      <c r="C21" s="2" t="s">
        <v>42</v>
      </c>
      <c r="D21" s="4"/>
      <c r="E21" s="10"/>
    </row>
    <row r="22" spans="2:5" x14ac:dyDescent="0.55000000000000004">
      <c r="B22" s="9">
        <f t="shared" si="0"/>
        <v>15</v>
      </c>
      <c r="C22" s="2" t="s">
        <v>42</v>
      </c>
      <c r="D22" s="4"/>
      <c r="E22" s="10"/>
    </row>
    <row r="23" spans="2:5" x14ac:dyDescent="0.55000000000000004">
      <c r="B23" s="9">
        <f t="shared" si="0"/>
        <v>16</v>
      </c>
      <c r="C23" s="2" t="s">
        <v>42</v>
      </c>
      <c r="D23" s="4"/>
      <c r="E23" s="10"/>
    </row>
    <row r="24" spans="2:5" x14ac:dyDescent="0.55000000000000004">
      <c r="B24" s="9">
        <f t="shared" si="0"/>
        <v>17</v>
      </c>
      <c r="C24" s="2" t="s">
        <v>42</v>
      </c>
      <c r="D24" s="4"/>
      <c r="E24" s="10"/>
    </row>
    <row r="25" spans="2:5" x14ac:dyDescent="0.55000000000000004">
      <c r="B25" s="9">
        <f t="shared" si="0"/>
        <v>18</v>
      </c>
      <c r="C25" s="2" t="s">
        <v>42</v>
      </c>
      <c r="D25" s="4"/>
      <c r="E25" s="10"/>
    </row>
    <row r="26" spans="2:5" x14ac:dyDescent="0.55000000000000004">
      <c r="B26" s="9">
        <f t="shared" si="0"/>
        <v>19</v>
      </c>
      <c r="C26" s="2" t="s">
        <v>42</v>
      </c>
      <c r="D26" s="4"/>
      <c r="E26" s="10"/>
    </row>
    <row r="27" spans="2:5" x14ac:dyDescent="0.55000000000000004">
      <c r="B27" s="9">
        <f t="shared" si="0"/>
        <v>20</v>
      </c>
      <c r="C27" s="2" t="s">
        <v>42</v>
      </c>
      <c r="D27" s="4"/>
      <c r="E27" s="10"/>
    </row>
    <row r="28" spans="2:5" x14ac:dyDescent="0.55000000000000004">
      <c r="B28" s="9">
        <f t="shared" si="0"/>
        <v>21</v>
      </c>
      <c r="C28" s="2" t="s">
        <v>42</v>
      </c>
      <c r="D28" s="4"/>
      <c r="E28" s="10"/>
    </row>
    <row r="29" spans="2:5" x14ac:dyDescent="0.55000000000000004">
      <c r="B29" s="9">
        <f t="shared" si="0"/>
        <v>22</v>
      </c>
      <c r="C29" s="2" t="s">
        <v>42</v>
      </c>
      <c r="D29" s="4"/>
      <c r="E29" s="10"/>
    </row>
    <row r="30" spans="2:5" x14ac:dyDescent="0.55000000000000004">
      <c r="B30" s="9">
        <f t="shared" si="0"/>
        <v>23</v>
      </c>
      <c r="C30" s="2" t="s">
        <v>42</v>
      </c>
      <c r="D30" s="4"/>
      <c r="E30" s="10"/>
    </row>
    <row r="31" spans="2:5" x14ac:dyDescent="0.55000000000000004">
      <c r="B31" s="9">
        <f t="shared" si="0"/>
        <v>24</v>
      </c>
      <c r="C31" s="2" t="s">
        <v>42</v>
      </c>
      <c r="D31" s="4"/>
      <c r="E31" s="10"/>
    </row>
    <row r="32" spans="2:5" x14ac:dyDescent="0.55000000000000004">
      <c r="B32" s="9">
        <f t="shared" si="0"/>
        <v>25</v>
      </c>
      <c r="C32" s="2" t="s">
        <v>42</v>
      </c>
      <c r="D32" s="4"/>
      <c r="E32" s="10"/>
    </row>
    <row r="33" spans="2:5" x14ac:dyDescent="0.55000000000000004">
      <c r="B33" s="9">
        <f t="shared" si="0"/>
        <v>26</v>
      </c>
      <c r="C33" s="2" t="s">
        <v>42</v>
      </c>
      <c r="D33" s="4"/>
      <c r="E33" s="10"/>
    </row>
    <row r="34" spans="2:5" x14ac:dyDescent="0.55000000000000004">
      <c r="B34" s="9">
        <f t="shared" si="0"/>
        <v>27</v>
      </c>
      <c r="C34" s="2" t="s">
        <v>42</v>
      </c>
      <c r="D34" s="4"/>
      <c r="E34" s="10"/>
    </row>
    <row r="35" spans="2:5" x14ac:dyDescent="0.55000000000000004">
      <c r="B35" s="9">
        <f t="shared" si="0"/>
        <v>28</v>
      </c>
      <c r="C35" s="2" t="s">
        <v>42</v>
      </c>
      <c r="D35" s="4"/>
      <c r="E35" s="10"/>
    </row>
    <row r="36" spans="2:5" x14ac:dyDescent="0.55000000000000004">
      <c r="B36" s="9">
        <f t="shared" si="0"/>
        <v>29</v>
      </c>
      <c r="C36" s="2" t="s">
        <v>42</v>
      </c>
      <c r="D36" s="4"/>
      <c r="E36" s="10"/>
    </row>
    <row r="37" spans="2:5" x14ac:dyDescent="0.55000000000000004">
      <c r="B37" s="9">
        <f t="shared" si="0"/>
        <v>30</v>
      </c>
      <c r="C37" s="2" t="s">
        <v>42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42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28" t="s">
        <v>41</v>
      </c>
      <c r="C40" s="1"/>
      <c r="D40" s="1">
        <f>COUNTIF(D8:D38,"24")</f>
        <v>0</v>
      </c>
      <c r="E40" s="11">
        <f>COUNTIF(E8:E38,"26")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3" t="str">
        <f>IF(E39&gt;E40,"OK","NG")</f>
        <v>NG</v>
      </c>
    </row>
  </sheetData>
  <mergeCells count="4">
    <mergeCell ref="B39:C39"/>
    <mergeCell ref="B41:C41"/>
    <mergeCell ref="B6:C6"/>
    <mergeCell ref="B7:C7"/>
  </mergeCells>
  <phoneticPr fontId="1"/>
  <conditionalFormatting sqref="D41:E41">
    <cfRule type="cellIs" dxfId="17" priority="1" operator="equal">
      <formula>"OK"</formula>
    </cfRule>
    <cfRule type="cellIs" dxfId="16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22274-0DCC-439F-926C-F7196FE61271}">
  <sheetPr codeName="Sheet12"/>
  <dimension ref="B2:F41"/>
  <sheetViews>
    <sheetView topLeftCell="A30" workbookViewId="0">
      <selection activeCell="F41" sqref="F41"/>
    </sheetView>
  </sheetViews>
  <sheetFormatPr defaultRowHeight="18" x14ac:dyDescent="0.55000000000000004"/>
  <cols>
    <col min="2" max="2" width="12.5" bestFit="1" customWidth="1"/>
    <col min="3" max="3" width="6.25" customWidth="1"/>
    <col min="4" max="4" width="18.9140625" customWidth="1"/>
    <col min="5" max="5" width="18.83203125" customWidth="1"/>
    <col min="6" max="6" width="19.08203125" customWidth="1"/>
    <col min="7" max="7" width="18.5" customWidth="1"/>
  </cols>
  <sheetData>
    <row r="2" spans="2:6" ht="22.5" x14ac:dyDescent="0.55000000000000004">
      <c r="B2" s="5" t="s">
        <v>26</v>
      </c>
      <c r="C2" s="5"/>
    </row>
    <row r="4" spans="2:6" x14ac:dyDescent="0.55000000000000004">
      <c r="B4" s="3" t="s">
        <v>72</v>
      </c>
      <c r="C4" s="3"/>
      <c r="D4" s="3"/>
    </row>
    <row r="5" spans="2:6" ht="18.5" thickBot="1" x14ac:dyDescent="0.6"/>
    <row r="6" spans="2:6" x14ac:dyDescent="0.55000000000000004">
      <c r="B6" s="43"/>
      <c r="C6" s="44"/>
      <c r="D6" s="7" t="s">
        <v>34</v>
      </c>
      <c r="E6" s="7" t="s">
        <v>35</v>
      </c>
      <c r="F6" s="8" t="s">
        <v>36</v>
      </c>
    </row>
    <row r="7" spans="2:6" ht="18.5" thickBot="1" x14ac:dyDescent="0.6">
      <c r="B7" s="45" t="s">
        <v>0</v>
      </c>
      <c r="C7" s="46"/>
      <c r="D7" s="18" t="s">
        <v>4</v>
      </c>
      <c r="E7" s="18" t="s">
        <v>4</v>
      </c>
      <c r="F7" s="19" t="s">
        <v>4</v>
      </c>
    </row>
    <row r="8" spans="2:6" ht="18.5" thickTop="1" x14ac:dyDescent="0.55000000000000004">
      <c r="B8" s="14">
        <f>ROW()-7</f>
        <v>1</v>
      </c>
      <c r="C8" s="26" t="s">
        <v>42</v>
      </c>
      <c r="D8" s="16"/>
      <c r="E8" s="16"/>
      <c r="F8" s="17"/>
    </row>
    <row r="9" spans="2:6" x14ac:dyDescent="0.55000000000000004">
      <c r="B9" s="9">
        <f t="shared" ref="B9:B38" si="0">ROW()-7</f>
        <v>2</v>
      </c>
      <c r="C9" s="2" t="s">
        <v>42</v>
      </c>
      <c r="D9" s="4"/>
      <c r="E9" s="4"/>
      <c r="F9" s="10"/>
    </row>
    <row r="10" spans="2:6" x14ac:dyDescent="0.55000000000000004">
      <c r="B10" s="9">
        <f t="shared" si="0"/>
        <v>3</v>
      </c>
      <c r="C10" s="2" t="s">
        <v>42</v>
      </c>
      <c r="D10" s="4"/>
      <c r="E10" s="4"/>
      <c r="F10" s="10"/>
    </row>
    <row r="11" spans="2:6" x14ac:dyDescent="0.55000000000000004">
      <c r="B11" s="9">
        <f t="shared" si="0"/>
        <v>4</v>
      </c>
      <c r="C11" s="2" t="s">
        <v>42</v>
      </c>
      <c r="D11" s="4"/>
      <c r="E11" s="4"/>
      <c r="F11" s="10"/>
    </row>
    <row r="12" spans="2:6" x14ac:dyDescent="0.55000000000000004">
      <c r="B12" s="9">
        <f t="shared" si="0"/>
        <v>5</v>
      </c>
      <c r="C12" s="2" t="s">
        <v>42</v>
      </c>
      <c r="D12" s="4"/>
      <c r="E12" s="4"/>
      <c r="F12" s="10"/>
    </row>
    <row r="13" spans="2:6" x14ac:dyDescent="0.55000000000000004">
      <c r="B13" s="9">
        <f t="shared" si="0"/>
        <v>6</v>
      </c>
      <c r="C13" s="2" t="s">
        <v>42</v>
      </c>
      <c r="D13" s="4"/>
      <c r="E13" s="4"/>
      <c r="F13" s="10"/>
    </row>
    <row r="14" spans="2:6" x14ac:dyDescent="0.55000000000000004">
      <c r="B14" s="9">
        <f t="shared" si="0"/>
        <v>7</v>
      </c>
      <c r="C14" s="2" t="s">
        <v>42</v>
      </c>
      <c r="D14" s="4"/>
      <c r="E14" s="4"/>
      <c r="F14" s="10"/>
    </row>
    <row r="15" spans="2:6" x14ac:dyDescent="0.55000000000000004">
      <c r="B15" s="9">
        <f t="shared" si="0"/>
        <v>8</v>
      </c>
      <c r="C15" s="2" t="s">
        <v>42</v>
      </c>
      <c r="D15" s="4"/>
      <c r="E15" s="4"/>
      <c r="F15" s="10"/>
    </row>
    <row r="16" spans="2:6" x14ac:dyDescent="0.55000000000000004">
      <c r="B16" s="9">
        <f t="shared" si="0"/>
        <v>9</v>
      </c>
      <c r="C16" s="2" t="s">
        <v>42</v>
      </c>
      <c r="D16" s="4"/>
      <c r="E16" s="4"/>
      <c r="F16" s="10"/>
    </row>
    <row r="17" spans="2:6" x14ac:dyDescent="0.55000000000000004">
      <c r="B17" s="9">
        <f t="shared" si="0"/>
        <v>10</v>
      </c>
      <c r="C17" s="2" t="s">
        <v>42</v>
      </c>
      <c r="D17" s="4"/>
      <c r="E17" s="4"/>
      <c r="F17" s="10"/>
    </row>
    <row r="18" spans="2:6" x14ac:dyDescent="0.55000000000000004">
      <c r="B18" s="9">
        <f t="shared" si="0"/>
        <v>11</v>
      </c>
      <c r="C18" s="2" t="s">
        <v>42</v>
      </c>
      <c r="D18" s="4"/>
      <c r="E18" s="4"/>
      <c r="F18" s="10"/>
    </row>
    <row r="19" spans="2:6" x14ac:dyDescent="0.55000000000000004">
      <c r="B19" s="9">
        <f t="shared" si="0"/>
        <v>12</v>
      </c>
      <c r="C19" s="2" t="s">
        <v>42</v>
      </c>
      <c r="D19" s="4"/>
      <c r="E19" s="4"/>
      <c r="F19" s="10"/>
    </row>
    <row r="20" spans="2:6" x14ac:dyDescent="0.55000000000000004">
      <c r="B20" s="9">
        <f t="shared" si="0"/>
        <v>13</v>
      </c>
      <c r="C20" s="2" t="s">
        <v>42</v>
      </c>
      <c r="D20" s="4"/>
      <c r="E20" s="4"/>
      <c r="F20" s="10"/>
    </row>
    <row r="21" spans="2:6" x14ac:dyDescent="0.55000000000000004">
      <c r="B21" s="9">
        <f t="shared" si="0"/>
        <v>14</v>
      </c>
      <c r="C21" s="2" t="s">
        <v>42</v>
      </c>
      <c r="D21" s="4"/>
      <c r="E21" s="4"/>
      <c r="F21" s="10"/>
    </row>
    <row r="22" spans="2:6" x14ac:dyDescent="0.55000000000000004">
      <c r="B22" s="9">
        <f t="shared" si="0"/>
        <v>15</v>
      </c>
      <c r="C22" s="2" t="s">
        <v>42</v>
      </c>
      <c r="D22" s="4"/>
      <c r="E22" s="4"/>
      <c r="F22" s="10"/>
    </row>
    <row r="23" spans="2:6" x14ac:dyDescent="0.55000000000000004">
      <c r="B23" s="9">
        <f t="shared" si="0"/>
        <v>16</v>
      </c>
      <c r="C23" s="2" t="s">
        <v>42</v>
      </c>
      <c r="D23" s="4"/>
      <c r="E23" s="4"/>
      <c r="F23" s="10"/>
    </row>
    <row r="24" spans="2:6" x14ac:dyDescent="0.55000000000000004">
      <c r="B24" s="9">
        <f t="shared" si="0"/>
        <v>17</v>
      </c>
      <c r="C24" s="2" t="s">
        <v>42</v>
      </c>
      <c r="D24" s="4"/>
      <c r="E24" s="4"/>
      <c r="F24" s="10"/>
    </row>
    <row r="25" spans="2:6" x14ac:dyDescent="0.55000000000000004">
      <c r="B25" s="9">
        <f t="shared" si="0"/>
        <v>18</v>
      </c>
      <c r="C25" s="2" t="s">
        <v>42</v>
      </c>
      <c r="D25" s="4"/>
      <c r="E25" s="4"/>
      <c r="F25" s="10"/>
    </row>
    <row r="26" spans="2:6" x14ac:dyDescent="0.55000000000000004">
      <c r="B26" s="9">
        <f t="shared" si="0"/>
        <v>19</v>
      </c>
      <c r="C26" s="2" t="s">
        <v>42</v>
      </c>
      <c r="D26" s="4"/>
      <c r="E26" s="4"/>
      <c r="F26" s="10"/>
    </row>
    <row r="27" spans="2:6" x14ac:dyDescent="0.55000000000000004">
      <c r="B27" s="9">
        <f t="shared" si="0"/>
        <v>20</v>
      </c>
      <c r="C27" s="2" t="s">
        <v>42</v>
      </c>
      <c r="D27" s="4"/>
      <c r="E27" s="4"/>
      <c r="F27" s="10"/>
    </row>
    <row r="28" spans="2:6" x14ac:dyDescent="0.55000000000000004">
      <c r="B28" s="9">
        <f t="shared" si="0"/>
        <v>21</v>
      </c>
      <c r="C28" s="2" t="s">
        <v>42</v>
      </c>
      <c r="D28" s="4"/>
      <c r="E28" s="4"/>
      <c r="F28" s="10"/>
    </row>
    <row r="29" spans="2:6" x14ac:dyDescent="0.55000000000000004">
      <c r="B29" s="9">
        <f t="shared" si="0"/>
        <v>22</v>
      </c>
      <c r="C29" s="2" t="s">
        <v>42</v>
      </c>
      <c r="D29" s="4"/>
      <c r="E29" s="4"/>
      <c r="F29" s="10"/>
    </row>
    <row r="30" spans="2:6" x14ac:dyDescent="0.55000000000000004">
      <c r="B30" s="9">
        <f t="shared" si="0"/>
        <v>23</v>
      </c>
      <c r="C30" s="2" t="s">
        <v>42</v>
      </c>
      <c r="D30" s="4"/>
      <c r="E30" s="4"/>
      <c r="F30" s="10"/>
    </row>
    <row r="31" spans="2:6" x14ac:dyDescent="0.55000000000000004">
      <c r="B31" s="9">
        <f t="shared" si="0"/>
        <v>24</v>
      </c>
      <c r="C31" s="2" t="s">
        <v>42</v>
      </c>
      <c r="D31" s="4"/>
      <c r="E31" s="4"/>
      <c r="F31" s="10"/>
    </row>
    <row r="32" spans="2:6" x14ac:dyDescent="0.55000000000000004">
      <c r="B32" s="9">
        <f t="shared" si="0"/>
        <v>25</v>
      </c>
      <c r="C32" s="2" t="s">
        <v>42</v>
      </c>
      <c r="D32" s="4"/>
      <c r="E32" s="4"/>
      <c r="F32" s="10"/>
    </row>
    <row r="33" spans="2:6" x14ac:dyDescent="0.55000000000000004">
      <c r="B33" s="9">
        <f t="shared" si="0"/>
        <v>26</v>
      </c>
      <c r="C33" s="2" t="s">
        <v>42</v>
      </c>
      <c r="D33" s="4"/>
      <c r="E33" s="4"/>
      <c r="F33" s="10"/>
    </row>
    <row r="34" spans="2:6" x14ac:dyDescent="0.55000000000000004">
      <c r="B34" s="9">
        <f t="shared" si="0"/>
        <v>27</v>
      </c>
      <c r="C34" s="2" t="s">
        <v>42</v>
      </c>
      <c r="D34" s="4"/>
      <c r="E34" s="4"/>
      <c r="F34" s="10"/>
    </row>
    <row r="35" spans="2:6" x14ac:dyDescent="0.55000000000000004">
      <c r="B35" s="9">
        <f t="shared" si="0"/>
        <v>28</v>
      </c>
      <c r="C35" s="2" t="s">
        <v>42</v>
      </c>
      <c r="D35" s="4"/>
      <c r="E35" s="4"/>
      <c r="F35" s="10"/>
    </row>
    <row r="36" spans="2:6" x14ac:dyDescent="0.55000000000000004">
      <c r="B36" s="9">
        <f t="shared" si="0"/>
        <v>29</v>
      </c>
      <c r="C36" s="2" t="s">
        <v>42</v>
      </c>
      <c r="D36" s="4"/>
      <c r="E36" s="4"/>
      <c r="F36" s="10"/>
    </row>
    <row r="37" spans="2:6" x14ac:dyDescent="0.55000000000000004">
      <c r="B37" s="9">
        <f t="shared" si="0"/>
        <v>30</v>
      </c>
      <c r="C37" s="2" t="s">
        <v>42</v>
      </c>
      <c r="D37" s="4"/>
      <c r="E37" s="4"/>
      <c r="F37" s="10"/>
    </row>
    <row r="38" spans="2:6" ht="18.5" thickBot="1" x14ac:dyDescent="0.6">
      <c r="B38" s="20">
        <f t="shared" si="0"/>
        <v>31</v>
      </c>
      <c r="C38" s="27" t="s">
        <v>42</v>
      </c>
      <c r="D38" s="22"/>
      <c r="E38" s="22"/>
      <c r="F38" s="23"/>
    </row>
    <row r="39" spans="2:6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5">
        <f>COUNTIF(F8:F38,"22")</f>
        <v>0</v>
      </c>
    </row>
    <row r="40" spans="2:6" x14ac:dyDescent="0.55000000000000004">
      <c r="B40" s="28" t="s">
        <v>41</v>
      </c>
      <c r="C40" s="1"/>
      <c r="D40" s="1">
        <f>COUNT(D8:D38)-D39</f>
        <v>0</v>
      </c>
      <c r="E40" s="1">
        <f>COUNT(E8:E38)-E39</f>
        <v>0</v>
      </c>
      <c r="F40" s="11">
        <f>COUNT(F8:F38)-F39</f>
        <v>0</v>
      </c>
    </row>
    <row r="41" spans="2:6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13" t="str">
        <f>IF(F39&gt;F40,"OK","NG")</f>
        <v>NG</v>
      </c>
    </row>
  </sheetData>
  <mergeCells count="4">
    <mergeCell ref="B7:C7"/>
    <mergeCell ref="B39:C39"/>
    <mergeCell ref="B41:C41"/>
    <mergeCell ref="B6:C6"/>
  </mergeCells>
  <phoneticPr fontId="1"/>
  <conditionalFormatting sqref="D41:F41">
    <cfRule type="cellIs" dxfId="15" priority="1" operator="equal">
      <formula>"OK"</formula>
    </cfRule>
    <cfRule type="cellIs" dxfId="14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2EE0E-B06A-4FA4-96DA-C8EB4ACDEAED}">
  <sheetPr codeName="Sheet13"/>
  <dimension ref="B2:H41"/>
  <sheetViews>
    <sheetView topLeftCell="A27" workbookViewId="0">
      <selection activeCell="E41" sqref="E41"/>
    </sheetView>
  </sheetViews>
  <sheetFormatPr defaultRowHeight="18" x14ac:dyDescent="0.55000000000000004"/>
  <cols>
    <col min="2" max="2" width="12.5" bestFit="1" customWidth="1"/>
    <col min="3" max="3" width="12.5" customWidth="1"/>
    <col min="4" max="4" width="17.4140625" customWidth="1"/>
    <col min="5" max="5" width="19.58203125" customWidth="1"/>
    <col min="6" max="6" width="18.5" customWidth="1"/>
    <col min="8" max="8" width="13.25" customWidth="1"/>
    <col min="9" max="9" width="14.83203125" customWidth="1"/>
    <col min="10" max="10" width="14.75" customWidth="1"/>
    <col min="11" max="11" width="17.6640625" customWidth="1"/>
    <col min="12" max="13" width="15.9140625" customWidth="1"/>
  </cols>
  <sheetData>
    <row r="2" spans="2:8" ht="22.5" x14ac:dyDescent="0.55000000000000004">
      <c r="B2" s="5" t="s">
        <v>26</v>
      </c>
      <c r="C2" s="5"/>
      <c r="D2" s="5"/>
    </row>
    <row r="3" spans="2:8" x14ac:dyDescent="0.55000000000000004">
      <c r="H3" s="3"/>
    </row>
    <row r="4" spans="2:8" x14ac:dyDescent="0.55000000000000004">
      <c r="B4" s="3" t="s">
        <v>73</v>
      </c>
      <c r="C4" s="3"/>
    </row>
    <row r="5" spans="2:8" ht="18.5" thickBot="1" x14ac:dyDescent="0.6"/>
    <row r="6" spans="2:8" x14ac:dyDescent="0.55000000000000004">
      <c r="B6" s="43"/>
      <c r="C6" s="44"/>
      <c r="D6" s="7" t="s">
        <v>37</v>
      </c>
      <c r="E6" s="8" t="s">
        <v>38</v>
      </c>
    </row>
    <row r="7" spans="2:8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8" ht="18.5" thickTop="1" x14ac:dyDescent="0.55000000000000004">
      <c r="B8" s="14">
        <f>ROW()-7</f>
        <v>1</v>
      </c>
      <c r="C8" s="26" t="s">
        <v>42</v>
      </c>
      <c r="D8" s="16"/>
      <c r="E8" s="17"/>
    </row>
    <row r="9" spans="2:8" x14ac:dyDescent="0.55000000000000004">
      <c r="B9" s="9">
        <f t="shared" ref="B9:B38" si="0">ROW()-7</f>
        <v>2</v>
      </c>
      <c r="C9" s="2" t="s">
        <v>42</v>
      </c>
      <c r="D9" s="4"/>
      <c r="E9" s="10"/>
    </row>
    <row r="10" spans="2:8" x14ac:dyDescent="0.55000000000000004">
      <c r="B10" s="9">
        <f t="shared" si="0"/>
        <v>3</v>
      </c>
      <c r="C10" s="2" t="s">
        <v>42</v>
      </c>
      <c r="D10" s="4"/>
      <c r="E10" s="10"/>
    </row>
    <row r="11" spans="2:8" x14ac:dyDescent="0.55000000000000004">
      <c r="B11" s="9">
        <f t="shared" si="0"/>
        <v>4</v>
      </c>
      <c r="C11" s="2" t="s">
        <v>42</v>
      </c>
      <c r="D11" s="4"/>
      <c r="E11" s="10"/>
    </row>
    <row r="12" spans="2:8" x14ac:dyDescent="0.55000000000000004">
      <c r="B12" s="9">
        <f t="shared" si="0"/>
        <v>5</v>
      </c>
      <c r="C12" s="2" t="s">
        <v>42</v>
      </c>
      <c r="D12" s="4"/>
      <c r="E12" s="10"/>
    </row>
    <row r="13" spans="2:8" x14ac:dyDescent="0.55000000000000004">
      <c r="B13" s="9">
        <f t="shared" si="0"/>
        <v>6</v>
      </c>
      <c r="C13" s="2" t="s">
        <v>42</v>
      </c>
      <c r="D13" s="4"/>
      <c r="E13" s="10"/>
    </row>
    <row r="14" spans="2:8" x14ac:dyDescent="0.55000000000000004">
      <c r="B14" s="9">
        <f t="shared" si="0"/>
        <v>7</v>
      </c>
      <c r="C14" s="2" t="s">
        <v>42</v>
      </c>
      <c r="D14" s="4"/>
      <c r="E14" s="10"/>
    </row>
    <row r="15" spans="2:8" x14ac:dyDescent="0.55000000000000004">
      <c r="B15" s="9">
        <f t="shared" si="0"/>
        <v>8</v>
      </c>
      <c r="C15" s="2" t="s">
        <v>42</v>
      </c>
      <c r="D15" s="4"/>
      <c r="E15" s="10"/>
    </row>
    <row r="16" spans="2:8" x14ac:dyDescent="0.55000000000000004">
      <c r="B16" s="9">
        <f t="shared" si="0"/>
        <v>9</v>
      </c>
      <c r="C16" s="2" t="s">
        <v>42</v>
      </c>
      <c r="D16" s="4"/>
      <c r="E16" s="10"/>
    </row>
    <row r="17" spans="2:5" x14ac:dyDescent="0.55000000000000004">
      <c r="B17" s="9">
        <f t="shared" si="0"/>
        <v>10</v>
      </c>
      <c r="C17" s="2" t="s">
        <v>42</v>
      </c>
      <c r="D17" s="4"/>
      <c r="E17" s="10"/>
    </row>
    <row r="18" spans="2:5" x14ac:dyDescent="0.55000000000000004">
      <c r="B18" s="9">
        <f t="shared" si="0"/>
        <v>11</v>
      </c>
      <c r="C18" s="2" t="s">
        <v>42</v>
      </c>
      <c r="D18" s="4"/>
      <c r="E18" s="10"/>
    </row>
    <row r="19" spans="2:5" x14ac:dyDescent="0.55000000000000004">
      <c r="B19" s="9">
        <f t="shared" si="0"/>
        <v>12</v>
      </c>
      <c r="C19" s="2" t="s">
        <v>42</v>
      </c>
      <c r="D19" s="4"/>
      <c r="E19" s="10"/>
    </row>
    <row r="20" spans="2:5" x14ac:dyDescent="0.55000000000000004">
      <c r="B20" s="9">
        <f t="shared" si="0"/>
        <v>13</v>
      </c>
      <c r="C20" s="2" t="s">
        <v>42</v>
      </c>
      <c r="D20" s="4"/>
      <c r="E20" s="10"/>
    </row>
    <row r="21" spans="2:5" x14ac:dyDescent="0.55000000000000004">
      <c r="B21" s="9">
        <f t="shared" si="0"/>
        <v>14</v>
      </c>
      <c r="C21" s="2" t="s">
        <v>42</v>
      </c>
      <c r="D21" s="4"/>
      <c r="E21" s="10"/>
    </row>
    <row r="22" spans="2:5" x14ac:dyDescent="0.55000000000000004">
      <c r="B22" s="9">
        <f t="shared" si="0"/>
        <v>15</v>
      </c>
      <c r="C22" s="2" t="s">
        <v>42</v>
      </c>
      <c r="D22" s="4"/>
      <c r="E22" s="10"/>
    </row>
    <row r="23" spans="2:5" x14ac:dyDescent="0.55000000000000004">
      <c r="B23" s="9">
        <f t="shared" si="0"/>
        <v>16</v>
      </c>
      <c r="C23" s="2" t="s">
        <v>42</v>
      </c>
      <c r="D23" s="4"/>
      <c r="E23" s="10"/>
    </row>
    <row r="24" spans="2:5" x14ac:dyDescent="0.55000000000000004">
      <c r="B24" s="9">
        <f t="shared" si="0"/>
        <v>17</v>
      </c>
      <c r="C24" s="2" t="s">
        <v>42</v>
      </c>
      <c r="D24" s="4"/>
      <c r="E24" s="10"/>
    </row>
    <row r="25" spans="2:5" x14ac:dyDescent="0.55000000000000004">
      <c r="B25" s="9">
        <f t="shared" si="0"/>
        <v>18</v>
      </c>
      <c r="C25" s="2" t="s">
        <v>42</v>
      </c>
      <c r="D25" s="4"/>
      <c r="E25" s="10"/>
    </row>
    <row r="26" spans="2:5" x14ac:dyDescent="0.55000000000000004">
      <c r="B26" s="9">
        <f t="shared" si="0"/>
        <v>19</v>
      </c>
      <c r="C26" s="2" t="s">
        <v>42</v>
      </c>
      <c r="D26" s="4"/>
      <c r="E26" s="10"/>
    </row>
    <row r="27" spans="2:5" x14ac:dyDescent="0.55000000000000004">
      <c r="B27" s="9">
        <f t="shared" si="0"/>
        <v>20</v>
      </c>
      <c r="C27" s="2" t="s">
        <v>42</v>
      </c>
      <c r="D27" s="4"/>
      <c r="E27" s="10"/>
    </row>
    <row r="28" spans="2:5" x14ac:dyDescent="0.55000000000000004">
      <c r="B28" s="9">
        <f t="shared" si="0"/>
        <v>21</v>
      </c>
      <c r="C28" s="2" t="s">
        <v>42</v>
      </c>
      <c r="D28" s="4"/>
      <c r="E28" s="10"/>
    </row>
    <row r="29" spans="2:5" x14ac:dyDescent="0.55000000000000004">
      <c r="B29" s="9">
        <f t="shared" si="0"/>
        <v>22</v>
      </c>
      <c r="C29" s="2" t="s">
        <v>42</v>
      </c>
      <c r="D29" s="4"/>
      <c r="E29" s="10"/>
    </row>
    <row r="30" spans="2:5" x14ac:dyDescent="0.55000000000000004">
      <c r="B30" s="9">
        <f t="shared" si="0"/>
        <v>23</v>
      </c>
      <c r="C30" s="2" t="s">
        <v>42</v>
      </c>
      <c r="D30" s="4"/>
      <c r="E30" s="10"/>
    </row>
    <row r="31" spans="2:5" x14ac:dyDescent="0.55000000000000004">
      <c r="B31" s="9">
        <f t="shared" si="0"/>
        <v>24</v>
      </c>
      <c r="C31" s="2" t="s">
        <v>42</v>
      </c>
      <c r="D31" s="4"/>
      <c r="E31" s="10"/>
    </row>
    <row r="32" spans="2:5" x14ac:dyDescent="0.55000000000000004">
      <c r="B32" s="9">
        <f t="shared" si="0"/>
        <v>25</v>
      </c>
      <c r="C32" s="2" t="s">
        <v>42</v>
      </c>
      <c r="D32" s="4"/>
      <c r="E32" s="10"/>
    </row>
    <row r="33" spans="2:5" x14ac:dyDescent="0.55000000000000004">
      <c r="B33" s="9">
        <f t="shared" si="0"/>
        <v>26</v>
      </c>
      <c r="C33" s="2" t="s">
        <v>42</v>
      </c>
      <c r="D33" s="4"/>
      <c r="E33" s="10"/>
    </row>
    <row r="34" spans="2:5" x14ac:dyDescent="0.55000000000000004">
      <c r="B34" s="9">
        <f t="shared" si="0"/>
        <v>27</v>
      </c>
      <c r="C34" s="2" t="s">
        <v>42</v>
      </c>
      <c r="D34" s="4"/>
      <c r="E34" s="10"/>
    </row>
    <row r="35" spans="2:5" x14ac:dyDescent="0.55000000000000004">
      <c r="B35" s="9">
        <f t="shared" si="0"/>
        <v>28</v>
      </c>
      <c r="C35" s="2" t="s">
        <v>42</v>
      </c>
      <c r="D35" s="4"/>
      <c r="E35" s="10"/>
    </row>
    <row r="36" spans="2:5" x14ac:dyDescent="0.55000000000000004">
      <c r="B36" s="9">
        <f t="shared" si="0"/>
        <v>29</v>
      </c>
      <c r="C36" s="2" t="s">
        <v>42</v>
      </c>
      <c r="D36" s="4"/>
      <c r="E36" s="10"/>
    </row>
    <row r="37" spans="2:5" x14ac:dyDescent="0.55000000000000004">
      <c r="B37" s="9">
        <f t="shared" si="0"/>
        <v>30</v>
      </c>
      <c r="C37" s="2" t="s">
        <v>42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42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28" t="s">
        <v>41</v>
      </c>
      <c r="C40" s="1"/>
      <c r="D40" s="1">
        <f>COUNT(D8:D38)-D39</f>
        <v>0</v>
      </c>
      <c r="E40" s="11">
        <f>COUNT(E8:E38)-E39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3" t="str">
        <f>IF(E39&gt;E40,"OK","NG")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E41">
    <cfRule type="cellIs" dxfId="13" priority="1" operator="equal">
      <formula>"OK"</formula>
    </cfRule>
    <cfRule type="cellIs" dxfId="12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CF9F3-0C39-45D9-9956-6CFBB0350D30}">
  <sheetPr codeName="Sheet14"/>
  <dimension ref="B2:H41"/>
  <sheetViews>
    <sheetView topLeftCell="A15" workbookViewId="0">
      <selection activeCell="F21" sqref="F21"/>
    </sheetView>
  </sheetViews>
  <sheetFormatPr defaultRowHeight="18" x14ac:dyDescent="0.55000000000000004"/>
  <cols>
    <col min="2" max="2" width="12.5" bestFit="1" customWidth="1"/>
    <col min="3" max="3" width="8.5" customWidth="1"/>
    <col min="4" max="4" width="20.5" customWidth="1"/>
    <col min="5" max="5" width="19.58203125" customWidth="1"/>
    <col min="6" max="6" width="20.4140625" customWidth="1"/>
    <col min="8" max="8" width="13.25" customWidth="1"/>
    <col min="9" max="9" width="14.83203125" customWidth="1"/>
    <col min="10" max="10" width="14.75" customWidth="1"/>
    <col min="11" max="11" width="17.6640625" customWidth="1"/>
    <col min="12" max="13" width="15.9140625" customWidth="1"/>
  </cols>
  <sheetData>
    <row r="2" spans="2:8" ht="22.5" x14ac:dyDescent="0.55000000000000004">
      <c r="B2" s="5" t="s">
        <v>57</v>
      </c>
      <c r="C2" s="5"/>
      <c r="D2" s="5"/>
    </row>
    <row r="3" spans="2:8" x14ac:dyDescent="0.55000000000000004">
      <c r="H3" s="3"/>
    </row>
    <row r="4" spans="2:8" x14ac:dyDescent="0.55000000000000004">
      <c r="B4" s="3" t="s">
        <v>53</v>
      </c>
      <c r="C4" s="3"/>
    </row>
    <row r="5" spans="2:8" ht="18.5" thickBot="1" x14ac:dyDescent="0.6"/>
    <row r="6" spans="2:8" x14ac:dyDescent="0.55000000000000004">
      <c r="B6" s="43"/>
      <c r="C6" s="44"/>
      <c r="D6" s="7" t="s">
        <v>44</v>
      </c>
      <c r="E6" s="7" t="s">
        <v>43</v>
      </c>
      <c r="F6" s="8" t="s">
        <v>45</v>
      </c>
    </row>
    <row r="7" spans="2:8" ht="18.5" thickBot="1" x14ac:dyDescent="0.6">
      <c r="B7" s="45" t="s">
        <v>0</v>
      </c>
      <c r="C7" s="46"/>
      <c r="D7" s="18" t="s">
        <v>4</v>
      </c>
      <c r="E7" s="18" t="s">
        <v>4</v>
      </c>
      <c r="F7" s="19" t="s">
        <v>4</v>
      </c>
    </row>
    <row r="8" spans="2:8" ht="18.5" thickTop="1" x14ac:dyDescent="0.55000000000000004">
      <c r="B8" s="14">
        <f>ROW()-7</f>
        <v>1</v>
      </c>
      <c r="C8" s="26" t="s">
        <v>42</v>
      </c>
      <c r="D8" s="16"/>
      <c r="E8" s="16"/>
      <c r="F8" s="17"/>
    </row>
    <row r="9" spans="2:8" x14ac:dyDescent="0.55000000000000004">
      <c r="B9" s="9">
        <f t="shared" ref="B9:B38" si="0">ROW()-7</f>
        <v>2</v>
      </c>
      <c r="C9" s="2" t="s">
        <v>42</v>
      </c>
      <c r="D9" s="4"/>
      <c r="E9" s="4"/>
      <c r="F9" s="10"/>
    </row>
    <row r="10" spans="2:8" x14ac:dyDescent="0.55000000000000004">
      <c r="B10" s="9">
        <f t="shared" si="0"/>
        <v>3</v>
      </c>
      <c r="C10" s="2" t="s">
        <v>42</v>
      </c>
      <c r="D10" s="4"/>
      <c r="E10" s="4"/>
      <c r="F10" s="10"/>
    </row>
    <row r="11" spans="2:8" x14ac:dyDescent="0.55000000000000004">
      <c r="B11" s="9">
        <f t="shared" si="0"/>
        <v>4</v>
      </c>
      <c r="C11" s="2" t="s">
        <v>42</v>
      </c>
      <c r="D11" s="4"/>
      <c r="E11" s="4"/>
      <c r="F11" s="10"/>
    </row>
    <row r="12" spans="2:8" x14ac:dyDescent="0.55000000000000004">
      <c r="B12" s="9">
        <f t="shared" si="0"/>
        <v>5</v>
      </c>
      <c r="C12" s="2" t="s">
        <v>42</v>
      </c>
      <c r="D12" s="4"/>
      <c r="E12" s="4"/>
      <c r="F12" s="10"/>
    </row>
    <row r="13" spans="2:8" x14ac:dyDescent="0.55000000000000004">
      <c r="B13" s="9">
        <f t="shared" si="0"/>
        <v>6</v>
      </c>
      <c r="C13" s="2" t="s">
        <v>42</v>
      </c>
      <c r="D13" s="4"/>
      <c r="E13" s="4"/>
      <c r="F13" s="10"/>
    </row>
    <row r="14" spans="2:8" x14ac:dyDescent="0.55000000000000004">
      <c r="B14" s="9">
        <f t="shared" si="0"/>
        <v>7</v>
      </c>
      <c r="C14" s="2" t="s">
        <v>42</v>
      </c>
      <c r="D14" s="4"/>
      <c r="E14" s="4"/>
      <c r="F14" s="10"/>
    </row>
    <row r="15" spans="2:8" x14ac:dyDescent="0.55000000000000004">
      <c r="B15" s="9">
        <f t="shared" si="0"/>
        <v>8</v>
      </c>
      <c r="C15" s="2" t="s">
        <v>42</v>
      </c>
      <c r="D15" s="4"/>
      <c r="E15" s="4"/>
      <c r="F15" s="10"/>
    </row>
    <row r="16" spans="2:8" x14ac:dyDescent="0.55000000000000004">
      <c r="B16" s="9">
        <f t="shared" si="0"/>
        <v>9</v>
      </c>
      <c r="C16" s="2" t="s">
        <v>42</v>
      </c>
      <c r="D16" s="4"/>
      <c r="E16" s="4"/>
      <c r="F16" s="10"/>
    </row>
    <row r="17" spans="2:6" x14ac:dyDescent="0.55000000000000004">
      <c r="B17" s="9">
        <f t="shared" si="0"/>
        <v>10</v>
      </c>
      <c r="C17" s="2" t="s">
        <v>42</v>
      </c>
      <c r="D17" s="4"/>
      <c r="E17" s="4"/>
      <c r="F17" s="10"/>
    </row>
    <row r="18" spans="2:6" x14ac:dyDescent="0.55000000000000004">
      <c r="B18" s="9">
        <f t="shared" si="0"/>
        <v>11</v>
      </c>
      <c r="C18" s="2" t="s">
        <v>42</v>
      </c>
      <c r="D18" s="4"/>
      <c r="E18" s="4"/>
      <c r="F18" s="10"/>
    </row>
    <row r="19" spans="2:6" x14ac:dyDescent="0.55000000000000004">
      <c r="B19" s="9">
        <f t="shared" si="0"/>
        <v>12</v>
      </c>
      <c r="C19" s="2" t="s">
        <v>42</v>
      </c>
      <c r="D19" s="4"/>
      <c r="E19" s="4"/>
      <c r="F19" s="10"/>
    </row>
    <row r="20" spans="2:6" x14ac:dyDescent="0.55000000000000004">
      <c r="B20" s="9">
        <f t="shared" si="0"/>
        <v>13</v>
      </c>
      <c r="C20" s="2" t="s">
        <v>42</v>
      </c>
      <c r="D20" s="4"/>
      <c r="E20" s="4"/>
      <c r="F20" s="10"/>
    </row>
    <row r="21" spans="2:6" x14ac:dyDescent="0.55000000000000004">
      <c r="B21" s="9">
        <f t="shared" si="0"/>
        <v>14</v>
      </c>
      <c r="C21" s="2" t="s">
        <v>42</v>
      </c>
      <c r="D21" s="4"/>
      <c r="E21" s="4"/>
      <c r="F21" s="10"/>
    </row>
    <row r="22" spans="2:6" x14ac:dyDescent="0.55000000000000004">
      <c r="B22" s="9">
        <f t="shared" si="0"/>
        <v>15</v>
      </c>
      <c r="C22" s="2" t="s">
        <v>42</v>
      </c>
      <c r="D22" s="4"/>
      <c r="E22" s="4"/>
      <c r="F22" s="10"/>
    </row>
    <row r="23" spans="2:6" x14ac:dyDescent="0.55000000000000004">
      <c r="B23" s="9">
        <f t="shared" si="0"/>
        <v>16</v>
      </c>
      <c r="C23" s="2" t="s">
        <v>42</v>
      </c>
      <c r="D23" s="4"/>
      <c r="E23" s="4"/>
      <c r="F23" s="10"/>
    </row>
    <row r="24" spans="2:6" x14ac:dyDescent="0.55000000000000004">
      <c r="B24" s="9">
        <f t="shared" si="0"/>
        <v>17</v>
      </c>
      <c r="C24" s="2" t="s">
        <v>42</v>
      </c>
      <c r="D24" s="4"/>
      <c r="E24" s="4"/>
      <c r="F24" s="10"/>
    </row>
    <row r="25" spans="2:6" x14ac:dyDescent="0.55000000000000004">
      <c r="B25" s="9">
        <f t="shared" si="0"/>
        <v>18</v>
      </c>
      <c r="C25" s="2" t="s">
        <v>42</v>
      </c>
      <c r="D25" s="4"/>
      <c r="E25" s="4"/>
      <c r="F25" s="10"/>
    </row>
    <row r="26" spans="2:6" x14ac:dyDescent="0.55000000000000004">
      <c r="B26" s="9">
        <f t="shared" si="0"/>
        <v>19</v>
      </c>
      <c r="C26" s="2" t="s">
        <v>42</v>
      </c>
      <c r="D26" s="4"/>
      <c r="E26" s="4"/>
      <c r="F26" s="10"/>
    </row>
    <row r="27" spans="2:6" x14ac:dyDescent="0.55000000000000004">
      <c r="B27" s="9">
        <f t="shared" si="0"/>
        <v>20</v>
      </c>
      <c r="C27" s="2" t="s">
        <v>42</v>
      </c>
      <c r="D27" s="4"/>
      <c r="E27" s="4"/>
      <c r="F27" s="10"/>
    </row>
    <row r="28" spans="2:6" x14ac:dyDescent="0.55000000000000004">
      <c r="B28" s="9">
        <f t="shared" si="0"/>
        <v>21</v>
      </c>
      <c r="C28" s="2" t="s">
        <v>42</v>
      </c>
      <c r="D28" s="4"/>
      <c r="E28" s="4"/>
      <c r="F28" s="10"/>
    </row>
    <row r="29" spans="2:6" x14ac:dyDescent="0.55000000000000004">
      <c r="B29" s="9">
        <f t="shared" si="0"/>
        <v>22</v>
      </c>
      <c r="C29" s="2" t="s">
        <v>42</v>
      </c>
      <c r="D29" s="4"/>
      <c r="E29" s="4"/>
      <c r="F29" s="10"/>
    </row>
    <row r="30" spans="2:6" x14ac:dyDescent="0.55000000000000004">
      <c r="B30" s="9">
        <f t="shared" si="0"/>
        <v>23</v>
      </c>
      <c r="C30" s="2" t="s">
        <v>42</v>
      </c>
      <c r="D30" s="4"/>
      <c r="E30" s="4"/>
      <c r="F30" s="10"/>
    </row>
    <row r="31" spans="2:6" x14ac:dyDescent="0.55000000000000004">
      <c r="B31" s="9">
        <f t="shared" si="0"/>
        <v>24</v>
      </c>
      <c r="C31" s="2" t="s">
        <v>42</v>
      </c>
      <c r="D31" s="4"/>
      <c r="E31" s="4"/>
      <c r="F31" s="10"/>
    </row>
    <row r="32" spans="2:6" x14ac:dyDescent="0.55000000000000004">
      <c r="B32" s="9">
        <f t="shared" si="0"/>
        <v>25</v>
      </c>
      <c r="C32" s="2" t="s">
        <v>42</v>
      </c>
      <c r="D32" s="4"/>
      <c r="E32" s="4"/>
      <c r="F32" s="10"/>
    </row>
    <row r="33" spans="2:6" x14ac:dyDescent="0.55000000000000004">
      <c r="B33" s="9">
        <f t="shared" si="0"/>
        <v>26</v>
      </c>
      <c r="C33" s="2" t="s">
        <v>42</v>
      </c>
      <c r="D33" s="4"/>
      <c r="E33" s="4"/>
      <c r="F33" s="10"/>
    </row>
    <row r="34" spans="2:6" x14ac:dyDescent="0.55000000000000004">
      <c r="B34" s="9">
        <f t="shared" si="0"/>
        <v>27</v>
      </c>
      <c r="C34" s="2" t="s">
        <v>42</v>
      </c>
      <c r="D34" s="4"/>
      <c r="E34" s="4"/>
      <c r="F34" s="10"/>
    </row>
    <row r="35" spans="2:6" x14ac:dyDescent="0.55000000000000004">
      <c r="B35" s="9">
        <f t="shared" si="0"/>
        <v>28</v>
      </c>
      <c r="C35" s="2" t="s">
        <v>42</v>
      </c>
      <c r="D35" s="4"/>
      <c r="E35" s="4"/>
      <c r="F35" s="10"/>
    </row>
    <row r="36" spans="2:6" x14ac:dyDescent="0.55000000000000004">
      <c r="B36" s="9">
        <f t="shared" si="0"/>
        <v>29</v>
      </c>
      <c r="C36" s="2" t="s">
        <v>42</v>
      </c>
      <c r="D36" s="4"/>
      <c r="E36" s="4"/>
      <c r="F36" s="10"/>
    </row>
    <row r="37" spans="2:6" x14ac:dyDescent="0.55000000000000004">
      <c r="B37" s="9">
        <f t="shared" si="0"/>
        <v>30</v>
      </c>
      <c r="C37" s="2" t="s">
        <v>42</v>
      </c>
      <c r="D37" s="4"/>
      <c r="E37" s="4"/>
      <c r="F37" s="10"/>
    </row>
    <row r="38" spans="2:6" ht="18.5" thickBot="1" x14ac:dyDescent="0.6">
      <c r="B38" s="20">
        <f t="shared" si="0"/>
        <v>31</v>
      </c>
      <c r="C38" s="27" t="s">
        <v>42</v>
      </c>
      <c r="D38" s="22"/>
      <c r="E38" s="22"/>
      <c r="F38" s="23"/>
    </row>
    <row r="39" spans="2:6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5">
        <f>COUNTIF(F8:F38,"22")</f>
        <v>0</v>
      </c>
    </row>
    <row r="40" spans="2:6" x14ac:dyDescent="0.55000000000000004">
      <c r="B40" s="28" t="s">
        <v>41</v>
      </c>
      <c r="C40" s="1"/>
      <c r="D40" s="1">
        <f>COUNT(D8:D38)-D39</f>
        <v>0</v>
      </c>
      <c r="E40" s="1">
        <f>COUNT(E8:E38)-E39</f>
        <v>0</v>
      </c>
      <c r="F40" s="11">
        <f>COUNT(F8:F38)-F39</f>
        <v>0</v>
      </c>
    </row>
    <row r="41" spans="2:6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13" t="str">
        <f>IF(F39&gt;F40,"OK","NG")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F41">
    <cfRule type="cellIs" dxfId="11" priority="1" operator="equal">
      <formula>"OK"</formula>
    </cfRule>
    <cfRule type="cellIs" dxfId="10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F79CC-11AF-4282-A5AA-6B2B0223E73D}">
  <sheetPr codeName="Sheet15"/>
  <dimension ref="B2:G41"/>
  <sheetViews>
    <sheetView topLeftCell="A18" workbookViewId="0">
      <selection activeCell="G29" sqref="G29"/>
    </sheetView>
  </sheetViews>
  <sheetFormatPr defaultRowHeight="18" x14ac:dyDescent="0.55000000000000004"/>
  <cols>
    <col min="2" max="2" width="12.5" bestFit="1" customWidth="1"/>
    <col min="3" max="3" width="8.5" customWidth="1"/>
    <col min="4" max="4" width="20.5" customWidth="1"/>
    <col min="5" max="5" width="19.58203125" customWidth="1"/>
    <col min="7" max="7" width="13.25" customWidth="1"/>
    <col min="8" max="8" width="14.83203125" customWidth="1"/>
    <col min="9" max="9" width="14.75" customWidth="1"/>
    <col min="10" max="10" width="17.6640625" customWidth="1"/>
    <col min="11" max="12" width="15.9140625" customWidth="1"/>
  </cols>
  <sheetData>
    <row r="2" spans="2:7" ht="22.5" x14ac:dyDescent="0.55000000000000004">
      <c r="B2" s="5" t="s">
        <v>57</v>
      </c>
      <c r="C2" s="5"/>
      <c r="D2" s="5"/>
    </row>
    <row r="3" spans="2:7" x14ac:dyDescent="0.55000000000000004">
      <c r="G3" s="3"/>
    </row>
    <row r="4" spans="2:7" x14ac:dyDescent="0.55000000000000004">
      <c r="B4" s="3" t="s">
        <v>54</v>
      </c>
      <c r="C4" s="3"/>
    </row>
    <row r="5" spans="2:7" ht="18.5" thickBot="1" x14ac:dyDescent="0.6"/>
    <row r="6" spans="2:7" x14ac:dyDescent="0.55000000000000004">
      <c r="B6" s="43"/>
      <c r="C6" s="44"/>
      <c r="D6" s="7" t="s">
        <v>46</v>
      </c>
      <c r="E6" s="8" t="s">
        <v>47</v>
      </c>
    </row>
    <row r="7" spans="2:7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7" ht="18.5" thickTop="1" x14ac:dyDescent="0.55000000000000004">
      <c r="B8" s="14">
        <f>ROW()-7</f>
        <v>1</v>
      </c>
      <c r="C8" s="26" t="s">
        <v>42</v>
      </c>
      <c r="D8" s="16"/>
      <c r="E8" s="17"/>
    </row>
    <row r="9" spans="2:7" x14ac:dyDescent="0.55000000000000004">
      <c r="B9" s="9">
        <f t="shared" ref="B9:B38" si="0">ROW()-7</f>
        <v>2</v>
      </c>
      <c r="C9" s="2" t="s">
        <v>42</v>
      </c>
      <c r="D9" s="4"/>
      <c r="E9" s="10"/>
    </row>
    <row r="10" spans="2:7" x14ac:dyDescent="0.55000000000000004">
      <c r="B10" s="9">
        <f t="shared" si="0"/>
        <v>3</v>
      </c>
      <c r="C10" s="2" t="s">
        <v>42</v>
      </c>
      <c r="D10" s="4"/>
      <c r="E10" s="10"/>
    </row>
    <row r="11" spans="2:7" x14ac:dyDescent="0.55000000000000004">
      <c r="B11" s="9">
        <f t="shared" si="0"/>
        <v>4</v>
      </c>
      <c r="C11" s="2" t="s">
        <v>42</v>
      </c>
      <c r="D11" s="4"/>
      <c r="E11" s="10"/>
    </row>
    <row r="12" spans="2:7" x14ac:dyDescent="0.55000000000000004">
      <c r="B12" s="9">
        <f t="shared" si="0"/>
        <v>5</v>
      </c>
      <c r="C12" s="2" t="s">
        <v>42</v>
      </c>
      <c r="D12" s="4"/>
      <c r="E12" s="10"/>
    </row>
    <row r="13" spans="2:7" x14ac:dyDescent="0.55000000000000004">
      <c r="B13" s="9">
        <f t="shared" si="0"/>
        <v>6</v>
      </c>
      <c r="C13" s="2" t="s">
        <v>42</v>
      </c>
      <c r="D13" s="4"/>
      <c r="E13" s="10"/>
    </row>
    <row r="14" spans="2:7" x14ac:dyDescent="0.55000000000000004">
      <c r="B14" s="9">
        <f t="shared" si="0"/>
        <v>7</v>
      </c>
      <c r="C14" s="2" t="s">
        <v>42</v>
      </c>
      <c r="D14" s="4"/>
      <c r="E14" s="10"/>
    </row>
    <row r="15" spans="2:7" x14ac:dyDescent="0.55000000000000004">
      <c r="B15" s="9">
        <f t="shared" si="0"/>
        <v>8</v>
      </c>
      <c r="C15" s="2" t="s">
        <v>42</v>
      </c>
      <c r="D15" s="4"/>
      <c r="E15" s="10"/>
    </row>
    <row r="16" spans="2:7" x14ac:dyDescent="0.55000000000000004">
      <c r="B16" s="9">
        <f t="shared" si="0"/>
        <v>9</v>
      </c>
      <c r="C16" s="2" t="s">
        <v>42</v>
      </c>
      <c r="D16" s="4"/>
      <c r="E16" s="10"/>
    </row>
    <row r="17" spans="2:5" x14ac:dyDescent="0.55000000000000004">
      <c r="B17" s="9">
        <f t="shared" si="0"/>
        <v>10</v>
      </c>
      <c r="C17" s="2" t="s">
        <v>42</v>
      </c>
      <c r="D17" s="4"/>
      <c r="E17" s="10"/>
    </row>
    <row r="18" spans="2:5" x14ac:dyDescent="0.55000000000000004">
      <c r="B18" s="9">
        <f t="shared" si="0"/>
        <v>11</v>
      </c>
      <c r="C18" s="2" t="s">
        <v>42</v>
      </c>
      <c r="D18" s="4"/>
      <c r="E18" s="10"/>
    </row>
    <row r="19" spans="2:5" x14ac:dyDescent="0.55000000000000004">
      <c r="B19" s="9">
        <f t="shared" si="0"/>
        <v>12</v>
      </c>
      <c r="C19" s="2" t="s">
        <v>42</v>
      </c>
      <c r="D19" s="4"/>
      <c r="E19" s="10"/>
    </row>
    <row r="20" spans="2:5" x14ac:dyDescent="0.55000000000000004">
      <c r="B20" s="9">
        <f t="shared" si="0"/>
        <v>13</v>
      </c>
      <c r="C20" s="2" t="s">
        <v>42</v>
      </c>
      <c r="D20" s="4"/>
      <c r="E20" s="10"/>
    </row>
    <row r="21" spans="2:5" x14ac:dyDescent="0.55000000000000004">
      <c r="B21" s="9">
        <f t="shared" si="0"/>
        <v>14</v>
      </c>
      <c r="C21" s="2" t="s">
        <v>42</v>
      </c>
      <c r="D21" s="4"/>
      <c r="E21" s="10"/>
    </row>
    <row r="22" spans="2:5" x14ac:dyDescent="0.55000000000000004">
      <c r="B22" s="9">
        <f t="shared" si="0"/>
        <v>15</v>
      </c>
      <c r="C22" s="2" t="s">
        <v>42</v>
      </c>
      <c r="D22" s="4"/>
      <c r="E22" s="10"/>
    </row>
    <row r="23" spans="2:5" x14ac:dyDescent="0.55000000000000004">
      <c r="B23" s="9">
        <f t="shared" si="0"/>
        <v>16</v>
      </c>
      <c r="C23" s="2" t="s">
        <v>42</v>
      </c>
      <c r="D23" s="4"/>
      <c r="E23" s="10"/>
    </row>
    <row r="24" spans="2:5" x14ac:dyDescent="0.55000000000000004">
      <c r="B24" s="9">
        <f t="shared" si="0"/>
        <v>17</v>
      </c>
      <c r="C24" s="2" t="s">
        <v>42</v>
      </c>
      <c r="D24" s="4"/>
      <c r="E24" s="10"/>
    </row>
    <row r="25" spans="2:5" x14ac:dyDescent="0.55000000000000004">
      <c r="B25" s="9">
        <f t="shared" si="0"/>
        <v>18</v>
      </c>
      <c r="C25" s="2" t="s">
        <v>42</v>
      </c>
      <c r="D25" s="4"/>
      <c r="E25" s="10"/>
    </row>
    <row r="26" spans="2:5" x14ac:dyDescent="0.55000000000000004">
      <c r="B26" s="9">
        <f t="shared" si="0"/>
        <v>19</v>
      </c>
      <c r="C26" s="2" t="s">
        <v>42</v>
      </c>
      <c r="D26" s="4"/>
      <c r="E26" s="10"/>
    </row>
    <row r="27" spans="2:5" x14ac:dyDescent="0.55000000000000004">
      <c r="B27" s="9">
        <f t="shared" si="0"/>
        <v>20</v>
      </c>
      <c r="C27" s="2" t="s">
        <v>42</v>
      </c>
      <c r="D27" s="4"/>
      <c r="E27" s="10"/>
    </row>
    <row r="28" spans="2:5" x14ac:dyDescent="0.55000000000000004">
      <c r="B28" s="9">
        <f t="shared" si="0"/>
        <v>21</v>
      </c>
      <c r="C28" s="2" t="s">
        <v>42</v>
      </c>
      <c r="D28" s="4"/>
      <c r="E28" s="10"/>
    </row>
    <row r="29" spans="2:5" x14ac:dyDescent="0.55000000000000004">
      <c r="B29" s="9">
        <f t="shared" si="0"/>
        <v>22</v>
      </c>
      <c r="C29" s="2" t="s">
        <v>42</v>
      </c>
      <c r="D29" s="4"/>
      <c r="E29" s="10"/>
    </row>
    <row r="30" spans="2:5" x14ac:dyDescent="0.55000000000000004">
      <c r="B30" s="9">
        <f t="shared" si="0"/>
        <v>23</v>
      </c>
      <c r="C30" s="2" t="s">
        <v>42</v>
      </c>
      <c r="D30" s="4"/>
      <c r="E30" s="10"/>
    </row>
    <row r="31" spans="2:5" x14ac:dyDescent="0.55000000000000004">
      <c r="B31" s="9">
        <f t="shared" si="0"/>
        <v>24</v>
      </c>
      <c r="C31" s="2" t="s">
        <v>42</v>
      </c>
      <c r="D31" s="4"/>
      <c r="E31" s="10"/>
    </row>
    <row r="32" spans="2:5" x14ac:dyDescent="0.55000000000000004">
      <c r="B32" s="9">
        <f t="shared" si="0"/>
        <v>25</v>
      </c>
      <c r="C32" s="2" t="s">
        <v>42</v>
      </c>
      <c r="D32" s="4"/>
      <c r="E32" s="10"/>
    </row>
    <row r="33" spans="2:5" x14ac:dyDescent="0.55000000000000004">
      <c r="B33" s="9">
        <f t="shared" si="0"/>
        <v>26</v>
      </c>
      <c r="C33" s="2" t="s">
        <v>42</v>
      </c>
      <c r="D33" s="4"/>
      <c r="E33" s="10"/>
    </row>
    <row r="34" spans="2:5" x14ac:dyDescent="0.55000000000000004">
      <c r="B34" s="9">
        <f t="shared" si="0"/>
        <v>27</v>
      </c>
      <c r="C34" s="2" t="s">
        <v>42</v>
      </c>
      <c r="D34" s="4"/>
      <c r="E34" s="10"/>
    </row>
    <row r="35" spans="2:5" x14ac:dyDescent="0.55000000000000004">
      <c r="B35" s="9">
        <f t="shared" si="0"/>
        <v>28</v>
      </c>
      <c r="C35" s="2" t="s">
        <v>42</v>
      </c>
      <c r="D35" s="4"/>
      <c r="E35" s="10"/>
    </row>
    <row r="36" spans="2:5" x14ac:dyDescent="0.55000000000000004">
      <c r="B36" s="9">
        <f t="shared" si="0"/>
        <v>29</v>
      </c>
      <c r="C36" s="2" t="s">
        <v>42</v>
      </c>
      <c r="D36" s="4"/>
      <c r="E36" s="10"/>
    </row>
    <row r="37" spans="2:5" x14ac:dyDescent="0.55000000000000004">
      <c r="B37" s="9">
        <f t="shared" si="0"/>
        <v>30</v>
      </c>
      <c r="C37" s="2" t="s">
        <v>42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42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28" t="s">
        <v>41</v>
      </c>
      <c r="C40" s="1"/>
      <c r="D40" s="1">
        <f>COUNT(D8:D38)-D39</f>
        <v>0</v>
      </c>
      <c r="E40" s="11">
        <f>COUNT(E8:E38)-E39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3" t="str">
        <f>IF(E39&gt;E40,"OK","NG")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E41">
    <cfRule type="cellIs" dxfId="9" priority="1" operator="equal">
      <formula>"OK"</formula>
    </cfRule>
    <cfRule type="cellIs" dxfId="8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983D-BC53-4411-AEC1-0EB629240BCE}">
  <sheetPr codeName="Sheet16"/>
  <dimension ref="B2:G41"/>
  <sheetViews>
    <sheetView topLeftCell="A24" workbookViewId="0">
      <selection activeCell="G27" sqref="G27"/>
    </sheetView>
  </sheetViews>
  <sheetFormatPr defaultRowHeight="18" x14ac:dyDescent="0.55000000000000004"/>
  <cols>
    <col min="2" max="2" width="12.5" bestFit="1" customWidth="1"/>
    <col min="3" max="3" width="8.5" customWidth="1"/>
    <col min="4" max="4" width="20.5" customWidth="1"/>
    <col min="5" max="5" width="19.58203125" customWidth="1"/>
    <col min="7" max="7" width="13.25" customWidth="1"/>
    <col min="8" max="8" width="14.83203125" customWidth="1"/>
    <col min="9" max="9" width="14.75" customWidth="1"/>
    <col min="10" max="10" width="17.6640625" customWidth="1"/>
    <col min="11" max="12" width="15.9140625" customWidth="1"/>
  </cols>
  <sheetData>
    <row r="2" spans="2:7" ht="22.5" x14ac:dyDescent="0.55000000000000004">
      <c r="B2" s="5" t="s">
        <v>57</v>
      </c>
      <c r="C2" s="5"/>
      <c r="D2" s="5"/>
    </row>
    <row r="3" spans="2:7" x14ac:dyDescent="0.55000000000000004">
      <c r="G3" s="3"/>
    </row>
    <row r="4" spans="2:7" x14ac:dyDescent="0.55000000000000004">
      <c r="B4" s="3" t="s">
        <v>55</v>
      </c>
      <c r="C4" s="3"/>
    </row>
    <row r="5" spans="2:7" ht="18.5" thickBot="1" x14ac:dyDescent="0.6"/>
    <row r="6" spans="2:7" x14ac:dyDescent="0.55000000000000004">
      <c r="B6" s="43"/>
      <c r="C6" s="44"/>
      <c r="D6" s="7" t="s">
        <v>48</v>
      </c>
      <c r="E6" s="8" t="s">
        <v>49</v>
      </c>
    </row>
    <row r="7" spans="2:7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7" ht="18.5" thickTop="1" x14ac:dyDescent="0.55000000000000004">
      <c r="B8" s="14">
        <f>ROW()-7</f>
        <v>1</v>
      </c>
      <c r="C8" s="26" t="s">
        <v>42</v>
      </c>
      <c r="D8" s="16"/>
      <c r="E8" s="17"/>
    </row>
    <row r="9" spans="2:7" x14ac:dyDescent="0.55000000000000004">
      <c r="B9" s="9">
        <f t="shared" ref="B9:B38" si="0">ROW()-7</f>
        <v>2</v>
      </c>
      <c r="C9" s="2" t="s">
        <v>42</v>
      </c>
      <c r="D9" s="4"/>
      <c r="E9" s="10"/>
    </row>
    <row r="10" spans="2:7" x14ac:dyDescent="0.55000000000000004">
      <c r="B10" s="9">
        <f t="shared" si="0"/>
        <v>3</v>
      </c>
      <c r="C10" s="2" t="s">
        <v>42</v>
      </c>
      <c r="D10" s="4"/>
      <c r="E10" s="10"/>
    </row>
    <row r="11" spans="2:7" x14ac:dyDescent="0.55000000000000004">
      <c r="B11" s="9">
        <f t="shared" si="0"/>
        <v>4</v>
      </c>
      <c r="C11" s="2" t="s">
        <v>42</v>
      </c>
      <c r="D11" s="4"/>
      <c r="E11" s="10"/>
    </row>
    <row r="12" spans="2:7" x14ac:dyDescent="0.55000000000000004">
      <c r="B12" s="9">
        <f t="shared" si="0"/>
        <v>5</v>
      </c>
      <c r="C12" s="2" t="s">
        <v>42</v>
      </c>
      <c r="D12" s="4"/>
      <c r="E12" s="10"/>
    </row>
    <row r="13" spans="2:7" x14ac:dyDescent="0.55000000000000004">
      <c r="B13" s="9">
        <f t="shared" si="0"/>
        <v>6</v>
      </c>
      <c r="C13" s="2" t="s">
        <v>42</v>
      </c>
      <c r="D13" s="4"/>
      <c r="E13" s="10"/>
    </row>
    <row r="14" spans="2:7" x14ac:dyDescent="0.55000000000000004">
      <c r="B14" s="9">
        <f t="shared" si="0"/>
        <v>7</v>
      </c>
      <c r="C14" s="2" t="s">
        <v>42</v>
      </c>
      <c r="D14" s="4"/>
      <c r="E14" s="10"/>
    </row>
    <row r="15" spans="2:7" x14ac:dyDescent="0.55000000000000004">
      <c r="B15" s="9">
        <f t="shared" si="0"/>
        <v>8</v>
      </c>
      <c r="C15" s="2" t="s">
        <v>42</v>
      </c>
      <c r="D15" s="4"/>
      <c r="E15" s="10"/>
    </row>
    <row r="16" spans="2:7" x14ac:dyDescent="0.55000000000000004">
      <c r="B16" s="9">
        <f t="shared" si="0"/>
        <v>9</v>
      </c>
      <c r="C16" s="2" t="s">
        <v>42</v>
      </c>
      <c r="D16" s="4"/>
      <c r="E16" s="10"/>
    </row>
    <row r="17" spans="2:5" x14ac:dyDescent="0.55000000000000004">
      <c r="B17" s="9">
        <f t="shared" si="0"/>
        <v>10</v>
      </c>
      <c r="C17" s="2" t="s">
        <v>42</v>
      </c>
      <c r="D17" s="4"/>
      <c r="E17" s="10"/>
    </row>
    <row r="18" spans="2:5" x14ac:dyDescent="0.55000000000000004">
      <c r="B18" s="9">
        <f t="shared" si="0"/>
        <v>11</v>
      </c>
      <c r="C18" s="2" t="s">
        <v>42</v>
      </c>
      <c r="D18" s="4"/>
      <c r="E18" s="10"/>
    </row>
    <row r="19" spans="2:5" x14ac:dyDescent="0.55000000000000004">
      <c r="B19" s="9">
        <f t="shared" si="0"/>
        <v>12</v>
      </c>
      <c r="C19" s="2" t="s">
        <v>42</v>
      </c>
      <c r="D19" s="4"/>
      <c r="E19" s="10"/>
    </row>
    <row r="20" spans="2:5" x14ac:dyDescent="0.55000000000000004">
      <c r="B20" s="9">
        <f t="shared" si="0"/>
        <v>13</v>
      </c>
      <c r="C20" s="2" t="s">
        <v>42</v>
      </c>
      <c r="D20" s="4"/>
      <c r="E20" s="10"/>
    </row>
    <row r="21" spans="2:5" x14ac:dyDescent="0.55000000000000004">
      <c r="B21" s="9">
        <f t="shared" si="0"/>
        <v>14</v>
      </c>
      <c r="C21" s="2" t="s">
        <v>42</v>
      </c>
      <c r="D21" s="4"/>
      <c r="E21" s="10"/>
    </row>
    <row r="22" spans="2:5" x14ac:dyDescent="0.55000000000000004">
      <c r="B22" s="9">
        <f t="shared" si="0"/>
        <v>15</v>
      </c>
      <c r="C22" s="2" t="s">
        <v>42</v>
      </c>
      <c r="D22" s="4"/>
      <c r="E22" s="10"/>
    </row>
    <row r="23" spans="2:5" x14ac:dyDescent="0.55000000000000004">
      <c r="B23" s="9">
        <f t="shared" si="0"/>
        <v>16</v>
      </c>
      <c r="C23" s="2" t="s">
        <v>42</v>
      </c>
      <c r="D23" s="4"/>
      <c r="E23" s="10"/>
    </row>
    <row r="24" spans="2:5" x14ac:dyDescent="0.55000000000000004">
      <c r="B24" s="9">
        <f t="shared" si="0"/>
        <v>17</v>
      </c>
      <c r="C24" s="2" t="s">
        <v>42</v>
      </c>
      <c r="D24" s="4"/>
      <c r="E24" s="10"/>
    </row>
    <row r="25" spans="2:5" x14ac:dyDescent="0.55000000000000004">
      <c r="B25" s="9">
        <f t="shared" si="0"/>
        <v>18</v>
      </c>
      <c r="C25" s="2" t="s">
        <v>42</v>
      </c>
      <c r="D25" s="4"/>
      <c r="E25" s="10"/>
    </row>
    <row r="26" spans="2:5" x14ac:dyDescent="0.55000000000000004">
      <c r="B26" s="9">
        <f t="shared" si="0"/>
        <v>19</v>
      </c>
      <c r="C26" s="2" t="s">
        <v>42</v>
      </c>
      <c r="D26" s="4"/>
      <c r="E26" s="10"/>
    </row>
    <row r="27" spans="2:5" x14ac:dyDescent="0.55000000000000004">
      <c r="B27" s="9">
        <f t="shared" si="0"/>
        <v>20</v>
      </c>
      <c r="C27" s="2" t="s">
        <v>42</v>
      </c>
      <c r="D27" s="4"/>
      <c r="E27" s="10"/>
    </row>
    <row r="28" spans="2:5" x14ac:dyDescent="0.55000000000000004">
      <c r="B28" s="9">
        <f t="shared" si="0"/>
        <v>21</v>
      </c>
      <c r="C28" s="2" t="s">
        <v>42</v>
      </c>
      <c r="D28" s="4"/>
      <c r="E28" s="10"/>
    </row>
    <row r="29" spans="2:5" x14ac:dyDescent="0.55000000000000004">
      <c r="B29" s="9">
        <f t="shared" si="0"/>
        <v>22</v>
      </c>
      <c r="C29" s="2" t="s">
        <v>42</v>
      </c>
      <c r="D29" s="4"/>
      <c r="E29" s="10"/>
    </row>
    <row r="30" spans="2:5" x14ac:dyDescent="0.55000000000000004">
      <c r="B30" s="9">
        <f t="shared" si="0"/>
        <v>23</v>
      </c>
      <c r="C30" s="2" t="s">
        <v>42</v>
      </c>
      <c r="D30" s="4"/>
      <c r="E30" s="10"/>
    </row>
    <row r="31" spans="2:5" x14ac:dyDescent="0.55000000000000004">
      <c r="B31" s="9">
        <f t="shared" si="0"/>
        <v>24</v>
      </c>
      <c r="C31" s="2" t="s">
        <v>42</v>
      </c>
      <c r="D31" s="4"/>
      <c r="E31" s="10"/>
    </row>
    <row r="32" spans="2:5" x14ac:dyDescent="0.55000000000000004">
      <c r="B32" s="9">
        <f t="shared" si="0"/>
        <v>25</v>
      </c>
      <c r="C32" s="2" t="s">
        <v>42</v>
      </c>
      <c r="D32" s="4"/>
      <c r="E32" s="10"/>
    </row>
    <row r="33" spans="2:5" x14ac:dyDescent="0.55000000000000004">
      <c r="B33" s="9">
        <f t="shared" si="0"/>
        <v>26</v>
      </c>
      <c r="C33" s="2" t="s">
        <v>42</v>
      </c>
      <c r="D33" s="4"/>
      <c r="E33" s="10"/>
    </row>
    <row r="34" spans="2:5" x14ac:dyDescent="0.55000000000000004">
      <c r="B34" s="9">
        <f t="shared" si="0"/>
        <v>27</v>
      </c>
      <c r="C34" s="2" t="s">
        <v>42</v>
      </c>
      <c r="D34" s="4"/>
      <c r="E34" s="10"/>
    </row>
    <row r="35" spans="2:5" x14ac:dyDescent="0.55000000000000004">
      <c r="B35" s="9">
        <f t="shared" si="0"/>
        <v>28</v>
      </c>
      <c r="C35" s="2" t="s">
        <v>42</v>
      </c>
      <c r="D35" s="4"/>
      <c r="E35" s="10"/>
    </row>
    <row r="36" spans="2:5" x14ac:dyDescent="0.55000000000000004">
      <c r="B36" s="9">
        <f t="shared" si="0"/>
        <v>29</v>
      </c>
      <c r="C36" s="2" t="s">
        <v>42</v>
      </c>
      <c r="D36" s="4"/>
      <c r="E36" s="10"/>
    </row>
    <row r="37" spans="2:5" x14ac:dyDescent="0.55000000000000004">
      <c r="B37" s="9">
        <f t="shared" si="0"/>
        <v>30</v>
      </c>
      <c r="C37" s="2" t="s">
        <v>42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42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28" t="s">
        <v>41</v>
      </c>
      <c r="C40" s="1"/>
      <c r="D40" s="1">
        <f>COUNT(D8:D38)-D39</f>
        <v>0</v>
      </c>
      <c r="E40" s="11">
        <f>COUNT(E8:E38)-E39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3" t="str">
        <f>IF(E39&gt;E40,"OK","NG")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E41">
    <cfRule type="cellIs" dxfId="7" priority="1" operator="equal">
      <formula>"OK"</formula>
    </cfRule>
    <cfRule type="cellIs" dxfId="6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5D808-5A54-4C0A-9EEB-AFBE81DAD9E5}">
  <sheetPr codeName="Sheet17"/>
  <dimension ref="B2:G41"/>
  <sheetViews>
    <sheetView topLeftCell="A27" workbookViewId="0">
      <selection activeCell="G28" sqref="G28"/>
    </sheetView>
  </sheetViews>
  <sheetFormatPr defaultRowHeight="18" x14ac:dyDescent="0.55000000000000004"/>
  <cols>
    <col min="2" max="2" width="12.5" bestFit="1" customWidth="1"/>
    <col min="3" max="3" width="8.5" customWidth="1"/>
    <col min="4" max="4" width="20.5" customWidth="1"/>
    <col min="5" max="5" width="19.58203125" customWidth="1"/>
    <col min="6" max="6" width="18.08203125" bestFit="1" customWidth="1"/>
    <col min="7" max="7" width="13.25" customWidth="1"/>
    <col min="8" max="8" width="14.83203125" customWidth="1"/>
    <col min="9" max="9" width="14.75" customWidth="1"/>
    <col min="10" max="10" width="17.6640625" customWidth="1"/>
    <col min="11" max="12" width="15.9140625" customWidth="1"/>
  </cols>
  <sheetData>
    <row r="2" spans="2:7" ht="22.5" x14ac:dyDescent="0.55000000000000004">
      <c r="B2" s="5" t="s">
        <v>57</v>
      </c>
      <c r="C2" s="5"/>
      <c r="D2" s="5"/>
    </row>
    <row r="3" spans="2:7" x14ac:dyDescent="0.55000000000000004">
      <c r="G3" s="3"/>
    </row>
    <row r="4" spans="2:7" x14ac:dyDescent="0.55000000000000004">
      <c r="B4" s="3" t="s">
        <v>56</v>
      </c>
      <c r="C4" s="3"/>
    </row>
    <row r="5" spans="2:7" ht="18.5" thickBot="1" x14ac:dyDescent="0.6"/>
    <row r="6" spans="2:7" x14ac:dyDescent="0.55000000000000004">
      <c r="B6" s="43"/>
      <c r="C6" s="44"/>
      <c r="D6" s="7" t="s">
        <v>50</v>
      </c>
      <c r="E6" s="7" t="s">
        <v>51</v>
      </c>
      <c r="F6" s="8" t="s">
        <v>52</v>
      </c>
    </row>
    <row r="7" spans="2:7" ht="18.5" thickBot="1" x14ac:dyDescent="0.6">
      <c r="B7" s="45" t="s">
        <v>0</v>
      </c>
      <c r="C7" s="46"/>
      <c r="D7" s="18" t="s">
        <v>4</v>
      </c>
      <c r="E7" s="18" t="s">
        <v>4</v>
      </c>
      <c r="F7" s="19" t="s">
        <v>4</v>
      </c>
    </row>
    <row r="8" spans="2:7" ht="18.5" thickTop="1" x14ac:dyDescent="0.55000000000000004">
      <c r="B8" s="14">
        <f>ROW()-7</f>
        <v>1</v>
      </c>
      <c r="C8" s="26" t="s">
        <v>42</v>
      </c>
      <c r="D8" s="16"/>
      <c r="E8" s="16"/>
      <c r="F8" s="17"/>
    </row>
    <row r="9" spans="2:7" x14ac:dyDescent="0.55000000000000004">
      <c r="B9" s="9">
        <f t="shared" ref="B9:B38" si="0">ROW()-7</f>
        <v>2</v>
      </c>
      <c r="C9" s="2" t="s">
        <v>42</v>
      </c>
      <c r="D9" s="4"/>
      <c r="E9" s="4"/>
      <c r="F9" s="10"/>
    </row>
    <row r="10" spans="2:7" x14ac:dyDescent="0.55000000000000004">
      <c r="B10" s="9">
        <f t="shared" si="0"/>
        <v>3</v>
      </c>
      <c r="C10" s="2" t="s">
        <v>42</v>
      </c>
      <c r="D10" s="4"/>
      <c r="E10" s="4"/>
      <c r="F10" s="10"/>
    </row>
    <row r="11" spans="2:7" x14ac:dyDescent="0.55000000000000004">
      <c r="B11" s="9">
        <f t="shared" si="0"/>
        <v>4</v>
      </c>
      <c r="C11" s="2" t="s">
        <v>42</v>
      </c>
      <c r="D11" s="4"/>
      <c r="E11" s="4"/>
      <c r="F11" s="10"/>
    </row>
    <row r="12" spans="2:7" x14ac:dyDescent="0.55000000000000004">
      <c r="B12" s="9">
        <f t="shared" si="0"/>
        <v>5</v>
      </c>
      <c r="C12" s="2" t="s">
        <v>42</v>
      </c>
      <c r="D12" s="4"/>
      <c r="E12" s="4"/>
      <c r="F12" s="10"/>
    </row>
    <row r="13" spans="2:7" x14ac:dyDescent="0.55000000000000004">
      <c r="B13" s="9">
        <f t="shared" si="0"/>
        <v>6</v>
      </c>
      <c r="C13" s="2" t="s">
        <v>42</v>
      </c>
      <c r="D13" s="4"/>
      <c r="E13" s="4"/>
      <c r="F13" s="10"/>
    </row>
    <row r="14" spans="2:7" x14ac:dyDescent="0.55000000000000004">
      <c r="B14" s="9">
        <f t="shared" si="0"/>
        <v>7</v>
      </c>
      <c r="C14" s="2" t="s">
        <v>42</v>
      </c>
      <c r="D14" s="4"/>
      <c r="E14" s="4"/>
      <c r="F14" s="10"/>
    </row>
    <row r="15" spans="2:7" x14ac:dyDescent="0.55000000000000004">
      <c r="B15" s="9">
        <f t="shared" si="0"/>
        <v>8</v>
      </c>
      <c r="C15" s="2" t="s">
        <v>42</v>
      </c>
      <c r="D15" s="4"/>
      <c r="E15" s="4"/>
      <c r="F15" s="10"/>
    </row>
    <row r="16" spans="2:7" x14ac:dyDescent="0.55000000000000004">
      <c r="B16" s="9">
        <f t="shared" si="0"/>
        <v>9</v>
      </c>
      <c r="C16" s="2" t="s">
        <v>42</v>
      </c>
      <c r="D16" s="4"/>
      <c r="E16" s="4"/>
      <c r="F16" s="10"/>
    </row>
    <row r="17" spans="2:6" x14ac:dyDescent="0.55000000000000004">
      <c r="B17" s="9">
        <f t="shared" si="0"/>
        <v>10</v>
      </c>
      <c r="C17" s="2" t="s">
        <v>42</v>
      </c>
      <c r="D17" s="4"/>
      <c r="E17" s="4"/>
      <c r="F17" s="10"/>
    </row>
    <row r="18" spans="2:6" x14ac:dyDescent="0.55000000000000004">
      <c r="B18" s="9">
        <f t="shared" si="0"/>
        <v>11</v>
      </c>
      <c r="C18" s="2" t="s">
        <v>42</v>
      </c>
      <c r="D18" s="4"/>
      <c r="E18" s="4"/>
      <c r="F18" s="10"/>
    </row>
    <row r="19" spans="2:6" x14ac:dyDescent="0.55000000000000004">
      <c r="B19" s="9">
        <f t="shared" si="0"/>
        <v>12</v>
      </c>
      <c r="C19" s="2" t="s">
        <v>42</v>
      </c>
      <c r="D19" s="4"/>
      <c r="E19" s="4"/>
      <c r="F19" s="10"/>
    </row>
    <row r="20" spans="2:6" x14ac:dyDescent="0.55000000000000004">
      <c r="B20" s="9">
        <f t="shared" si="0"/>
        <v>13</v>
      </c>
      <c r="C20" s="2" t="s">
        <v>42</v>
      </c>
      <c r="D20" s="4"/>
      <c r="E20" s="4"/>
      <c r="F20" s="10"/>
    </row>
    <row r="21" spans="2:6" x14ac:dyDescent="0.55000000000000004">
      <c r="B21" s="9">
        <f t="shared" si="0"/>
        <v>14</v>
      </c>
      <c r="C21" s="2" t="s">
        <v>42</v>
      </c>
      <c r="D21" s="4"/>
      <c r="E21" s="4"/>
      <c r="F21" s="10"/>
    </row>
    <row r="22" spans="2:6" x14ac:dyDescent="0.55000000000000004">
      <c r="B22" s="9">
        <f t="shared" si="0"/>
        <v>15</v>
      </c>
      <c r="C22" s="2" t="s">
        <v>42</v>
      </c>
      <c r="D22" s="4"/>
      <c r="E22" s="4"/>
      <c r="F22" s="10"/>
    </row>
    <row r="23" spans="2:6" x14ac:dyDescent="0.55000000000000004">
      <c r="B23" s="9">
        <f t="shared" si="0"/>
        <v>16</v>
      </c>
      <c r="C23" s="2" t="s">
        <v>42</v>
      </c>
      <c r="D23" s="4"/>
      <c r="E23" s="4"/>
      <c r="F23" s="10"/>
    </row>
    <row r="24" spans="2:6" x14ac:dyDescent="0.55000000000000004">
      <c r="B24" s="9">
        <f t="shared" si="0"/>
        <v>17</v>
      </c>
      <c r="C24" s="2" t="s">
        <v>42</v>
      </c>
      <c r="D24" s="4"/>
      <c r="E24" s="4"/>
      <c r="F24" s="10"/>
    </row>
    <row r="25" spans="2:6" x14ac:dyDescent="0.55000000000000004">
      <c r="B25" s="9">
        <f t="shared" si="0"/>
        <v>18</v>
      </c>
      <c r="C25" s="2" t="s">
        <v>42</v>
      </c>
      <c r="D25" s="4"/>
      <c r="E25" s="4"/>
      <c r="F25" s="10"/>
    </row>
    <row r="26" spans="2:6" x14ac:dyDescent="0.55000000000000004">
      <c r="B26" s="9">
        <f t="shared" si="0"/>
        <v>19</v>
      </c>
      <c r="C26" s="2" t="s">
        <v>42</v>
      </c>
      <c r="D26" s="4"/>
      <c r="E26" s="4"/>
      <c r="F26" s="10"/>
    </row>
    <row r="27" spans="2:6" x14ac:dyDescent="0.55000000000000004">
      <c r="B27" s="9">
        <f t="shared" si="0"/>
        <v>20</v>
      </c>
      <c r="C27" s="2" t="s">
        <v>42</v>
      </c>
      <c r="D27" s="4"/>
      <c r="E27" s="4"/>
      <c r="F27" s="10"/>
    </row>
    <row r="28" spans="2:6" x14ac:dyDescent="0.55000000000000004">
      <c r="B28" s="9">
        <f t="shared" si="0"/>
        <v>21</v>
      </c>
      <c r="C28" s="2" t="s">
        <v>42</v>
      </c>
      <c r="D28" s="4"/>
      <c r="E28" s="4"/>
      <c r="F28" s="10"/>
    </row>
    <row r="29" spans="2:6" x14ac:dyDescent="0.55000000000000004">
      <c r="B29" s="9">
        <f t="shared" si="0"/>
        <v>22</v>
      </c>
      <c r="C29" s="2" t="s">
        <v>42</v>
      </c>
      <c r="D29" s="4"/>
      <c r="E29" s="4"/>
      <c r="F29" s="10"/>
    </row>
    <row r="30" spans="2:6" x14ac:dyDescent="0.55000000000000004">
      <c r="B30" s="9">
        <f t="shared" si="0"/>
        <v>23</v>
      </c>
      <c r="C30" s="2" t="s">
        <v>42</v>
      </c>
      <c r="D30" s="4"/>
      <c r="E30" s="4"/>
      <c r="F30" s="10"/>
    </row>
    <row r="31" spans="2:6" x14ac:dyDescent="0.55000000000000004">
      <c r="B31" s="9">
        <f t="shared" si="0"/>
        <v>24</v>
      </c>
      <c r="C31" s="2" t="s">
        <v>42</v>
      </c>
      <c r="D31" s="4"/>
      <c r="E31" s="4"/>
      <c r="F31" s="10"/>
    </row>
    <row r="32" spans="2:6" x14ac:dyDescent="0.55000000000000004">
      <c r="B32" s="9">
        <f t="shared" si="0"/>
        <v>25</v>
      </c>
      <c r="C32" s="2" t="s">
        <v>42</v>
      </c>
      <c r="D32" s="4"/>
      <c r="E32" s="4"/>
      <c r="F32" s="10"/>
    </row>
    <row r="33" spans="2:6" x14ac:dyDescent="0.55000000000000004">
      <c r="B33" s="9">
        <f t="shared" si="0"/>
        <v>26</v>
      </c>
      <c r="C33" s="2" t="s">
        <v>42</v>
      </c>
      <c r="D33" s="4"/>
      <c r="E33" s="4"/>
      <c r="F33" s="10"/>
    </row>
    <row r="34" spans="2:6" x14ac:dyDescent="0.55000000000000004">
      <c r="B34" s="9">
        <f t="shared" si="0"/>
        <v>27</v>
      </c>
      <c r="C34" s="2" t="s">
        <v>42</v>
      </c>
      <c r="D34" s="4"/>
      <c r="E34" s="4"/>
      <c r="F34" s="10"/>
    </row>
    <row r="35" spans="2:6" x14ac:dyDescent="0.55000000000000004">
      <c r="B35" s="9">
        <f t="shared" si="0"/>
        <v>28</v>
      </c>
      <c r="C35" s="2" t="s">
        <v>42</v>
      </c>
      <c r="D35" s="4"/>
      <c r="E35" s="4"/>
      <c r="F35" s="10"/>
    </row>
    <row r="36" spans="2:6" x14ac:dyDescent="0.55000000000000004">
      <c r="B36" s="9">
        <f t="shared" si="0"/>
        <v>29</v>
      </c>
      <c r="C36" s="2" t="s">
        <v>42</v>
      </c>
      <c r="D36" s="4"/>
      <c r="E36" s="4"/>
      <c r="F36" s="10"/>
    </row>
    <row r="37" spans="2:6" x14ac:dyDescent="0.55000000000000004">
      <c r="B37" s="9">
        <f t="shared" si="0"/>
        <v>30</v>
      </c>
      <c r="C37" s="2" t="s">
        <v>42</v>
      </c>
      <c r="D37" s="4"/>
      <c r="E37" s="4"/>
      <c r="F37" s="10"/>
    </row>
    <row r="38" spans="2:6" x14ac:dyDescent="0.55000000000000004">
      <c r="B38" s="9">
        <f t="shared" si="0"/>
        <v>31</v>
      </c>
      <c r="C38" s="2" t="s">
        <v>42</v>
      </c>
      <c r="D38" s="4"/>
      <c r="E38" s="4"/>
      <c r="F38" s="10"/>
    </row>
    <row r="39" spans="2:6" x14ac:dyDescent="0.55000000000000004">
      <c r="B39" s="48" t="s">
        <v>3</v>
      </c>
      <c r="C39" s="49"/>
      <c r="D39" s="1">
        <f>COUNTIF(D8:D38,"22")</f>
        <v>0</v>
      </c>
      <c r="E39" s="1">
        <f>COUNTIF(E8:E38,"22")</f>
        <v>0</v>
      </c>
      <c r="F39" s="11">
        <f>COUNTIF(F8:F38,"22")</f>
        <v>0</v>
      </c>
    </row>
    <row r="40" spans="2:6" x14ac:dyDescent="0.55000000000000004">
      <c r="B40" s="28" t="s">
        <v>41</v>
      </c>
      <c r="C40" s="1"/>
      <c r="D40" s="1">
        <f>COUNT(D8:D38)-D39</f>
        <v>0</v>
      </c>
      <c r="E40" s="1">
        <f>COUNT(E8:E38)-E39</f>
        <v>0</v>
      </c>
      <c r="F40" s="11">
        <f>COUNT(F8:F38)-F39</f>
        <v>0</v>
      </c>
    </row>
    <row r="41" spans="2:6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29" t="str">
        <f>IF(F39&gt;F40,"OK","NG")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F41">
    <cfRule type="cellIs" dxfId="5" priority="1" operator="equal">
      <formula>"OK"</formula>
    </cfRule>
    <cfRule type="cellIs" dxfId="4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36731-BA75-43F8-A538-E7A92F8749FE}">
  <sheetPr codeName="Sheet18"/>
  <dimension ref="B2:G41"/>
  <sheetViews>
    <sheetView topLeftCell="A24" workbookViewId="0">
      <selection activeCell="D44" sqref="D44"/>
    </sheetView>
  </sheetViews>
  <sheetFormatPr defaultRowHeight="18" x14ac:dyDescent="0.55000000000000004"/>
  <cols>
    <col min="2" max="2" width="12.5" bestFit="1" customWidth="1"/>
    <col min="3" max="3" width="8.5" customWidth="1"/>
    <col min="4" max="4" width="22.08203125" customWidth="1"/>
    <col min="5" max="5" width="22.25" customWidth="1"/>
    <col min="6" max="6" width="23.4140625" bestFit="1" customWidth="1"/>
    <col min="7" max="7" width="13.25" customWidth="1"/>
    <col min="8" max="8" width="14.83203125" customWidth="1"/>
    <col min="9" max="9" width="14.75" customWidth="1"/>
    <col min="10" max="10" width="17.6640625" customWidth="1"/>
    <col min="11" max="12" width="15.9140625" customWidth="1"/>
  </cols>
  <sheetData>
    <row r="2" spans="2:7" ht="22.5" x14ac:dyDescent="0.55000000000000004">
      <c r="B2" s="5" t="s">
        <v>58</v>
      </c>
      <c r="C2" s="5"/>
      <c r="D2" s="5"/>
    </row>
    <row r="3" spans="2:7" x14ac:dyDescent="0.55000000000000004">
      <c r="G3" s="3"/>
    </row>
    <row r="4" spans="2:7" x14ac:dyDescent="0.55000000000000004">
      <c r="B4" s="3" t="s">
        <v>74</v>
      </c>
      <c r="C4" s="3"/>
    </row>
    <row r="5" spans="2:7" ht="18.5" thickBot="1" x14ac:dyDescent="0.6"/>
    <row r="6" spans="2:7" x14ac:dyDescent="0.55000000000000004">
      <c r="B6" s="43"/>
      <c r="C6" s="44"/>
      <c r="D6" s="7" t="s">
        <v>59</v>
      </c>
      <c r="E6" s="7" t="s">
        <v>60</v>
      </c>
      <c r="F6" s="8" t="s">
        <v>61</v>
      </c>
    </row>
    <row r="7" spans="2:7" ht="18.5" thickBot="1" x14ac:dyDescent="0.6">
      <c r="B7" s="45" t="s">
        <v>0</v>
      </c>
      <c r="C7" s="46"/>
      <c r="D7" s="18" t="s">
        <v>4</v>
      </c>
      <c r="E7" s="18" t="s">
        <v>4</v>
      </c>
      <c r="F7" s="19" t="s">
        <v>4</v>
      </c>
    </row>
    <row r="8" spans="2:7" ht="18.5" thickTop="1" x14ac:dyDescent="0.55000000000000004">
      <c r="B8" s="14">
        <f>ROW()-7</f>
        <v>1</v>
      </c>
      <c r="C8" s="26" t="s">
        <v>42</v>
      </c>
      <c r="D8" s="16"/>
      <c r="E8" s="16"/>
      <c r="F8" s="17"/>
    </row>
    <row r="9" spans="2:7" x14ac:dyDescent="0.55000000000000004">
      <c r="B9" s="9">
        <f t="shared" ref="B9:B38" si="0">ROW()-7</f>
        <v>2</v>
      </c>
      <c r="C9" s="2" t="s">
        <v>42</v>
      </c>
      <c r="D9" s="4"/>
      <c r="E9" s="4"/>
      <c r="F9" s="10"/>
    </row>
    <row r="10" spans="2:7" x14ac:dyDescent="0.55000000000000004">
      <c r="B10" s="9">
        <f t="shared" si="0"/>
        <v>3</v>
      </c>
      <c r="C10" s="2" t="s">
        <v>42</v>
      </c>
      <c r="D10" s="4"/>
      <c r="E10" s="4"/>
      <c r="F10" s="10"/>
    </row>
    <row r="11" spans="2:7" x14ac:dyDescent="0.55000000000000004">
      <c r="B11" s="9">
        <f t="shared" si="0"/>
        <v>4</v>
      </c>
      <c r="C11" s="2" t="s">
        <v>42</v>
      </c>
      <c r="D11" s="4"/>
      <c r="E11" s="4"/>
      <c r="F11" s="10"/>
    </row>
    <row r="12" spans="2:7" x14ac:dyDescent="0.55000000000000004">
      <c r="B12" s="9">
        <f t="shared" si="0"/>
        <v>5</v>
      </c>
      <c r="C12" s="2" t="s">
        <v>42</v>
      </c>
      <c r="D12" s="4"/>
      <c r="E12" s="4"/>
      <c r="F12" s="10"/>
    </row>
    <row r="13" spans="2:7" x14ac:dyDescent="0.55000000000000004">
      <c r="B13" s="9">
        <f t="shared" si="0"/>
        <v>6</v>
      </c>
      <c r="C13" s="2" t="s">
        <v>42</v>
      </c>
      <c r="D13" s="4"/>
      <c r="E13" s="4"/>
      <c r="F13" s="10"/>
    </row>
    <row r="14" spans="2:7" x14ac:dyDescent="0.55000000000000004">
      <c r="B14" s="9">
        <f t="shared" si="0"/>
        <v>7</v>
      </c>
      <c r="C14" s="2" t="s">
        <v>42</v>
      </c>
      <c r="D14" s="4"/>
      <c r="E14" s="4"/>
      <c r="F14" s="10"/>
    </row>
    <row r="15" spans="2:7" x14ac:dyDescent="0.55000000000000004">
      <c r="B15" s="9">
        <f t="shared" si="0"/>
        <v>8</v>
      </c>
      <c r="C15" s="2" t="s">
        <v>42</v>
      </c>
      <c r="D15" s="4"/>
      <c r="E15" s="4"/>
      <c r="F15" s="10"/>
    </row>
    <row r="16" spans="2:7" x14ac:dyDescent="0.55000000000000004">
      <c r="B16" s="9">
        <f t="shared" si="0"/>
        <v>9</v>
      </c>
      <c r="C16" s="2" t="s">
        <v>42</v>
      </c>
      <c r="D16" s="4"/>
      <c r="E16" s="4"/>
      <c r="F16" s="10"/>
    </row>
    <row r="17" spans="2:6" x14ac:dyDescent="0.55000000000000004">
      <c r="B17" s="9">
        <f t="shared" si="0"/>
        <v>10</v>
      </c>
      <c r="C17" s="2" t="s">
        <v>42</v>
      </c>
      <c r="D17" s="4"/>
      <c r="E17" s="4"/>
      <c r="F17" s="10"/>
    </row>
    <row r="18" spans="2:6" x14ac:dyDescent="0.55000000000000004">
      <c r="B18" s="9">
        <f t="shared" si="0"/>
        <v>11</v>
      </c>
      <c r="C18" s="2" t="s">
        <v>42</v>
      </c>
      <c r="D18" s="4"/>
      <c r="E18" s="4"/>
      <c r="F18" s="10"/>
    </row>
    <row r="19" spans="2:6" x14ac:dyDescent="0.55000000000000004">
      <c r="B19" s="9">
        <f t="shared" si="0"/>
        <v>12</v>
      </c>
      <c r="C19" s="2" t="s">
        <v>42</v>
      </c>
      <c r="D19" s="4"/>
      <c r="E19" s="4"/>
      <c r="F19" s="10"/>
    </row>
    <row r="20" spans="2:6" x14ac:dyDescent="0.55000000000000004">
      <c r="B20" s="9">
        <f t="shared" si="0"/>
        <v>13</v>
      </c>
      <c r="C20" s="2" t="s">
        <v>42</v>
      </c>
      <c r="D20" s="4"/>
      <c r="E20" s="4"/>
      <c r="F20" s="10"/>
    </row>
    <row r="21" spans="2:6" x14ac:dyDescent="0.55000000000000004">
      <c r="B21" s="9">
        <f t="shared" si="0"/>
        <v>14</v>
      </c>
      <c r="C21" s="2" t="s">
        <v>42</v>
      </c>
      <c r="D21" s="4"/>
      <c r="E21" s="4"/>
      <c r="F21" s="10"/>
    </row>
    <row r="22" spans="2:6" x14ac:dyDescent="0.55000000000000004">
      <c r="B22" s="9">
        <f t="shared" si="0"/>
        <v>15</v>
      </c>
      <c r="C22" s="2" t="s">
        <v>42</v>
      </c>
      <c r="D22" s="4"/>
      <c r="E22" s="4"/>
      <c r="F22" s="10"/>
    </row>
    <row r="23" spans="2:6" x14ac:dyDescent="0.55000000000000004">
      <c r="B23" s="9">
        <f t="shared" si="0"/>
        <v>16</v>
      </c>
      <c r="C23" s="2" t="s">
        <v>42</v>
      </c>
      <c r="D23" s="4"/>
      <c r="E23" s="4"/>
      <c r="F23" s="10"/>
    </row>
    <row r="24" spans="2:6" x14ac:dyDescent="0.55000000000000004">
      <c r="B24" s="9">
        <f t="shared" si="0"/>
        <v>17</v>
      </c>
      <c r="C24" s="2" t="s">
        <v>42</v>
      </c>
      <c r="D24" s="4"/>
      <c r="E24" s="4"/>
      <c r="F24" s="10"/>
    </row>
    <row r="25" spans="2:6" x14ac:dyDescent="0.55000000000000004">
      <c r="B25" s="9">
        <f t="shared" si="0"/>
        <v>18</v>
      </c>
      <c r="C25" s="2" t="s">
        <v>42</v>
      </c>
      <c r="D25" s="4"/>
      <c r="E25" s="4"/>
      <c r="F25" s="10"/>
    </row>
    <row r="26" spans="2:6" x14ac:dyDescent="0.55000000000000004">
      <c r="B26" s="9">
        <f t="shared" si="0"/>
        <v>19</v>
      </c>
      <c r="C26" s="2" t="s">
        <v>42</v>
      </c>
      <c r="D26" s="4"/>
      <c r="E26" s="4"/>
      <c r="F26" s="10"/>
    </row>
    <row r="27" spans="2:6" x14ac:dyDescent="0.55000000000000004">
      <c r="B27" s="9">
        <f t="shared" si="0"/>
        <v>20</v>
      </c>
      <c r="C27" s="2" t="s">
        <v>42</v>
      </c>
      <c r="D27" s="4"/>
      <c r="E27" s="4"/>
      <c r="F27" s="10"/>
    </row>
    <row r="28" spans="2:6" x14ac:dyDescent="0.55000000000000004">
      <c r="B28" s="9">
        <f t="shared" si="0"/>
        <v>21</v>
      </c>
      <c r="C28" s="2" t="s">
        <v>42</v>
      </c>
      <c r="D28" s="4"/>
      <c r="E28" s="4"/>
      <c r="F28" s="10"/>
    </row>
    <row r="29" spans="2:6" x14ac:dyDescent="0.55000000000000004">
      <c r="B29" s="9">
        <f t="shared" si="0"/>
        <v>22</v>
      </c>
      <c r="C29" s="2" t="s">
        <v>42</v>
      </c>
      <c r="D29" s="4"/>
      <c r="E29" s="4"/>
      <c r="F29" s="10"/>
    </row>
    <row r="30" spans="2:6" x14ac:dyDescent="0.55000000000000004">
      <c r="B30" s="9">
        <f t="shared" si="0"/>
        <v>23</v>
      </c>
      <c r="C30" s="2" t="s">
        <v>42</v>
      </c>
      <c r="D30" s="4"/>
      <c r="E30" s="4"/>
      <c r="F30" s="10"/>
    </row>
    <row r="31" spans="2:6" x14ac:dyDescent="0.55000000000000004">
      <c r="B31" s="9">
        <f t="shared" si="0"/>
        <v>24</v>
      </c>
      <c r="C31" s="2" t="s">
        <v>42</v>
      </c>
      <c r="D31" s="4"/>
      <c r="E31" s="4"/>
      <c r="F31" s="10"/>
    </row>
    <row r="32" spans="2:6" x14ac:dyDescent="0.55000000000000004">
      <c r="B32" s="9">
        <f t="shared" si="0"/>
        <v>25</v>
      </c>
      <c r="C32" s="2" t="s">
        <v>42</v>
      </c>
      <c r="D32" s="4"/>
      <c r="E32" s="4"/>
      <c r="F32" s="10"/>
    </row>
    <row r="33" spans="2:6" x14ac:dyDescent="0.55000000000000004">
      <c r="B33" s="9">
        <f t="shared" si="0"/>
        <v>26</v>
      </c>
      <c r="C33" s="2" t="s">
        <v>42</v>
      </c>
      <c r="D33" s="4"/>
      <c r="E33" s="4"/>
      <c r="F33" s="10"/>
    </row>
    <row r="34" spans="2:6" x14ac:dyDescent="0.55000000000000004">
      <c r="B34" s="9">
        <f t="shared" si="0"/>
        <v>27</v>
      </c>
      <c r="C34" s="2" t="s">
        <v>42</v>
      </c>
      <c r="D34" s="4"/>
      <c r="E34" s="4"/>
      <c r="F34" s="10"/>
    </row>
    <row r="35" spans="2:6" x14ac:dyDescent="0.55000000000000004">
      <c r="B35" s="9">
        <f t="shared" si="0"/>
        <v>28</v>
      </c>
      <c r="C35" s="2" t="s">
        <v>42</v>
      </c>
      <c r="D35" s="4"/>
      <c r="E35" s="4"/>
      <c r="F35" s="10"/>
    </row>
    <row r="36" spans="2:6" x14ac:dyDescent="0.55000000000000004">
      <c r="B36" s="9">
        <f t="shared" si="0"/>
        <v>29</v>
      </c>
      <c r="C36" s="2" t="s">
        <v>42</v>
      </c>
      <c r="D36" s="4"/>
      <c r="E36" s="4"/>
      <c r="F36" s="10"/>
    </row>
    <row r="37" spans="2:6" x14ac:dyDescent="0.55000000000000004">
      <c r="B37" s="9">
        <f t="shared" si="0"/>
        <v>30</v>
      </c>
      <c r="C37" s="2" t="s">
        <v>42</v>
      </c>
      <c r="D37" s="4"/>
      <c r="E37" s="4"/>
      <c r="F37" s="10"/>
    </row>
    <row r="38" spans="2:6" ht="18.5" thickBot="1" x14ac:dyDescent="0.6">
      <c r="B38" s="20">
        <f t="shared" si="0"/>
        <v>31</v>
      </c>
      <c r="C38" s="27" t="s">
        <v>42</v>
      </c>
      <c r="D38" s="22"/>
      <c r="E38" s="22"/>
      <c r="F38" s="23"/>
    </row>
    <row r="39" spans="2:6" x14ac:dyDescent="0.55000000000000004">
      <c r="B39" s="47" t="s">
        <v>3</v>
      </c>
      <c r="C39" s="44"/>
      <c r="D39" s="24">
        <f>COUNTIF(D8:D38,"22")</f>
        <v>0</v>
      </c>
      <c r="E39" s="24">
        <f>COUNTIF(E8:E38,"22")</f>
        <v>0</v>
      </c>
      <c r="F39" s="25">
        <f>COUNTIF(F8:F38,"22")</f>
        <v>0</v>
      </c>
    </row>
    <row r="40" spans="2:6" x14ac:dyDescent="0.55000000000000004">
      <c r="B40" s="28" t="s">
        <v>41</v>
      </c>
      <c r="C40" s="1"/>
      <c r="D40" s="1">
        <f>COUNT(D8:D38)-D39</f>
        <v>0</v>
      </c>
      <c r="E40" s="1">
        <f>COUNT(E8:E38)-E39</f>
        <v>0</v>
      </c>
      <c r="F40" s="11">
        <f>COUNT(F8:F38)-F39</f>
        <v>0</v>
      </c>
    </row>
    <row r="41" spans="2:6" ht="18.5" thickBot="1" x14ac:dyDescent="0.6">
      <c r="B41" s="50" t="s">
        <v>5</v>
      </c>
      <c r="C41" s="51"/>
      <c r="D41" s="12" t="str">
        <f>IF(D39&gt;D40,"OK","NG")</f>
        <v>NG</v>
      </c>
      <c r="E41" s="12" t="str">
        <f>IF(E39&gt;E40,"OK","NG")</f>
        <v>NG</v>
      </c>
      <c r="F41" s="29" t="str">
        <f>IF(F39&gt;F40,"OK","NG")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F41">
    <cfRule type="cellIs" dxfId="3" priority="1" operator="equal">
      <formula>"OK"</formula>
    </cfRule>
    <cfRule type="cellIs" dxfId="2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2C061-7250-4B44-A825-44589E41AAB7}">
  <sheetPr codeName="Sheet19"/>
  <dimension ref="B2:F41"/>
  <sheetViews>
    <sheetView topLeftCell="A24" workbookViewId="0">
      <selection activeCell="G25" sqref="G25"/>
    </sheetView>
  </sheetViews>
  <sheetFormatPr defaultRowHeight="18" x14ac:dyDescent="0.55000000000000004"/>
  <cols>
    <col min="2" max="2" width="12.5" bestFit="1" customWidth="1"/>
    <col min="3" max="3" width="8.5" customWidth="1"/>
    <col min="4" max="4" width="23.83203125" customWidth="1"/>
    <col min="5" max="5" width="22.25" customWidth="1"/>
    <col min="6" max="6" width="13.25" customWidth="1"/>
    <col min="7" max="7" width="14.83203125" customWidth="1"/>
    <col min="8" max="8" width="14.75" customWidth="1"/>
    <col min="9" max="9" width="17.6640625" customWidth="1"/>
    <col min="10" max="11" width="15.9140625" customWidth="1"/>
  </cols>
  <sheetData>
    <row r="2" spans="2:6" ht="22.5" x14ac:dyDescent="0.55000000000000004">
      <c r="B2" s="5" t="s">
        <v>58</v>
      </c>
      <c r="C2" s="5"/>
      <c r="D2" s="5"/>
    </row>
    <row r="3" spans="2:6" x14ac:dyDescent="0.55000000000000004">
      <c r="F3" s="3"/>
    </row>
    <row r="4" spans="2:6" x14ac:dyDescent="0.55000000000000004">
      <c r="B4" s="3" t="s">
        <v>75</v>
      </c>
      <c r="C4" s="3"/>
    </row>
    <row r="5" spans="2:6" ht="18.5" thickBot="1" x14ac:dyDescent="0.6"/>
    <row r="6" spans="2:6" x14ac:dyDescent="0.55000000000000004">
      <c r="B6" s="43"/>
      <c r="C6" s="44"/>
      <c r="D6" s="7" t="s">
        <v>76</v>
      </c>
      <c r="E6" s="8" t="s">
        <v>77</v>
      </c>
    </row>
    <row r="7" spans="2:6" ht="18.5" thickBot="1" x14ac:dyDescent="0.6">
      <c r="B7" s="45" t="s">
        <v>0</v>
      </c>
      <c r="C7" s="46"/>
      <c r="D7" s="18" t="s">
        <v>4</v>
      </c>
      <c r="E7" s="19" t="s">
        <v>4</v>
      </c>
    </row>
    <row r="8" spans="2:6" ht="18.5" thickTop="1" x14ac:dyDescent="0.55000000000000004">
      <c r="B8" s="14">
        <f>ROW()-7</f>
        <v>1</v>
      </c>
      <c r="C8" s="26" t="s">
        <v>40</v>
      </c>
      <c r="D8" s="16"/>
      <c r="E8" s="17"/>
    </row>
    <row r="9" spans="2:6" x14ac:dyDescent="0.55000000000000004">
      <c r="B9" s="9">
        <f t="shared" ref="B9:B38" si="0">ROW()-7</f>
        <v>2</v>
      </c>
      <c r="C9" s="2" t="s">
        <v>40</v>
      </c>
      <c r="D9" s="4"/>
      <c r="E9" s="10"/>
    </row>
    <row r="10" spans="2:6" x14ac:dyDescent="0.55000000000000004">
      <c r="B10" s="9">
        <f t="shared" si="0"/>
        <v>3</v>
      </c>
      <c r="C10" s="2" t="s">
        <v>40</v>
      </c>
      <c r="D10" s="4"/>
      <c r="E10" s="10"/>
    </row>
    <row r="11" spans="2:6" x14ac:dyDescent="0.55000000000000004">
      <c r="B11" s="9">
        <f t="shared" si="0"/>
        <v>4</v>
      </c>
      <c r="C11" s="2" t="s">
        <v>40</v>
      </c>
      <c r="D11" s="4"/>
      <c r="E11" s="10"/>
    </row>
    <row r="12" spans="2:6" x14ac:dyDescent="0.55000000000000004">
      <c r="B12" s="9">
        <f t="shared" si="0"/>
        <v>5</v>
      </c>
      <c r="C12" s="2" t="s">
        <v>40</v>
      </c>
      <c r="D12" s="4"/>
      <c r="E12" s="10"/>
    </row>
    <row r="13" spans="2:6" x14ac:dyDescent="0.55000000000000004">
      <c r="B13" s="9">
        <f t="shared" si="0"/>
        <v>6</v>
      </c>
      <c r="C13" s="2" t="s">
        <v>40</v>
      </c>
      <c r="D13" s="4"/>
      <c r="E13" s="10"/>
    </row>
    <row r="14" spans="2:6" x14ac:dyDescent="0.55000000000000004">
      <c r="B14" s="9">
        <f t="shared" si="0"/>
        <v>7</v>
      </c>
      <c r="C14" s="2" t="s">
        <v>40</v>
      </c>
      <c r="D14" s="4"/>
      <c r="E14" s="10"/>
    </row>
    <row r="15" spans="2:6" x14ac:dyDescent="0.55000000000000004">
      <c r="B15" s="9">
        <f t="shared" si="0"/>
        <v>8</v>
      </c>
      <c r="C15" s="2" t="s">
        <v>40</v>
      </c>
      <c r="D15" s="4"/>
      <c r="E15" s="10"/>
    </row>
    <row r="16" spans="2:6" x14ac:dyDescent="0.55000000000000004">
      <c r="B16" s="9">
        <f t="shared" si="0"/>
        <v>9</v>
      </c>
      <c r="C16" s="2" t="s">
        <v>40</v>
      </c>
      <c r="D16" s="4"/>
      <c r="E16" s="10"/>
    </row>
    <row r="17" spans="2:5" x14ac:dyDescent="0.55000000000000004">
      <c r="B17" s="9">
        <f t="shared" si="0"/>
        <v>10</v>
      </c>
      <c r="C17" s="2" t="s">
        <v>40</v>
      </c>
      <c r="D17" s="4"/>
      <c r="E17" s="10"/>
    </row>
    <row r="18" spans="2:5" x14ac:dyDescent="0.55000000000000004">
      <c r="B18" s="9">
        <f t="shared" si="0"/>
        <v>11</v>
      </c>
      <c r="C18" s="2" t="s">
        <v>40</v>
      </c>
      <c r="D18" s="4"/>
      <c r="E18" s="10"/>
    </row>
    <row r="19" spans="2:5" x14ac:dyDescent="0.55000000000000004">
      <c r="B19" s="9">
        <f t="shared" si="0"/>
        <v>12</v>
      </c>
      <c r="C19" s="2" t="s">
        <v>40</v>
      </c>
      <c r="D19" s="4"/>
      <c r="E19" s="10"/>
    </row>
    <row r="20" spans="2:5" x14ac:dyDescent="0.55000000000000004">
      <c r="B20" s="9">
        <f t="shared" si="0"/>
        <v>13</v>
      </c>
      <c r="C20" s="2" t="s">
        <v>40</v>
      </c>
      <c r="D20" s="4"/>
      <c r="E20" s="10"/>
    </row>
    <row r="21" spans="2:5" x14ac:dyDescent="0.55000000000000004">
      <c r="B21" s="9">
        <f t="shared" si="0"/>
        <v>14</v>
      </c>
      <c r="C21" s="2" t="s">
        <v>40</v>
      </c>
      <c r="D21" s="4"/>
      <c r="E21" s="10"/>
    </row>
    <row r="22" spans="2:5" x14ac:dyDescent="0.55000000000000004">
      <c r="B22" s="9">
        <f t="shared" si="0"/>
        <v>15</v>
      </c>
      <c r="C22" s="2" t="s">
        <v>40</v>
      </c>
      <c r="D22" s="4"/>
      <c r="E22" s="10"/>
    </row>
    <row r="23" spans="2:5" x14ac:dyDescent="0.55000000000000004">
      <c r="B23" s="9">
        <f t="shared" si="0"/>
        <v>16</v>
      </c>
      <c r="C23" s="2" t="s">
        <v>40</v>
      </c>
      <c r="D23" s="4"/>
      <c r="E23" s="10"/>
    </row>
    <row r="24" spans="2:5" x14ac:dyDescent="0.55000000000000004">
      <c r="B24" s="9">
        <f t="shared" si="0"/>
        <v>17</v>
      </c>
      <c r="C24" s="2" t="s">
        <v>40</v>
      </c>
      <c r="D24" s="4"/>
      <c r="E24" s="10"/>
    </row>
    <row r="25" spans="2:5" x14ac:dyDescent="0.55000000000000004">
      <c r="B25" s="9">
        <f t="shared" si="0"/>
        <v>18</v>
      </c>
      <c r="C25" s="2" t="s">
        <v>40</v>
      </c>
      <c r="D25" s="4"/>
      <c r="E25" s="10"/>
    </row>
    <row r="26" spans="2:5" x14ac:dyDescent="0.55000000000000004">
      <c r="B26" s="9">
        <f t="shared" si="0"/>
        <v>19</v>
      </c>
      <c r="C26" s="2" t="s">
        <v>40</v>
      </c>
      <c r="D26" s="4"/>
      <c r="E26" s="10"/>
    </row>
    <row r="27" spans="2:5" x14ac:dyDescent="0.55000000000000004">
      <c r="B27" s="9">
        <f t="shared" si="0"/>
        <v>20</v>
      </c>
      <c r="C27" s="2" t="s">
        <v>40</v>
      </c>
      <c r="D27" s="4"/>
      <c r="E27" s="10"/>
    </row>
    <row r="28" spans="2:5" x14ac:dyDescent="0.55000000000000004">
      <c r="B28" s="9">
        <f t="shared" si="0"/>
        <v>21</v>
      </c>
      <c r="C28" s="2" t="s">
        <v>40</v>
      </c>
      <c r="D28" s="4"/>
      <c r="E28" s="10"/>
    </row>
    <row r="29" spans="2:5" x14ac:dyDescent="0.55000000000000004">
      <c r="B29" s="9">
        <f t="shared" si="0"/>
        <v>22</v>
      </c>
      <c r="C29" s="2" t="s">
        <v>40</v>
      </c>
      <c r="D29" s="4"/>
      <c r="E29" s="10"/>
    </row>
    <row r="30" spans="2:5" x14ac:dyDescent="0.55000000000000004">
      <c r="B30" s="9">
        <f t="shared" si="0"/>
        <v>23</v>
      </c>
      <c r="C30" s="2" t="s">
        <v>40</v>
      </c>
      <c r="D30" s="4"/>
      <c r="E30" s="10"/>
    </row>
    <row r="31" spans="2:5" x14ac:dyDescent="0.55000000000000004">
      <c r="B31" s="9">
        <f t="shared" si="0"/>
        <v>24</v>
      </c>
      <c r="C31" s="2" t="s">
        <v>40</v>
      </c>
      <c r="D31" s="4"/>
      <c r="E31" s="10"/>
    </row>
    <row r="32" spans="2:5" x14ac:dyDescent="0.55000000000000004">
      <c r="B32" s="9">
        <f t="shared" si="0"/>
        <v>25</v>
      </c>
      <c r="C32" s="2" t="s">
        <v>40</v>
      </c>
      <c r="D32" s="4"/>
      <c r="E32" s="10"/>
    </row>
    <row r="33" spans="2:5" x14ac:dyDescent="0.55000000000000004">
      <c r="B33" s="9">
        <f t="shared" si="0"/>
        <v>26</v>
      </c>
      <c r="C33" s="2" t="s">
        <v>40</v>
      </c>
      <c r="D33" s="4"/>
      <c r="E33" s="10"/>
    </row>
    <row r="34" spans="2:5" x14ac:dyDescent="0.55000000000000004">
      <c r="B34" s="9">
        <f t="shared" si="0"/>
        <v>27</v>
      </c>
      <c r="C34" s="2" t="s">
        <v>40</v>
      </c>
      <c r="D34" s="4"/>
      <c r="E34" s="10"/>
    </row>
    <row r="35" spans="2:5" x14ac:dyDescent="0.55000000000000004">
      <c r="B35" s="9">
        <f t="shared" si="0"/>
        <v>28</v>
      </c>
      <c r="C35" s="2" t="s">
        <v>40</v>
      </c>
      <c r="D35" s="4"/>
      <c r="E35" s="10"/>
    </row>
    <row r="36" spans="2:5" x14ac:dyDescent="0.55000000000000004">
      <c r="B36" s="9">
        <f t="shared" si="0"/>
        <v>29</v>
      </c>
      <c r="C36" s="2" t="s">
        <v>40</v>
      </c>
      <c r="D36" s="4"/>
      <c r="E36" s="10"/>
    </row>
    <row r="37" spans="2:5" x14ac:dyDescent="0.55000000000000004">
      <c r="B37" s="9">
        <f t="shared" si="0"/>
        <v>30</v>
      </c>
      <c r="C37" s="2" t="s">
        <v>40</v>
      </c>
      <c r="D37" s="4"/>
      <c r="E37" s="10"/>
    </row>
    <row r="38" spans="2:5" ht="18.5" thickBot="1" x14ac:dyDescent="0.6">
      <c r="B38" s="20">
        <f t="shared" si="0"/>
        <v>31</v>
      </c>
      <c r="C38" s="27" t="s">
        <v>40</v>
      </c>
      <c r="D38" s="22"/>
      <c r="E38" s="23"/>
    </row>
    <row r="39" spans="2:5" x14ac:dyDescent="0.55000000000000004">
      <c r="B39" s="47" t="s">
        <v>3</v>
      </c>
      <c r="C39" s="44"/>
      <c r="D39" s="24">
        <f>COUNTIF(D8:D38,"22")</f>
        <v>0</v>
      </c>
      <c r="E39" s="25">
        <f>COUNTIF(E8:E38,"22")</f>
        <v>0</v>
      </c>
    </row>
    <row r="40" spans="2:5" x14ac:dyDescent="0.55000000000000004">
      <c r="B40" s="28" t="s">
        <v>41</v>
      </c>
      <c r="C40" s="1"/>
      <c r="D40" s="1">
        <f>COUNT(D8:D38)-D39</f>
        <v>0</v>
      </c>
      <c r="E40" s="11">
        <f>COUNT(E8:E38)-E39</f>
        <v>0</v>
      </c>
    </row>
    <row r="41" spans="2:5" ht="18.5" thickBot="1" x14ac:dyDescent="0.6">
      <c r="B41" s="50" t="s">
        <v>5</v>
      </c>
      <c r="C41" s="51"/>
      <c r="D41" s="12" t="str">
        <f>IF(D39&gt;D40,"OK","NG")</f>
        <v>NG</v>
      </c>
      <c r="E41" s="13" t="str">
        <f>IF(E39&gt;E40,"OK","NG")</f>
        <v>NG</v>
      </c>
    </row>
  </sheetData>
  <mergeCells count="4">
    <mergeCell ref="B6:C6"/>
    <mergeCell ref="B7:C7"/>
    <mergeCell ref="B39:C39"/>
    <mergeCell ref="B41:C41"/>
  </mergeCells>
  <phoneticPr fontId="1"/>
  <conditionalFormatting sqref="D41:E41">
    <cfRule type="cellIs" dxfId="1" priority="1" operator="equal">
      <formula>"OK"</formula>
    </cfRule>
    <cfRule type="cellIs" dxfId="0" priority="2" operator="equal">
      <formula>"OK"</formula>
    </cfRule>
    <cfRule type="colorScale" priority="3">
      <colorScale>
        <cfvo type="min"/>
        <cfvo type="max"/>
        <color rgb="FFFF7128"/>
        <color rgb="FFFFEF9C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01625-0FED-43A6-9EF3-30DAB4462044}">
  <sheetPr codeName="Sheet20"/>
  <dimension ref="B2:E21"/>
  <sheetViews>
    <sheetView workbookViewId="0">
      <selection activeCell="G11" sqref="G11"/>
    </sheetView>
  </sheetViews>
  <sheetFormatPr defaultRowHeight="18" x14ac:dyDescent="0.55000000000000004"/>
  <cols>
    <col min="3" max="3" width="15.6640625" customWidth="1"/>
    <col min="4" max="4" width="29.6640625" customWidth="1"/>
    <col min="5" max="5" width="30.83203125" customWidth="1"/>
  </cols>
  <sheetData>
    <row r="2" spans="2:5" ht="18.5" thickBot="1" x14ac:dyDescent="0.6"/>
    <row r="3" spans="2:5" ht="18.5" thickBot="1" x14ac:dyDescent="0.6">
      <c r="B3" s="31" t="s">
        <v>82</v>
      </c>
      <c r="C3" s="32" t="s">
        <v>80</v>
      </c>
      <c r="D3" s="32" t="s">
        <v>81</v>
      </c>
      <c r="E3" s="33" t="s">
        <v>85</v>
      </c>
    </row>
    <row r="4" spans="2:5" ht="18.5" thickTop="1" x14ac:dyDescent="0.55000000000000004">
      <c r="B4" s="34">
        <f>ROW()-3</f>
        <v>1</v>
      </c>
      <c r="C4" s="40">
        <v>1</v>
      </c>
      <c r="D4" s="35" t="s">
        <v>83</v>
      </c>
      <c r="E4" s="36" t="s">
        <v>84</v>
      </c>
    </row>
    <row r="5" spans="2:5" x14ac:dyDescent="0.55000000000000004">
      <c r="B5" s="28">
        <f t="shared" ref="B5:B16" si="0">ROW()-3</f>
        <v>2</v>
      </c>
      <c r="C5" s="41"/>
      <c r="D5" s="1"/>
      <c r="E5" s="11"/>
    </row>
    <row r="6" spans="2:5" x14ac:dyDescent="0.55000000000000004">
      <c r="B6" s="28">
        <f t="shared" si="0"/>
        <v>3</v>
      </c>
      <c r="C6" s="41"/>
      <c r="D6" s="1"/>
      <c r="E6" s="11"/>
    </row>
    <row r="7" spans="2:5" x14ac:dyDescent="0.55000000000000004">
      <c r="B7" s="28">
        <f t="shared" si="0"/>
        <v>4</v>
      </c>
      <c r="C7" s="41"/>
      <c r="D7" s="1"/>
      <c r="E7" s="11"/>
    </row>
    <row r="8" spans="2:5" x14ac:dyDescent="0.55000000000000004">
      <c r="B8" s="28">
        <f t="shared" si="0"/>
        <v>5</v>
      </c>
      <c r="C8" s="41"/>
      <c r="D8" s="1"/>
      <c r="E8" s="11"/>
    </row>
    <row r="9" spans="2:5" x14ac:dyDescent="0.55000000000000004">
      <c r="B9" s="28">
        <f t="shared" si="0"/>
        <v>6</v>
      </c>
      <c r="C9" s="41"/>
      <c r="D9" s="1"/>
      <c r="E9" s="11"/>
    </row>
    <row r="10" spans="2:5" x14ac:dyDescent="0.55000000000000004">
      <c r="B10" s="28">
        <f t="shared" si="0"/>
        <v>7</v>
      </c>
      <c r="C10" s="41"/>
      <c r="D10" s="1"/>
      <c r="E10" s="11"/>
    </row>
    <row r="11" spans="2:5" x14ac:dyDescent="0.55000000000000004">
      <c r="B11" s="28">
        <f t="shared" si="0"/>
        <v>8</v>
      </c>
      <c r="C11" s="41"/>
      <c r="D11" s="1"/>
      <c r="E11" s="11"/>
    </row>
    <row r="12" spans="2:5" x14ac:dyDescent="0.55000000000000004">
      <c r="B12" s="28">
        <f t="shared" si="0"/>
        <v>9</v>
      </c>
      <c r="C12" s="41"/>
      <c r="D12" s="1"/>
      <c r="E12" s="11"/>
    </row>
    <row r="13" spans="2:5" x14ac:dyDescent="0.55000000000000004">
      <c r="B13" s="28">
        <f t="shared" si="0"/>
        <v>10</v>
      </c>
      <c r="C13" s="41"/>
      <c r="D13" s="1"/>
      <c r="E13" s="11"/>
    </row>
    <row r="14" spans="2:5" x14ac:dyDescent="0.55000000000000004">
      <c r="B14" s="28">
        <f t="shared" si="0"/>
        <v>11</v>
      </c>
      <c r="C14" s="41"/>
      <c r="D14" s="1"/>
      <c r="E14" s="11"/>
    </row>
    <row r="15" spans="2:5" x14ac:dyDescent="0.55000000000000004">
      <c r="B15" s="28">
        <f t="shared" si="0"/>
        <v>12</v>
      </c>
      <c r="C15" s="41"/>
      <c r="D15" s="1"/>
      <c r="E15" s="11"/>
    </row>
    <row r="16" spans="2:5" x14ac:dyDescent="0.55000000000000004">
      <c r="B16" s="28">
        <f t="shared" si="0"/>
        <v>13</v>
      </c>
      <c r="C16" s="41"/>
      <c r="D16" s="1"/>
      <c r="E16" s="11"/>
    </row>
    <row r="17" spans="2:5" x14ac:dyDescent="0.55000000000000004">
      <c r="B17" s="28"/>
      <c r="C17" s="41"/>
      <c r="D17" s="1"/>
      <c r="E17" s="11"/>
    </row>
    <row r="18" spans="2:5" x14ac:dyDescent="0.55000000000000004">
      <c r="B18" s="28"/>
      <c r="C18" s="41"/>
      <c r="D18" s="1"/>
      <c r="E18" s="11"/>
    </row>
    <row r="19" spans="2:5" x14ac:dyDescent="0.55000000000000004">
      <c r="B19" s="28"/>
      <c r="C19" s="41"/>
      <c r="D19" s="1"/>
      <c r="E19" s="11"/>
    </row>
    <row r="20" spans="2:5" x14ac:dyDescent="0.55000000000000004">
      <c r="B20" s="28"/>
      <c r="C20" s="41"/>
      <c r="D20" s="1"/>
      <c r="E20" s="11"/>
    </row>
    <row r="21" spans="2:5" ht="18.5" thickBot="1" x14ac:dyDescent="0.6">
      <c r="B21" s="37"/>
      <c r="C21" s="42"/>
      <c r="D21" s="38"/>
      <c r="E21" s="39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e63fca3-bebc-430d-81ed-0c2b81449f5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2B54BD16729F4BAEE21032688DBDA5" ma:contentTypeVersion="13" ma:contentTypeDescription="Create a new document." ma:contentTypeScope="" ma:versionID="a71865296ec13fd25a9531616a22e189">
  <xsd:schema xmlns:xsd="http://www.w3.org/2001/XMLSchema" xmlns:xs="http://www.w3.org/2001/XMLSchema" xmlns:p="http://schemas.microsoft.com/office/2006/metadata/properties" xmlns:ns3="0e63fca3-bebc-430d-81ed-0c2b81449f5b" xmlns:ns4="0a7c1886-4c6e-44cf-ae67-c3125a878893" targetNamespace="http://schemas.microsoft.com/office/2006/metadata/properties" ma:root="true" ma:fieldsID="325724011ecfb49a40e16323024fc019" ns3:_="" ns4:_="">
    <xsd:import namespace="0e63fca3-bebc-430d-81ed-0c2b81449f5b"/>
    <xsd:import namespace="0a7c1886-4c6e-44cf-ae67-c3125a87889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63fca3-bebc-430d-81ed-0c2b81449f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c1886-4c6e-44cf-ae67-c3125a878893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991F76-2FF6-424C-89BE-ED7AEF316F76}">
  <ds:schemaRefs>
    <ds:schemaRef ds:uri="http://schemas.microsoft.com/office/infopath/2007/PartnerControls"/>
    <ds:schemaRef ds:uri="http://schemas.openxmlformats.org/package/2006/metadata/core-properties"/>
    <ds:schemaRef ds:uri="0e63fca3-bebc-430d-81ed-0c2b81449f5b"/>
    <ds:schemaRef ds:uri="http://schemas.microsoft.com/office/2006/documentManagement/types"/>
    <ds:schemaRef ds:uri="http://www.w3.org/XML/1998/namespace"/>
    <ds:schemaRef ds:uri="http://purl.org/dc/elements/1.1/"/>
    <ds:schemaRef ds:uri="http://purl.org/dc/dcmitype/"/>
    <ds:schemaRef ds:uri="0a7c1886-4c6e-44cf-ae67-c3125a878893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E5F691D-E361-4AA2-BCC3-8078D4A785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CDB80F-93ED-4CD4-8999-4F4A09DBC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63fca3-bebc-430d-81ed-0c2b81449f5b"/>
    <ds:schemaRef ds:uri="0a7c1886-4c6e-44cf-ae67-c3125a8788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使い方</vt:lpstr>
      <vt:lpstr>AIC14F SVR</vt:lpstr>
      <vt:lpstr>AIR6F HUB</vt:lpstr>
      <vt:lpstr>AIR7F HUB</vt:lpstr>
      <vt:lpstr>AIR8F HUB</vt:lpstr>
      <vt:lpstr>MM9F HUB</vt:lpstr>
      <vt:lpstr>MM10F SVR</vt:lpstr>
      <vt:lpstr>MM11F HUB</vt:lpstr>
      <vt:lpstr>Inui13F SVR</vt:lpstr>
      <vt:lpstr>Inui12F HUB</vt:lpstr>
      <vt:lpstr>Inui6F HUB</vt:lpstr>
      <vt:lpstr>Toriton4F HUB</vt:lpstr>
      <vt:lpstr>Toriton17F SVR</vt:lpstr>
      <vt:lpstr>AIT9F MDF</vt:lpstr>
      <vt:lpstr>AIT9F IDF</vt:lpstr>
      <vt:lpstr>AIT8F MDF</vt:lpstr>
      <vt:lpstr>AIT8F IDF</vt:lpstr>
      <vt:lpstr>kansai3F SVR</vt:lpstr>
      <vt:lpstr>kansai7F SVR</vt:lpstr>
      <vt:lpstr>更新履歴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2024-02-26T07:12:29Z</dcterms:created>
  <dcterms:modified xsi:type="dcterms:W3CDTF">2024-03-05T04:58:19Z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0x010100972B54BD16729F4BAEE21032688DBDA5</vt:lpwstr>
  </property>
  <property fmtid="{D5CDD505-2E9C-101B-9397-08002B2CF9AE}" pid="3" name="MediaServiceImageTags">
    <vt:lpwstr/>
  </property>
</Properties>
</file>