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VBA/"/>
    </mc:Choice>
  </mc:AlternateContent>
  <xr:revisionPtr revIDLastSave="11" documentId="8_{1D50AAAC-A0C4-4A71-ABAF-1D42B9261749}" xr6:coauthVersionLast="47" xr6:coauthVersionMax="47" xr10:uidLastSave="{3EBBB37B-207F-4DEB-820B-BAA73F47E34A}"/>
  <bookViews>
    <workbookView xWindow="28690" yWindow="-110" windowWidth="29020" windowHeight="15700" xr2:uid="{35E6D38D-B6CF-40B1-9A5F-E9588E28D6FE}"/>
  </bookViews>
  <sheets>
    <sheet name="【グラフ】①②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" i="2" l="1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F10" i="2"/>
  <c r="S9" i="2"/>
  <c r="S10" i="2" s="1"/>
  <c r="R9" i="2"/>
  <c r="R10" i="2" s="1"/>
  <c r="Q9" i="2"/>
  <c r="P9" i="2"/>
  <c r="O9" i="2"/>
  <c r="O10" i="2" s="1"/>
  <c r="N9" i="2"/>
  <c r="M9" i="2"/>
  <c r="M10" i="2" s="1"/>
  <c r="L9" i="2"/>
  <c r="K9" i="2"/>
  <c r="J9" i="2"/>
  <c r="J10" i="2" s="1"/>
  <c r="I9" i="2"/>
  <c r="I10" i="2" s="1"/>
  <c r="H9" i="2"/>
  <c r="H10" i="2" s="1"/>
  <c r="G9" i="2"/>
  <c r="G10" i="2" s="1"/>
  <c r="F9" i="2"/>
  <c r="E9" i="2"/>
  <c r="D9" i="2"/>
  <c r="C9" i="2"/>
  <c r="B9" i="2"/>
  <c r="D10" i="2" l="1"/>
  <c r="P10" i="2"/>
  <c r="C10" i="2"/>
  <c r="E10" i="2"/>
  <c r="Q10" i="2"/>
  <c r="N10" i="2"/>
  <c r="K10" i="2"/>
  <c r="L10" i="2"/>
</calcChain>
</file>

<file path=xl/sharedStrings.xml><?xml version="1.0" encoding="utf-8"?>
<sst xmlns="http://schemas.openxmlformats.org/spreadsheetml/2006/main" count="35" uniqueCount="29">
  <si>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</si>
  <si>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</si>
  <si>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</si>
  <si>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</si>
  <si>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</si>
  <si>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</si>
  <si>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</si>
  <si>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</si>
  <si>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</si>
  <si>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</si>
  <si>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</si>
  <si>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</si>
  <si>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ガソリン</t>
  </si>
  <si>
    <t>ナフサ</t>
  </si>
  <si>
    <t>軽油</t>
    <rPh sb="0" eb="2">
      <t>ケイユ</t>
    </rPh>
    <phoneticPr fontId="2"/>
  </si>
  <si>
    <t>重油</t>
    <rPh sb="0" eb="2">
      <t>ジュウユ</t>
    </rPh>
    <phoneticPr fontId="2"/>
  </si>
  <si>
    <t>灯油</t>
    <rPh sb="0" eb="2">
      <t>トウユ</t>
    </rPh>
    <phoneticPr fontId="2"/>
  </si>
  <si>
    <t>ジェット</t>
  </si>
  <si>
    <t>コロナ陽性者</t>
    <rPh sb="3" eb="5">
      <t>ヨウセイ</t>
    </rPh>
    <rPh sb="5" eb="6">
      <t>シャ</t>
    </rPh>
    <phoneticPr fontId="5"/>
  </si>
  <si>
    <t>総合油量</t>
    <rPh sb="0" eb="2">
      <t>ソウゴウ</t>
    </rPh>
    <rPh sb="2" eb="3">
      <t>アブラ</t>
    </rPh>
    <rPh sb="3" eb="4">
      <t>リョウ</t>
    </rPh>
    <phoneticPr fontId="4"/>
  </si>
  <si>
    <t>総油量増減(%)</t>
    <rPh sb="0" eb="1">
      <t>ソウ</t>
    </rPh>
    <rPh sb="1" eb="2">
      <t>アブラ</t>
    </rPh>
    <rPh sb="2" eb="3">
      <t>リョウ</t>
    </rPh>
    <rPh sb="3" eb="5">
      <t>ゾウゲン</t>
    </rPh>
    <phoneticPr fontId="4"/>
  </si>
  <si>
    <t>ガソリン(前月比)</t>
    <rPh sb="5" eb="7">
      <t>ゼンゲツ</t>
    </rPh>
    <rPh sb="7" eb="8">
      <t>ヒ</t>
    </rPh>
    <phoneticPr fontId="4"/>
  </si>
  <si>
    <t>ナフサ(前月比)</t>
    <phoneticPr fontId="4"/>
  </si>
  <si>
    <t>軽油(前月比)</t>
    <rPh sb="0" eb="2">
      <t>ケイユ</t>
    </rPh>
    <phoneticPr fontId="2"/>
  </si>
  <si>
    <t>重油(前月比)</t>
    <rPh sb="0" eb="2">
      <t>ジュウユ</t>
    </rPh>
    <phoneticPr fontId="2"/>
  </si>
  <si>
    <t>灯油(前月比)</t>
    <rPh sb="0" eb="2">
      <t>トウユ</t>
    </rPh>
    <phoneticPr fontId="2"/>
  </si>
  <si>
    <t>ジェット(前月比)</t>
    <phoneticPr fontId="4"/>
  </si>
  <si>
    <t>グラフ①国内向販売燃料油全体動向</t>
    <phoneticPr fontId="4"/>
  </si>
  <si>
    <t>グラフ②国内向販売油種別内訳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</si>
</sst>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sz val="22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3" fillId="0" borderId="0" xfId="0" applyFont="1">
      <alignment vertical="center"/>
    </xf>
    <xf numFmtId="38" fontId="3" fillId="0" borderId="1" xfId="1" applyFont="1" applyBorder="1">
      <alignment vertical="center"/>
    </xf>
    <xf numFmtId="0" fontId="3" fillId="0" borderId="1" xfId="0" applyFont="1" applyBorder="1">
      <alignment vertical="center"/>
    </xf>
    <xf numFmtId="0" fontId="6" fillId="0" borderId="0" xfId="0" applyFont="1">
      <alignment vertical="center"/>
    </xf>
    <xf numFmtId="9" fontId="3" fillId="0" borderId="1" xfId="2" applyFont="1" applyBorder="1">
      <alignment vertical="center"/>
    </xf>
    <xf numFmtId="9" fontId="3" fillId="0" borderId="0" xfId="0" applyNumberFormat="1" applyFont="1">
      <alignment vertical="center"/>
    </xf>
    <xf numFmtId="0" fontId="7" fillId="0" borderId="0" xfId="0" applyFon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【グラフ】①②!$A$2</c:f>
              <c:strCache>
                <c:ptCount val="1"/>
                <c:pt idx="0">
                  <c:v>ガソリン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8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【グラフ】①②!$B$2:$S$2</c:f>
              <c:numCache>
                <c:formatCode>#,##0_);[Red]\(#,##0\)</c:formatCode>
                <c:ptCount val="18"/>
                <c:pt idx="0">
                  <c:v>3469698</c:v>
                </c:pt>
                <c:pt idx="1">
                  <c:v>3503148</c:v>
                </c:pt>
                <c:pt idx="2">
                  <c:v>3511426</c:v>
                </c:pt>
                <c:pt idx="3">
                  <c:v>3930438</c:v>
                </c:pt>
                <c:pt idx="4">
                  <c:v>4286468</c:v>
                </c:pt>
                <c:pt idx="5">
                  <c:v>3723707</c:v>
                </c:pt>
                <c:pt idx="6">
                  <c:v>3627887</c:v>
                </c:pt>
                <c:pt idx="7">
                  <c:v>3557863</c:v>
                </c:pt>
                <c:pt idx="8">
                  <c:v>3815932</c:v>
                </c:pt>
                <c:pt idx="9">
                  <c:v>3351719</c:v>
                </c:pt>
                <c:pt idx="10">
                  <c:v>3261295</c:v>
                </c:pt>
                <c:pt idx="11">
                  <c:v>3587699</c:v>
                </c:pt>
                <c:pt idx="12">
                  <c:v>3397463</c:v>
                </c:pt>
                <c:pt idx="13">
                  <c:v>3481977</c:v>
                </c:pt>
                <c:pt idx="14">
                  <c:v>3622297</c:v>
                </c:pt>
                <c:pt idx="15">
                  <c:v>4032270</c:v>
                </c:pt>
                <c:pt idx="16">
                  <c:v>4163684</c:v>
                </c:pt>
                <c:pt idx="17">
                  <c:v>3760902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67-4991-B293-B79C80A35F99}"/>
            </c:ext>
          </c:extLst>
        </c:ser>
        <c:ser>
          <c:idx val="1"/>
          <c:order val="1"/>
          <c:tx>
            <c:strRef>
              <c:f>【グラフ】①②!$A$3</c:f>
              <c:strCache>
                <c:ptCount val="1"/>
                <c:pt idx="0">
                  <c:v>ナフサ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【グラフ】①②!$B$3:$S$3</c:f>
              <c:numCache>
                <c:formatCode>#,##0_);[Red]\(#,##0\)</c:formatCode>
                <c:ptCount val="18"/>
                <c:pt idx="0">
                  <c:v>2998709</c:v>
                </c:pt>
                <c:pt idx="1">
                  <c:v>2955255</c:v>
                </c:pt>
                <c:pt idx="2">
                  <c:v>2717429</c:v>
                </c:pt>
                <c:pt idx="3">
                  <c:v>2438150</c:v>
                </c:pt>
                <c:pt idx="4">
                  <c:v>2809676</c:v>
                </c:pt>
                <c:pt idx="5">
                  <c:v>2693758</c:v>
                </c:pt>
                <c:pt idx="6">
                  <c:v>2966760</c:v>
                </c:pt>
                <c:pt idx="7">
                  <c:v>3027283</c:v>
                </c:pt>
                <c:pt idx="8">
                  <c:v>2843067</c:v>
                </c:pt>
                <c:pt idx="9">
                  <c:v>2997378</c:v>
                </c:pt>
                <c:pt idx="10">
                  <c:v>2464549</c:v>
                </c:pt>
                <c:pt idx="11">
                  <c:v>2966023</c:v>
                </c:pt>
                <c:pt idx="12">
                  <c:v>3017774</c:v>
                </c:pt>
                <c:pt idx="13">
                  <c:v>2739455</c:v>
                </c:pt>
                <c:pt idx="14">
                  <c:v>2446469</c:v>
                </c:pt>
                <c:pt idx="15">
                  <c:v>2607554</c:v>
                </c:pt>
                <c:pt idx="16">
                  <c:v>2812161</c:v>
                </c:pt>
                <c:pt idx="17">
                  <c:v>3092661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67-4991-B293-B79C80A35F99}"/>
            </c:ext>
          </c:extLst>
        </c:ser>
        <c:ser>
          <c:idx val="2"/>
          <c:order val="2"/>
          <c:tx>
            <c:strRef>
              <c:f>【グラフ】①②!$A$4</c:f>
              <c:strCache>
                <c:ptCount val="1"/>
                <c:pt idx="0">
                  <c:v>軽油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【グラフ】①②!$B$4:$S$4</c:f>
              <c:numCache>
                <c:formatCode>#,##0_);[Red]\(#,##0\)</c:formatCode>
                <c:ptCount val="18"/>
                <c:pt idx="0">
                  <c:v>2499575</c:v>
                </c:pt>
                <c:pt idx="1">
                  <c:v>2470251</c:v>
                </c:pt>
                <c:pt idx="2">
                  <c:v>2595378</c:v>
                </c:pt>
                <c:pt idx="3">
                  <c:v>2685680</c:v>
                </c:pt>
                <c:pt idx="4">
                  <c:v>2537364</c:v>
                </c:pt>
                <c:pt idx="5">
                  <c:v>2636032</c:v>
                </c:pt>
                <c:pt idx="6">
                  <c:v>2648989</c:v>
                </c:pt>
                <c:pt idx="7">
                  <c:v>2650462</c:v>
                </c:pt>
                <c:pt idx="8">
                  <c:v>2650593</c:v>
                </c:pt>
                <c:pt idx="9">
                  <c:v>2334998</c:v>
                </c:pt>
                <c:pt idx="10">
                  <c:v>2424252</c:v>
                </c:pt>
                <c:pt idx="11">
                  <c:v>2606885</c:v>
                </c:pt>
                <c:pt idx="12">
                  <c:v>2514447</c:v>
                </c:pt>
                <c:pt idx="13">
                  <c:v>2409914</c:v>
                </c:pt>
                <c:pt idx="14">
                  <c:v>2607414</c:v>
                </c:pt>
                <c:pt idx="15">
                  <c:v>2754234</c:v>
                </c:pt>
                <c:pt idx="16">
                  <c:v>2473574</c:v>
                </c:pt>
                <c:pt idx="17">
                  <c:v>2627493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67-4991-B293-B79C80A35F99}"/>
            </c:ext>
          </c:extLst>
        </c:ser>
        <c:ser>
          <c:idx val="3"/>
          <c:order val="3"/>
          <c:tx>
            <c:strRef>
              <c:f>【グラフ】①②!$A$5</c:f>
              <c:strCache>
                <c:ptCount val="1"/>
                <c:pt idx="0">
                  <c:v>重油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5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【グラフ】①②!$B$5:$S$5</c:f>
              <c:numCache>
                <c:formatCode>#,##0_);[Red]\(#,##0\)</c:formatCode>
                <c:ptCount val="18"/>
                <c:pt idx="0">
                  <c:v>1142527</c:v>
                </c:pt>
                <c:pt idx="1">
                  <c:v>1099459</c:v>
                </c:pt>
                <c:pt idx="2">
                  <c:v>1019021</c:v>
                </c:pt>
                <c:pt idx="3">
                  <c:v>1010433</c:v>
                </c:pt>
                <c:pt idx="4">
                  <c:v>1051992</c:v>
                </c:pt>
                <c:pt idx="5">
                  <c:v>1065438</c:v>
                </c:pt>
                <c:pt idx="6">
                  <c:v>1119214</c:v>
                </c:pt>
                <c:pt idx="7">
                  <c:v>1302271</c:v>
                </c:pt>
                <c:pt idx="8">
                  <c:v>1497729</c:v>
                </c:pt>
                <c:pt idx="9">
                  <c:v>1412487</c:v>
                </c:pt>
                <c:pt idx="10">
                  <c:v>1326536</c:v>
                </c:pt>
                <c:pt idx="11">
                  <c:v>1250473</c:v>
                </c:pt>
                <c:pt idx="12">
                  <c:v>1069288</c:v>
                </c:pt>
                <c:pt idx="13">
                  <c:v>921337</c:v>
                </c:pt>
                <c:pt idx="14">
                  <c:v>1012128</c:v>
                </c:pt>
                <c:pt idx="15">
                  <c:v>997259</c:v>
                </c:pt>
                <c:pt idx="16">
                  <c:v>1045213</c:v>
                </c:pt>
                <c:pt idx="17">
                  <c:v>1023582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67-4991-B293-B79C80A35F99}"/>
            </c:ext>
          </c:extLst>
        </c:ser>
        <c:ser>
          <c:idx val="4"/>
          <c:order val="4"/>
          <c:tx>
            <c:strRef>
              <c:f>【グラフ】①②!$A$6</c:f>
              <c:strCache>
                <c:ptCount val="1"/>
                <c:pt idx="0">
                  <c:v>灯油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【グラフ】①②!$B$6:$S$6</c:f>
              <c:numCache>
                <c:formatCode>#,##0_);[Red]\(#,##0\)</c:formatCode>
                <c:ptCount val="18"/>
                <c:pt idx="0">
                  <c:v>627351</c:v>
                </c:pt>
                <c:pt idx="1">
                  <c:v>356053</c:v>
                </c:pt>
                <c:pt idx="2">
                  <c:v>315105</c:v>
                </c:pt>
                <c:pt idx="3">
                  <c:v>293392</c:v>
                </c:pt>
                <c:pt idx="4">
                  <c:v>348546</c:v>
                </c:pt>
                <c:pt idx="5">
                  <c:v>375127</c:v>
                </c:pt>
                <c:pt idx="6">
                  <c:v>572326</c:v>
                </c:pt>
                <c:pt idx="7">
                  <c:v>1213976</c:v>
                </c:pt>
                <c:pt idx="8">
                  <c:v>1806281</c:v>
                </c:pt>
                <c:pt idx="9">
                  <c:v>1967359</c:v>
                </c:pt>
                <c:pt idx="10">
                  <c:v>1867690</c:v>
                </c:pt>
                <c:pt idx="11">
                  <c:v>1333421</c:v>
                </c:pt>
                <c:pt idx="12">
                  <c:v>663019</c:v>
                </c:pt>
                <c:pt idx="13">
                  <c:v>324805</c:v>
                </c:pt>
                <c:pt idx="14">
                  <c:v>358006</c:v>
                </c:pt>
                <c:pt idx="15">
                  <c:v>253305</c:v>
                </c:pt>
                <c:pt idx="16">
                  <c:v>317397</c:v>
                </c:pt>
                <c:pt idx="17">
                  <c:v>395160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67-4991-B293-B79C80A35F99}"/>
            </c:ext>
          </c:extLst>
        </c:ser>
        <c:ser>
          <c:idx val="5"/>
          <c:order val="5"/>
          <c:tx>
            <c:strRef>
              <c:f>【グラフ】①②!$A$7</c:f>
              <c:strCache>
                <c:ptCount val="1"/>
                <c:pt idx="0">
                  <c:v>ジェット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【グラフ】①②!$B$7:$S$7</c:f>
              <c:numCache>
                <c:formatCode>#,##0_);[Red]\(#,##0\)</c:formatCode>
                <c:ptCount val="18"/>
                <c:pt idx="0">
                  <c:v>361059</c:v>
                </c:pt>
                <c:pt idx="1">
                  <c:v>368649</c:v>
                </c:pt>
                <c:pt idx="2">
                  <c:v>384234</c:v>
                </c:pt>
                <c:pt idx="3">
                  <c:v>349439</c:v>
                </c:pt>
                <c:pt idx="4">
                  <c:v>357484</c:v>
                </c:pt>
                <c:pt idx="5">
                  <c:v>357167</c:v>
                </c:pt>
                <c:pt idx="6">
                  <c:v>351764</c:v>
                </c:pt>
                <c:pt idx="7">
                  <c:v>340602</c:v>
                </c:pt>
                <c:pt idx="8">
                  <c:v>345420</c:v>
                </c:pt>
                <c:pt idx="9">
                  <c:v>361667</c:v>
                </c:pt>
                <c:pt idx="10">
                  <c:v>318110</c:v>
                </c:pt>
                <c:pt idx="11">
                  <c:v>341855</c:v>
                </c:pt>
                <c:pt idx="12">
                  <c:v>328585</c:v>
                </c:pt>
                <c:pt idx="13">
                  <c:v>419912</c:v>
                </c:pt>
                <c:pt idx="14">
                  <c:v>378871</c:v>
                </c:pt>
                <c:pt idx="15">
                  <c:v>283022</c:v>
                </c:pt>
                <c:pt idx="16">
                  <c:v>371749</c:v>
                </c:pt>
                <c:pt idx="17">
                  <c:v>329071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67-4991-B293-B79C80A35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455952"/>
        <c:axId val="1222461360"/>
      </c:lineChart>
      <c:catAx>
        <c:axId val="122245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222461360"/>
        <c:crosses val="autoZero"/>
        <c:auto val="1"/>
        <c:lblAlgn val="ctr"/>
        <c:lblOffset val="100"/>
        <c:noMultiLvlLbl val="0"/>
      </c:catAx>
      <c:valAx>
        <c:axId val="1222461360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222455952"/>
        <c:crosses val="autoZero"/>
        <c:crossBetween val="midCat"/>
        <c:dispUnits>
          <c:builtInUnit val="tenThousands"/>
          <c:dispUnitsLbl>
            <c:layout>
              <c:manualLayout>
                <c:xMode val="edge"/>
                <c:yMode val="edge"/>
                <c:x val="1.2426872038888549E-2"/>
                <c:y val="5.1766739548706441E-4"/>
              </c:manualLayout>
            </c:layout>
            <c:tx>
              <c:rich>
                <a:bodyPr rot="0" spcFirstLastPara="1" vertOverflow="ellipsis" wrap="square" anchor="ctr" anchorCtr="1"/>
                <a:lstStyle/>
                <a:p>
                  <a:pPr marL="0" marR="0" lvl="0" indent="0" algn="ctr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 sz="1000" b="0" i="0" u="none" strike="noStrike" kern="1200" baseline="0">
                      <a:solidFill>
                        <a:sysClr val="windowText" lastClr="000000">
                          <a:lumMod val="65000"/>
                          <a:lumOff val="35000"/>
                        </a:sys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r>
                    <a:rPr lang="ja-JP" altLang="ja-JP" sz="1050" b="0" i="0" baseline="0">
                      <a:effectLst/>
                    </a:rPr>
                    <a:t>単位：</a:t>
                  </a:r>
                  <a:br>
                    <a:rPr lang="ja-JP" altLang="ja-JP" sz="1050" b="0" i="0" baseline="0">
                      <a:effectLst/>
                    </a:rPr>
                  </a:br>
                  <a:r>
                    <a:rPr lang="ja-JP" altLang="ja-JP" sz="1050" b="0" i="0" baseline="0">
                      <a:effectLst/>
                    </a:rPr>
                    <a:t>万</a:t>
                  </a:r>
                  <a:r>
                    <a:rPr lang="en-US" altLang="ja-JP" sz="1050" b="0" i="0" baseline="0">
                      <a:effectLst/>
                    </a:rPr>
                    <a:t>KL</a:t>
                  </a:r>
                  <a:endParaRPr lang="ja-JP" sz="1050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00569039179454"/>
          <c:y val="6.7681058369850944E-2"/>
          <c:w val="0.79538817607643075"/>
          <c:h val="0.8185479031176621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【グラフ】①②!$A$7</c:f>
              <c:strCache>
                <c:ptCount val="1"/>
                <c:pt idx="0">
                  <c:v>ジェット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【グラフ】①②!$B$7:$S$7</c:f>
              <c:numCache>
                <c:formatCode>#,##0_);[Red]\(#,##0\)</c:formatCode>
                <c:ptCount val="18"/>
                <c:pt idx="0">
                  <c:v>361059</c:v>
                </c:pt>
                <c:pt idx="1">
                  <c:v>368649</c:v>
                </c:pt>
                <c:pt idx="2">
                  <c:v>384234</c:v>
                </c:pt>
                <c:pt idx="3">
                  <c:v>349439</c:v>
                </c:pt>
                <c:pt idx="4">
                  <c:v>357484</c:v>
                </c:pt>
                <c:pt idx="5">
                  <c:v>357167</c:v>
                </c:pt>
                <c:pt idx="6">
                  <c:v>351764</c:v>
                </c:pt>
                <c:pt idx="7">
                  <c:v>340602</c:v>
                </c:pt>
                <c:pt idx="8">
                  <c:v>345420</c:v>
                </c:pt>
                <c:pt idx="9">
                  <c:v>361667</c:v>
                </c:pt>
                <c:pt idx="10">
                  <c:v>318110</c:v>
                </c:pt>
                <c:pt idx="11">
                  <c:v>341855</c:v>
                </c:pt>
                <c:pt idx="12">
                  <c:v>328585</c:v>
                </c:pt>
                <c:pt idx="13">
                  <c:v>419912</c:v>
                </c:pt>
                <c:pt idx="14">
                  <c:v>378871</c:v>
                </c:pt>
                <c:pt idx="15">
                  <c:v>283022</c:v>
                </c:pt>
                <c:pt idx="16">
                  <c:v>371749</c:v>
                </c:pt>
                <c:pt idx="17">
                  <c:v>329071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6-40D1-8586-948175A14D59}"/>
            </c:ext>
          </c:extLst>
        </c:ser>
        <c:ser>
          <c:idx val="2"/>
          <c:order val="1"/>
          <c:tx>
            <c:strRef>
              <c:f>【グラフ】①②!$A$6</c:f>
              <c:strCache>
                <c:ptCount val="1"/>
                <c:pt idx="0">
                  <c:v>灯油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【グラフ】①②!$B$6:$S$6</c:f>
              <c:numCache>
                <c:formatCode>#,##0_);[Red]\(#,##0\)</c:formatCode>
                <c:ptCount val="18"/>
                <c:pt idx="0">
                  <c:v>627351</c:v>
                </c:pt>
                <c:pt idx="1">
                  <c:v>356053</c:v>
                </c:pt>
                <c:pt idx="2">
                  <c:v>315105</c:v>
                </c:pt>
                <c:pt idx="3">
                  <c:v>293392</c:v>
                </c:pt>
                <c:pt idx="4">
                  <c:v>348546</c:v>
                </c:pt>
                <c:pt idx="5">
                  <c:v>375127</c:v>
                </c:pt>
                <c:pt idx="6">
                  <c:v>572326</c:v>
                </c:pt>
                <c:pt idx="7">
                  <c:v>1213976</c:v>
                </c:pt>
                <c:pt idx="8">
                  <c:v>1806281</c:v>
                </c:pt>
                <c:pt idx="9">
                  <c:v>1967359</c:v>
                </c:pt>
                <c:pt idx="10">
                  <c:v>1867690</c:v>
                </c:pt>
                <c:pt idx="11">
                  <c:v>1333421</c:v>
                </c:pt>
                <c:pt idx="12">
                  <c:v>663019</c:v>
                </c:pt>
                <c:pt idx="13">
                  <c:v>324805</c:v>
                </c:pt>
                <c:pt idx="14">
                  <c:v>358006</c:v>
                </c:pt>
                <c:pt idx="15">
                  <c:v>253305</c:v>
                </c:pt>
                <c:pt idx="16">
                  <c:v>317397</c:v>
                </c:pt>
                <c:pt idx="17">
                  <c:v>395160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6-40D1-8586-948175A14D59}"/>
            </c:ext>
          </c:extLst>
        </c:ser>
        <c:ser>
          <c:idx val="1"/>
          <c:order val="2"/>
          <c:tx>
            <c:strRef>
              <c:f>【グラフ】①②!$A$5</c:f>
              <c:strCache>
                <c:ptCount val="1"/>
                <c:pt idx="0">
                  <c:v>重油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【グラフ】①②!$B$5:$S$5</c:f>
              <c:numCache>
                <c:formatCode>#,##0_);[Red]\(#,##0\)</c:formatCode>
                <c:ptCount val="18"/>
                <c:pt idx="0">
                  <c:v>1142527</c:v>
                </c:pt>
                <c:pt idx="1">
                  <c:v>1099459</c:v>
                </c:pt>
                <c:pt idx="2">
                  <c:v>1019021</c:v>
                </c:pt>
                <c:pt idx="3">
                  <c:v>1010433</c:v>
                </c:pt>
                <c:pt idx="4">
                  <c:v>1051992</c:v>
                </c:pt>
                <c:pt idx="5">
                  <c:v>1065438</c:v>
                </c:pt>
                <c:pt idx="6">
                  <c:v>1119214</c:v>
                </c:pt>
                <c:pt idx="7">
                  <c:v>1302271</c:v>
                </c:pt>
                <c:pt idx="8">
                  <c:v>1497729</c:v>
                </c:pt>
                <c:pt idx="9">
                  <c:v>1412487</c:v>
                </c:pt>
                <c:pt idx="10">
                  <c:v>1326536</c:v>
                </c:pt>
                <c:pt idx="11">
                  <c:v>1250473</c:v>
                </c:pt>
                <c:pt idx="12">
                  <c:v>1069288</c:v>
                </c:pt>
                <c:pt idx="13">
                  <c:v>921337</c:v>
                </c:pt>
                <c:pt idx="14">
                  <c:v>1012128</c:v>
                </c:pt>
                <c:pt idx="15">
                  <c:v>997259</c:v>
                </c:pt>
                <c:pt idx="16">
                  <c:v>1045213</c:v>
                </c:pt>
                <c:pt idx="17">
                  <c:v>1023582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26-40D1-8586-948175A14D59}"/>
            </c:ext>
          </c:extLst>
        </c:ser>
        <c:ser>
          <c:idx val="5"/>
          <c:order val="3"/>
          <c:tx>
            <c:strRef>
              <c:f>【グラフ】①②!$A$4</c:f>
              <c:strCache>
                <c:ptCount val="1"/>
                <c:pt idx="0">
                  <c:v>軽油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【グラフ】①②!$B$4:$S$4</c:f>
              <c:numCache>
                <c:formatCode>#,##0_);[Red]\(#,##0\)</c:formatCode>
                <c:ptCount val="18"/>
                <c:pt idx="0">
                  <c:v>2499575</c:v>
                </c:pt>
                <c:pt idx="1">
                  <c:v>2470251</c:v>
                </c:pt>
                <c:pt idx="2">
                  <c:v>2595378</c:v>
                </c:pt>
                <c:pt idx="3">
                  <c:v>2685680</c:v>
                </c:pt>
                <c:pt idx="4">
                  <c:v>2537364</c:v>
                </c:pt>
                <c:pt idx="5">
                  <c:v>2636032</c:v>
                </c:pt>
                <c:pt idx="6">
                  <c:v>2648989</c:v>
                </c:pt>
                <c:pt idx="7">
                  <c:v>2650462</c:v>
                </c:pt>
                <c:pt idx="8">
                  <c:v>2650593</c:v>
                </c:pt>
                <c:pt idx="9">
                  <c:v>2334998</c:v>
                </c:pt>
                <c:pt idx="10">
                  <c:v>2424252</c:v>
                </c:pt>
                <c:pt idx="11">
                  <c:v>2606885</c:v>
                </c:pt>
                <c:pt idx="12">
                  <c:v>2514447</c:v>
                </c:pt>
                <c:pt idx="13">
                  <c:v>2409914</c:v>
                </c:pt>
                <c:pt idx="14">
                  <c:v>2607414</c:v>
                </c:pt>
                <c:pt idx="15">
                  <c:v>2754234</c:v>
                </c:pt>
                <c:pt idx="16">
                  <c:v>2473574</c:v>
                </c:pt>
                <c:pt idx="17">
                  <c:v>2627493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26-40D1-8586-948175A14D59}"/>
            </c:ext>
          </c:extLst>
        </c:ser>
        <c:ser>
          <c:idx val="4"/>
          <c:order val="4"/>
          <c:tx>
            <c:strRef>
              <c:f>【グラフ】①②!$A$3</c:f>
              <c:strCache>
                <c:ptCount val="1"/>
                <c:pt idx="0">
                  <c:v>ナフサ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【グラフ】①②!$B$3:$S$3</c:f>
              <c:numCache>
                <c:formatCode>#,##0_);[Red]\(#,##0\)</c:formatCode>
                <c:ptCount val="18"/>
                <c:pt idx="0">
                  <c:v>2998709</c:v>
                </c:pt>
                <c:pt idx="1">
                  <c:v>2955255</c:v>
                </c:pt>
                <c:pt idx="2">
                  <c:v>2717429</c:v>
                </c:pt>
                <c:pt idx="3">
                  <c:v>2438150</c:v>
                </c:pt>
                <c:pt idx="4">
                  <c:v>2809676</c:v>
                </c:pt>
                <c:pt idx="5">
                  <c:v>2693758</c:v>
                </c:pt>
                <c:pt idx="6">
                  <c:v>2966760</c:v>
                </c:pt>
                <c:pt idx="7">
                  <c:v>3027283</c:v>
                </c:pt>
                <c:pt idx="8">
                  <c:v>2843067</c:v>
                </c:pt>
                <c:pt idx="9">
                  <c:v>2997378</c:v>
                </c:pt>
                <c:pt idx="10">
                  <c:v>2464549</c:v>
                </c:pt>
                <c:pt idx="11">
                  <c:v>2966023</c:v>
                </c:pt>
                <c:pt idx="12">
                  <c:v>3017774</c:v>
                </c:pt>
                <c:pt idx="13">
                  <c:v>2739455</c:v>
                </c:pt>
                <c:pt idx="14">
                  <c:v>2446469</c:v>
                </c:pt>
                <c:pt idx="15">
                  <c:v>2607554</c:v>
                </c:pt>
                <c:pt idx="16">
                  <c:v>2812161</c:v>
                </c:pt>
                <c:pt idx="17">
                  <c:v>3092661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26-40D1-8586-948175A14D59}"/>
            </c:ext>
          </c:extLst>
        </c:ser>
        <c:ser>
          <c:idx val="0"/>
          <c:order val="5"/>
          <c:tx>
            <c:strRef>
              <c:f>【グラフ】①②!$A$2</c:f>
              <c:strCache>
                <c:ptCount val="1"/>
                <c:pt idx="0">
                  <c:v>ガソリン</c:v>
                </c:pt>
              </c:strCache>
            </c:strRef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【グラフ】①②!$B$1:$S$1</c:f>
              <c:strCache>
                <c:ptCount val="18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  <c:pt idx="12">
                  <c:v>4月</c:v>
                </c:pt>
                <c:pt idx="13">
                  <c:v>5月</c:v>
                </c:pt>
                <c:pt idx="14">
                  <c:v>6月</c:v>
                </c:pt>
                <c:pt idx="15">
                  <c:v>7月</c:v>
                </c:pt>
                <c:pt idx="16">
                  <c:v>8月</c:v>
                </c:pt>
                <c:pt idx="17">
                  <c:v>9月</c:v>
                </c:pt>
              </c:strCache>
            </c:strRef>
          </c:cat>
          <c:val>
            <c:numRef>
              <c:f>【グラフ】①②!$B$2:$S$2</c:f>
              <c:numCache>
                <c:formatCode>#,##0_);[Red]\(#,##0\)</c:formatCode>
                <c:ptCount val="18"/>
                <c:pt idx="0">
                  <c:v>3469698</c:v>
                </c:pt>
                <c:pt idx="1">
                  <c:v>3503148</c:v>
                </c:pt>
                <c:pt idx="2">
                  <c:v>3511426</c:v>
                </c:pt>
                <c:pt idx="3">
                  <c:v>3930438</c:v>
                </c:pt>
                <c:pt idx="4">
                  <c:v>4286468</c:v>
                </c:pt>
                <c:pt idx="5">
                  <c:v>3723707</c:v>
                </c:pt>
                <c:pt idx="6">
                  <c:v>3627887</c:v>
                </c:pt>
                <c:pt idx="7">
                  <c:v>3557863</c:v>
                </c:pt>
                <c:pt idx="8">
                  <c:v>3815932</c:v>
                </c:pt>
                <c:pt idx="9">
                  <c:v>3351719</c:v>
                </c:pt>
                <c:pt idx="10">
                  <c:v>3261295</c:v>
                </c:pt>
                <c:pt idx="11">
                  <c:v>3587699</c:v>
                </c:pt>
                <c:pt idx="12">
                  <c:v>3397463</c:v>
                </c:pt>
                <c:pt idx="13">
                  <c:v>3481977</c:v>
                </c:pt>
                <c:pt idx="14">
                  <c:v>3622297</c:v>
                </c:pt>
                <c:pt idx="15">
                  <c:v>4032270</c:v>
                </c:pt>
                <c:pt idx="16">
                  <c:v>4163684</c:v>
                </c:pt>
                <c:pt idx="17">
                  <c:v>3760902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26-40D1-8586-948175A14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762275551"/>
        <c:axId val="762288447"/>
        <c:extLst>
          <c:ext xmlns:c15="http://schemas.microsoft.com/office/drawing/2012/chart" uri="{02D57815-91ED-43cb-92C2-25804820EDAC}">
            <c15:filteredBa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【グラフ】①②!$A$8</c15:sqref>
                        </c15:formulaRef>
                      </c:ext>
                    </c:extLst>
                    <c:strCache>
                      <c:ptCount val="1"/>
                      <c:pt idx="0">
                        <c:v>コロナ陽性者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【グラフ】①②!$B$1:$S$1</c15:sqref>
                        </c15:formulaRef>
                      </c:ext>
                    </c:extLst>
                    <c:strCache>
                      <c:ptCount val="18"/>
                      <c:pt idx="0">
                        <c:v>4月</c:v>
                      </c:pt>
                      <c:pt idx="1">
                        <c:v>5月</c:v>
                      </c:pt>
                      <c:pt idx="2">
                        <c:v>6月</c:v>
                      </c:pt>
                      <c:pt idx="3">
                        <c:v>7月</c:v>
                      </c:pt>
                      <c:pt idx="4">
                        <c:v>8月</c:v>
                      </c:pt>
                      <c:pt idx="5">
                        <c:v>9月</c:v>
                      </c:pt>
                      <c:pt idx="6">
                        <c:v>10月</c:v>
                      </c:pt>
                      <c:pt idx="7">
                        <c:v>11月</c:v>
                      </c:pt>
                      <c:pt idx="8">
                        <c:v>12月</c:v>
                      </c:pt>
                      <c:pt idx="9">
                        <c:v>1月</c:v>
                      </c:pt>
                      <c:pt idx="10">
                        <c:v>2月</c:v>
                      </c:pt>
                      <c:pt idx="11">
                        <c:v>3月</c:v>
                      </c:pt>
                      <c:pt idx="12">
                        <c:v>4月</c:v>
                      </c:pt>
                      <c:pt idx="13">
                        <c:v>5月</c:v>
                      </c:pt>
                      <c:pt idx="14">
                        <c:v>6月</c:v>
                      </c:pt>
                      <c:pt idx="15">
                        <c:v>7月</c:v>
                      </c:pt>
                      <c:pt idx="16">
                        <c:v>8月</c:v>
                      </c:pt>
                      <c:pt idx="17">
                        <c:v>9月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【グラフ】①②!$B$8:$S$8</c15:sqref>
                        </c15:formulaRef>
                      </c:ext>
                    </c:extLst>
                    <c:numCache>
                      <c:formatCode>#,##0_);[Red]\(#,##0\)</c:formatCode>
                      <c:ptCount val="1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2126-40D1-8586-948175A14D59}"/>
                  </c:ext>
                </c:extLst>
              </c15:ser>
            </c15:filteredBarSeries>
          </c:ext>
        </c:extLst>
      </c:barChart>
      <c:catAx>
        <c:axId val="76227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62288447"/>
        <c:crosses val="autoZero"/>
        <c:auto val="1"/>
        <c:lblAlgn val="ctr"/>
        <c:lblOffset val="100"/>
        <c:noMultiLvlLbl val="0"/>
      </c:catAx>
      <c:valAx>
        <c:axId val="762288447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62275551"/>
        <c:crosses val="autoZero"/>
        <c:crossBetween val="between"/>
        <c:majorUnit val="1000000"/>
        <c:dispUnits>
          <c:builtInUnit val="tenThousands"/>
          <c:dispUnitsLbl>
            <c:tx>
              <c:rich>
                <a:bodyPr rot="0" spcFirstLastPara="1" vertOverflow="ellipsis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Meiryo UI" panose="020B0604030504040204" pitchFamily="50" charset="-128"/>
                      <a:ea typeface="Meiryo UI" panose="020B0604030504040204" pitchFamily="50" charset="-128"/>
                      <a:cs typeface="+mn-cs"/>
                    </a:defRPr>
                  </a:pPr>
                  <a:r>
                    <a:rPr lang="ja-JP"/>
                    <a:t>単位：</a:t>
                  </a:r>
                  <a:br>
                    <a:rPr lang="ja-JP"/>
                  </a:br>
                  <a:r>
                    <a:rPr lang="ja-JP"/>
                    <a:t>万</a:t>
                  </a:r>
                  <a:r>
                    <a:rPr lang="en-US"/>
                    <a:t>KL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25397136815551"/>
          <c:y val="0.94771978360744602"/>
          <c:w val="0.46405411550376513"/>
          <c:h val="5.189616369676824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46798</xdr:colOff>
      <xdr:row>20</xdr:row>
      <xdr:rowOff>71004</xdr:rowOff>
    </xdr:from>
    <xdr:to>
      <xdr:col>32</xdr:col>
      <xdr:colOff>53685</xdr:colOff>
      <xdr:row>46</xdr:row>
      <xdr:rowOff>28947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0695F34-B3BF-41B9-A4B6-B3C609F476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146049</xdr:colOff>
      <xdr:row>20</xdr:row>
      <xdr:rowOff>145476</xdr:rowOff>
    </xdr:from>
    <xdr:to>
      <xdr:col>14</xdr:col>
      <xdr:colOff>409575</xdr:colOff>
      <xdr:row>51</xdr:row>
      <xdr:rowOff>15875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2F4E1CF-72B8-4396-9F39-4866DCDC7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office.accenture.com/personal/takao_hattori_accenture_com/Documents/A0036/&#20316;&#26989;&#12501;&#12449;&#12452;&#12523;/&#12456;&#12490;&#12472;&#12540;&#12488;&#12524;&#12531;&#12489;&#12464;&#12521;&#12501;&#9312;&#65374;&#9315;_v0.0.4(2025&#24180;09&#26376;).xlsx" TargetMode="External"/><Relationship Id="rId1" Type="http://schemas.openxmlformats.org/officeDocument/2006/relationships/externalLinkPath" Target="/personal/takao_hattori_accenture_com/Documents/A0036/&#20316;&#26989;&#12501;&#12449;&#12452;&#12523;/&#12456;&#12490;&#12472;&#12540;&#12488;&#12524;&#12531;&#12489;&#12464;&#12521;&#12501;&#9312;&#65374;&#9315;_v0.0.4(2025&#24180;09&#26376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【グラフ】①②"/>
      <sheetName val="【グラフ③】油種別前年度比"/>
      <sheetName val="【グラフ④】原油価格平均推移"/>
      <sheetName val="【グラフ】①国内向販売燃料油全体動向 (2)"/>
    </sheetNames>
    <sheetDataSet>
      <sheetData sheetId="0">
        <row r="1">
          <cell r="B1" t="str">
            <v>3月</v>
          </cell>
          <cell r="C1" t="str">
            <v>4月</v>
          </cell>
          <cell r="D1" t="str">
            <v>5月</v>
          </cell>
          <cell r="E1" t="str">
            <v>6月</v>
          </cell>
          <cell r="F1" t="str">
            <v>7月</v>
          </cell>
          <cell r="G1" t="str">
            <v>8月</v>
          </cell>
          <cell r="H1" t="str">
            <v>9月</v>
          </cell>
          <cell r="I1" t="str">
            <v>10月</v>
          </cell>
          <cell r="J1" t="str">
            <v>11月</v>
          </cell>
          <cell r="K1" t="str">
            <v>12月</v>
          </cell>
          <cell r="L1" t="str">
            <v>1月</v>
          </cell>
          <cell r="M1" t="str">
            <v>2月</v>
          </cell>
          <cell r="N1" t="str">
            <v>3月</v>
          </cell>
          <cell r="O1" t="str">
            <v>4月</v>
          </cell>
          <cell r="P1" t="str">
            <v>5月</v>
          </cell>
          <cell r="Q1" t="str">
            <v>6月</v>
          </cell>
          <cell r="R1" t="str">
            <v>7月</v>
          </cell>
          <cell r="S1" t="str">
            <v>8月</v>
          </cell>
          <cell r="T1" t="str">
            <v>9月</v>
          </cell>
        </row>
        <row r="2">
          <cell r="A2" t="str">
            <v>ガソリン</v>
          </cell>
          <cell r="B2">
            <v>3657595</v>
          </cell>
          <cell r="C2">
            <v>3469698</v>
          </cell>
          <cell r="D2">
            <v>3503148</v>
          </cell>
          <cell r="E2">
            <v>3511426</v>
          </cell>
          <cell r="F2">
            <v>3930438</v>
          </cell>
          <cell r="G2">
            <v>4286468</v>
          </cell>
          <cell r="H2">
            <v>3723707</v>
          </cell>
          <cell r="I2">
            <v>3627887</v>
          </cell>
          <cell r="J2">
            <v>3557863</v>
          </cell>
          <cell r="K2">
            <v>3815932</v>
          </cell>
          <cell r="L2">
            <v>3351719</v>
          </cell>
          <cell r="M2">
            <v>3261295</v>
          </cell>
          <cell r="N2">
            <v>3587699</v>
          </cell>
          <cell r="O2">
            <v>3397463</v>
          </cell>
          <cell r="P2">
            <v>3481977</v>
          </cell>
          <cell r="Q2">
            <v>3622297</v>
          </cell>
          <cell r="R2">
            <v>4032270</v>
          </cell>
          <cell r="S2">
            <v>4163684</v>
          </cell>
          <cell r="T2">
            <v>3760902</v>
          </cell>
        </row>
        <row r="3">
          <cell r="A3" t="str">
            <v>ナフサ</v>
          </cell>
          <cell r="B3">
            <v>2865207</v>
          </cell>
          <cell r="C3">
            <v>2998709</v>
          </cell>
          <cell r="D3">
            <v>2955255</v>
          </cell>
          <cell r="E3">
            <v>2717429</v>
          </cell>
          <cell r="F3">
            <v>2438150</v>
          </cell>
          <cell r="G3">
            <v>2809676</v>
          </cell>
          <cell r="H3">
            <v>2693758</v>
          </cell>
          <cell r="I3">
            <v>2966760</v>
          </cell>
          <cell r="J3">
            <v>3027283</v>
          </cell>
          <cell r="K3">
            <v>2843067</v>
          </cell>
          <cell r="L3">
            <v>2997378</v>
          </cell>
          <cell r="M3">
            <v>2464549</v>
          </cell>
          <cell r="N3">
            <v>2966023</v>
          </cell>
          <cell r="O3">
            <v>3017774</v>
          </cell>
          <cell r="P3">
            <v>2739455</v>
          </cell>
          <cell r="Q3">
            <v>2446469</v>
          </cell>
          <cell r="R3">
            <v>2607554</v>
          </cell>
          <cell r="S3">
            <v>2812161</v>
          </cell>
          <cell r="T3">
            <v>3092661</v>
          </cell>
        </row>
        <row r="4">
          <cell r="A4" t="str">
            <v>軽油</v>
          </cell>
          <cell r="B4">
            <v>2644525</v>
          </cell>
          <cell r="C4">
            <v>2499575</v>
          </cell>
          <cell r="D4">
            <v>2470251</v>
          </cell>
          <cell r="E4">
            <v>2595378</v>
          </cell>
          <cell r="F4">
            <v>2685680</v>
          </cell>
          <cell r="G4">
            <v>2537364</v>
          </cell>
          <cell r="H4">
            <v>2636032</v>
          </cell>
          <cell r="I4">
            <v>2648989</v>
          </cell>
          <cell r="J4">
            <v>2650462</v>
          </cell>
          <cell r="K4">
            <v>2650593</v>
          </cell>
          <cell r="L4">
            <v>2334998</v>
          </cell>
          <cell r="M4">
            <v>2424252</v>
          </cell>
          <cell r="N4">
            <v>2606885</v>
          </cell>
          <cell r="O4">
            <v>2514447</v>
          </cell>
          <cell r="P4">
            <v>2409914</v>
          </cell>
          <cell r="Q4">
            <v>2607414</v>
          </cell>
          <cell r="R4">
            <v>2754234</v>
          </cell>
          <cell r="S4">
            <v>2473574</v>
          </cell>
          <cell r="T4">
            <v>2627493</v>
          </cell>
        </row>
        <row r="5">
          <cell r="A5" t="str">
            <v>重油</v>
          </cell>
          <cell r="B5">
            <v>1500036</v>
          </cell>
          <cell r="C5">
            <v>1142527</v>
          </cell>
          <cell r="D5">
            <v>1099459</v>
          </cell>
          <cell r="E5">
            <v>1019021</v>
          </cell>
          <cell r="F5">
            <v>1010433</v>
          </cell>
          <cell r="G5">
            <v>1051992</v>
          </cell>
          <cell r="H5">
            <v>1065438</v>
          </cell>
          <cell r="I5">
            <v>1119214</v>
          </cell>
          <cell r="J5">
            <v>1302271</v>
          </cell>
          <cell r="K5">
            <v>1497729</v>
          </cell>
          <cell r="L5">
            <v>1412487</v>
          </cell>
          <cell r="M5">
            <v>1326536</v>
          </cell>
          <cell r="N5">
            <v>1250473</v>
          </cell>
          <cell r="O5">
            <v>1069288</v>
          </cell>
          <cell r="P5">
            <v>921337</v>
          </cell>
          <cell r="Q5">
            <v>1012128</v>
          </cell>
          <cell r="R5">
            <v>997259</v>
          </cell>
          <cell r="S5">
            <v>1045213</v>
          </cell>
          <cell r="T5">
            <v>1023582</v>
          </cell>
        </row>
        <row r="6">
          <cell r="A6" t="str">
            <v>灯油</v>
          </cell>
          <cell r="B6">
            <v>1589243</v>
          </cell>
          <cell r="C6">
            <v>627351</v>
          </cell>
          <cell r="D6">
            <v>356053</v>
          </cell>
          <cell r="E6">
            <v>315105</v>
          </cell>
          <cell r="F6">
            <v>293392</v>
          </cell>
          <cell r="G6">
            <v>348546</v>
          </cell>
          <cell r="H6">
            <v>375127</v>
          </cell>
          <cell r="I6">
            <v>572326</v>
          </cell>
          <cell r="J6">
            <v>1213976</v>
          </cell>
          <cell r="K6">
            <v>1806281</v>
          </cell>
          <cell r="L6">
            <v>1967359</v>
          </cell>
          <cell r="M6">
            <v>1867690</v>
          </cell>
          <cell r="N6">
            <v>1333421</v>
          </cell>
          <cell r="O6">
            <v>663019</v>
          </cell>
          <cell r="P6">
            <v>324805</v>
          </cell>
          <cell r="Q6">
            <v>358006</v>
          </cell>
          <cell r="R6">
            <v>253305</v>
          </cell>
          <cell r="S6">
            <v>317397</v>
          </cell>
          <cell r="T6">
            <v>395160</v>
          </cell>
        </row>
        <row r="7">
          <cell r="A7" t="str">
            <v>ジェット</v>
          </cell>
          <cell r="B7">
            <v>361925</v>
          </cell>
          <cell r="C7">
            <v>361059</v>
          </cell>
          <cell r="D7">
            <v>368649</v>
          </cell>
          <cell r="E7">
            <v>384234</v>
          </cell>
          <cell r="F7">
            <v>349439</v>
          </cell>
          <cell r="G7">
            <v>357484</v>
          </cell>
          <cell r="H7">
            <v>357167</v>
          </cell>
          <cell r="I7">
            <v>351764</v>
          </cell>
          <cell r="J7">
            <v>340602</v>
          </cell>
          <cell r="K7">
            <v>345420</v>
          </cell>
          <cell r="L7">
            <v>361667</v>
          </cell>
          <cell r="M7">
            <v>318110</v>
          </cell>
          <cell r="N7">
            <v>341855</v>
          </cell>
          <cell r="O7">
            <v>328585</v>
          </cell>
          <cell r="P7">
            <v>419912</v>
          </cell>
          <cell r="Q7">
            <v>378871</v>
          </cell>
          <cell r="R7">
            <v>283022</v>
          </cell>
          <cell r="S7">
            <v>371749</v>
          </cell>
          <cell r="T7">
            <v>329071</v>
          </cell>
        </row>
        <row r="8">
          <cell r="A8" t="str">
            <v>コロナ陽性者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8AEB2-689E-4969-867D-6DA671F76319}">
  <sheetPr codeName="Sheet2"/>
  <dimension ref="A1:S20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0" sqref="M20"/>
    </sheetView>
  </sheetViews>
  <sheetFormatPr defaultColWidth="8.58203125" defaultRowHeight="15" outlineLevelRow="1" x14ac:dyDescent="0.55000000000000004"/>
  <cols>
    <col min="1" max="1" width="23.25" style="3" customWidth="1"/>
    <col min="2" max="3" width="12.08203125" style="3" customWidth="1"/>
    <col min="4" max="5" width="12.4140625" style="3" customWidth="1"/>
    <col min="6" max="6" width="12.08203125" style="3" customWidth="1"/>
    <col min="7" max="7" width="12.75" style="3" customWidth="1"/>
    <col min="8" max="8" width="12.33203125" style="3" customWidth="1"/>
    <col min="9" max="9" width="12.25" style="3" customWidth="1"/>
    <col min="10" max="11" width="12.33203125" style="3" customWidth="1"/>
    <col min="12" max="12" width="12.25" style="3" customWidth="1"/>
    <col min="13" max="13" width="12.33203125" style="3" customWidth="1"/>
    <col min="14" max="14" width="12.08203125" style="3" customWidth="1"/>
    <col min="15" max="15" width="11.75" style="3" customWidth="1"/>
    <col min="16" max="18" width="12.25" style="3" customWidth="1"/>
    <col min="19" max="19" width="12.25" style="3" bestFit="1" customWidth="1"/>
    <col min="20" max="21" width="12.08203125" style="3" bestFit="1" customWidth="1"/>
    <col min="22" max="196" width="10.58203125" style="3" customWidth="1"/>
    <col min="197" max="16384" width="8.58203125" style="3"/>
  </cols>
  <sheetData>
    <row r="1" spans="1:19" x14ac:dyDescent="0.55000000000000004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0</v>
      </c>
      <c r="O1" s="2" t="s">
        <v>1</v>
      </c>
      <c r="P1" s="2" t="s">
        <v>2</v>
      </c>
      <c r="Q1" s="2" t="s">
        <v>3</v>
      </c>
      <c r="R1" s="2" t="s">
        <v>4</v>
      </c>
      <c r="S1" s="2" t="s">
        <v>5</v>
      </c>
    </row>
    <row r="2" spans="1:19" outlineLevel="1" x14ac:dyDescent="0.55000000000000004">
      <c r="A2" s="2" t="s">
        <v>12</v>
      </c>
      <c r="B2" s="4">
        <v>3469698</v>
      </c>
      <c r="C2" s="4">
        <v>3503148</v>
      </c>
      <c r="D2" s="4">
        <v>3511426</v>
      </c>
      <c r="E2" s="4">
        <v>3930438</v>
      </c>
      <c r="F2" s="4">
        <v>4286468</v>
      </c>
      <c r="G2" s="4">
        <v>3723707</v>
      </c>
      <c r="H2" s="4">
        <v>3627887</v>
      </c>
      <c r="I2" s="4">
        <v>3557863</v>
      </c>
      <c r="J2" s="4">
        <v>3815932</v>
      </c>
      <c r="K2" s="4">
        <v>3351719</v>
      </c>
      <c r="L2" s="4">
        <v>3261295</v>
      </c>
      <c r="M2" s="4">
        <v>3587699</v>
      </c>
      <c r="N2" s="4">
        <v>3397463</v>
      </c>
      <c r="O2" s="4">
        <v>3481977</v>
      </c>
      <c r="P2" s="4">
        <v>3622297</v>
      </c>
      <c r="Q2" s="4">
        <v>4032270</v>
      </c>
      <c r="R2" s="4">
        <v>4163684</v>
      </c>
      <c r="S2" s="4">
        <v>3760902</v>
      </c>
    </row>
    <row r="3" spans="1:19" outlineLevel="1" x14ac:dyDescent="0.55000000000000004">
      <c r="A3" s="2" t="s">
        <v>13</v>
      </c>
      <c r="B3" s="4">
        <v>2998709</v>
      </c>
      <c r="C3" s="4">
        <v>2955255</v>
      </c>
      <c r="D3" s="4">
        <v>2717429</v>
      </c>
      <c r="E3" s="4">
        <v>2438150</v>
      </c>
      <c r="F3" s="4">
        <v>2809676</v>
      </c>
      <c r="G3" s="4">
        <v>2693758</v>
      </c>
      <c r="H3" s="4">
        <v>2966760</v>
      </c>
      <c r="I3" s="4">
        <v>3027283</v>
      </c>
      <c r="J3" s="4">
        <v>2843067</v>
      </c>
      <c r="K3" s="4">
        <v>2997378</v>
      </c>
      <c r="L3" s="4">
        <v>2464549</v>
      </c>
      <c r="M3" s="4">
        <v>2966023</v>
      </c>
      <c r="N3" s="4">
        <v>3017774</v>
      </c>
      <c r="O3" s="4">
        <v>2739455</v>
      </c>
      <c r="P3" s="4">
        <v>2446469</v>
      </c>
      <c r="Q3" s="4">
        <v>2607554</v>
      </c>
      <c r="R3" s="4">
        <v>2812161</v>
      </c>
      <c r="S3" s="4">
        <v>3092661</v>
      </c>
    </row>
    <row r="4" spans="1:19" outlineLevel="1" x14ac:dyDescent="0.55000000000000004">
      <c r="A4" s="2" t="s">
        <v>14</v>
      </c>
      <c r="B4" s="4">
        <v>2499575</v>
      </c>
      <c r="C4" s="4">
        <v>2470251</v>
      </c>
      <c r="D4" s="4">
        <v>2595378</v>
      </c>
      <c r="E4" s="4">
        <v>2685680</v>
      </c>
      <c r="F4" s="4">
        <v>2537364</v>
      </c>
      <c r="G4" s="4">
        <v>2636032</v>
      </c>
      <c r="H4" s="4">
        <v>2648989</v>
      </c>
      <c r="I4" s="4">
        <v>2650462</v>
      </c>
      <c r="J4" s="4">
        <v>2650593</v>
      </c>
      <c r="K4" s="4">
        <v>2334998</v>
      </c>
      <c r="L4" s="4">
        <v>2424252</v>
      </c>
      <c r="M4" s="4">
        <v>2606885</v>
      </c>
      <c r="N4" s="4">
        <v>2514447</v>
      </c>
      <c r="O4" s="4">
        <v>2409914</v>
      </c>
      <c r="P4" s="4">
        <v>2607414</v>
      </c>
      <c r="Q4" s="4">
        <v>2754234</v>
      </c>
      <c r="R4" s="4">
        <v>2473574</v>
      </c>
      <c r="S4" s="4">
        <v>2627493</v>
      </c>
    </row>
    <row r="5" spans="1:19" outlineLevel="1" x14ac:dyDescent="0.55000000000000004">
      <c r="A5" s="2" t="s">
        <v>15</v>
      </c>
      <c r="B5" s="4">
        <v>1142527</v>
      </c>
      <c r="C5" s="4">
        <v>1099459</v>
      </c>
      <c r="D5" s="4">
        <v>1019021</v>
      </c>
      <c r="E5" s="4">
        <v>1010433</v>
      </c>
      <c r="F5" s="4">
        <v>1051992</v>
      </c>
      <c r="G5" s="4">
        <v>1065438</v>
      </c>
      <c r="H5" s="4">
        <v>1119214</v>
      </c>
      <c r="I5" s="4">
        <v>1302271</v>
      </c>
      <c r="J5" s="4">
        <v>1497729</v>
      </c>
      <c r="K5" s="4">
        <v>1412487</v>
      </c>
      <c r="L5" s="4">
        <v>1326536</v>
      </c>
      <c r="M5" s="4">
        <v>1250473</v>
      </c>
      <c r="N5" s="4">
        <v>1069288</v>
      </c>
      <c r="O5" s="4">
        <v>921337</v>
      </c>
      <c r="P5" s="4">
        <v>1012128</v>
      </c>
      <c r="Q5" s="4">
        <v>997259</v>
      </c>
      <c r="R5" s="4">
        <v>1045213</v>
      </c>
      <c r="S5" s="4">
        <v>1023582</v>
      </c>
    </row>
    <row r="6" spans="1:19" outlineLevel="1" x14ac:dyDescent="0.55000000000000004">
      <c r="A6" s="2" t="s">
        <v>16</v>
      </c>
      <c r="B6" s="4">
        <v>627351</v>
      </c>
      <c r="C6" s="4">
        <v>356053</v>
      </c>
      <c r="D6" s="4">
        <v>315105</v>
      </c>
      <c r="E6" s="4">
        <v>293392</v>
      </c>
      <c r="F6" s="4">
        <v>348546</v>
      </c>
      <c r="G6" s="4">
        <v>375127</v>
      </c>
      <c r="H6" s="4">
        <v>572326</v>
      </c>
      <c r="I6" s="4">
        <v>1213976</v>
      </c>
      <c r="J6" s="4">
        <v>1806281</v>
      </c>
      <c r="K6" s="4">
        <v>1967359</v>
      </c>
      <c r="L6" s="4">
        <v>1867690</v>
      </c>
      <c r="M6" s="4">
        <v>1333421</v>
      </c>
      <c r="N6" s="4">
        <v>663019</v>
      </c>
      <c r="O6" s="4">
        <v>324805</v>
      </c>
      <c r="P6" s="4">
        <v>358006</v>
      </c>
      <c r="Q6" s="4">
        <v>253305</v>
      </c>
      <c r="R6" s="4">
        <v>317397</v>
      </c>
      <c r="S6" s="4">
        <v>395160</v>
      </c>
    </row>
    <row r="7" spans="1:19" outlineLevel="1" x14ac:dyDescent="0.55000000000000004">
      <c r="A7" s="2" t="s">
        <v>17</v>
      </c>
      <c r="B7" s="4">
        <v>361059</v>
      </c>
      <c r="C7" s="4">
        <v>368649</v>
      </c>
      <c r="D7" s="4">
        <v>384234</v>
      </c>
      <c r="E7" s="4">
        <v>349439</v>
      </c>
      <c r="F7" s="4">
        <v>357484</v>
      </c>
      <c r="G7" s="4">
        <v>357167</v>
      </c>
      <c r="H7" s="4">
        <v>351764</v>
      </c>
      <c r="I7" s="4">
        <v>340602</v>
      </c>
      <c r="J7" s="4">
        <v>345420</v>
      </c>
      <c r="K7" s="4">
        <v>361667</v>
      </c>
      <c r="L7" s="4">
        <v>318110</v>
      </c>
      <c r="M7" s="4">
        <v>341855</v>
      </c>
      <c r="N7" s="4">
        <v>328585</v>
      </c>
      <c r="O7" s="4">
        <v>419912</v>
      </c>
      <c r="P7" s="4">
        <v>378871</v>
      </c>
      <c r="Q7" s="4">
        <v>283022</v>
      </c>
      <c r="R7" s="4">
        <v>371749</v>
      </c>
      <c r="S7" s="4">
        <v>329071</v>
      </c>
    </row>
    <row r="8" spans="1:19" outlineLevel="1" x14ac:dyDescent="0.55000000000000004">
      <c r="A8" s="2" t="s">
        <v>18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s="6" customFormat="1" outlineLevel="1" x14ac:dyDescent="0.55000000000000004">
      <c r="A9" s="5" t="s">
        <v>19</v>
      </c>
      <c r="B9" s="4">
        <f t="shared" ref="B9" si="0">SUM(B2:B7)</f>
        <v>11098919</v>
      </c>
      <c r="C9" s="4">
        <f t="shared" ref="C9:S9" si="1">SUM(C2:C7)</f>
        <v>10752815</v>
      </c>
      <c r="D9" s="4">
        <f t="shared" si="1"/>
        <v>10542593</v>
      </c>
      <c r="E9" s="4">
        <f t="shared" si="1"/>
        <v>10707532</v>
      </c>
      <c r="F9" s="4">
        <f t="shared" si="1"/>
        <v>11391530</v>
      </c>
      <c r="G9" s="4">
        <f t="shared" si="1"/>
        <v>10851229</v>
      </c>
      <c r="H9" s="4">
        <f t="shared" si="1"/>
        <v>11286940</v>
      </c>
      <c r="I9" s="4">
        <f t="shared" si="1"/>
        <v>12092457</v>
      </c>
      <c r="J9" s="4">
        <f t="shared" si="1"/>
        <v>12959022</v>
      </c>
      <c r="K9" s="4">
        <f t="shared" si="1"/>
        <v>12425608</v>
      </c>
      <c r="L9" s="4">
        <f t="shared" si="1"/>
        <v>11662432</v>
      </c>
      <c r="M9" s="4">
        <f t="shared" si="1"/>
        <v>12086356</v>
      </c>
      <c r="N9" s="4">
        <f t="shared" si="1"/>
        <v>10990576</v>
      </c>
      <c r="O9" s="4">
        <f t="shared" si="1"/>
        <v>10297400</v>
      </c>
      <c r="P9" s="4">
        <f t="shared" si="1"/>
        <v>10425185</v>
      </c>
      <c r="Q9" s="4">
        <f t="shared" si="1"/>
        <v>10927644</v>
      </c>
      <c r="R9" s="4">
        <f t="shared" si="1"/>
        <v>11183778</v>
      </c>
      <c r="S9" s="4">
        <f t="shared" si="1"/>
        <v>11228869</v>
      </c>
    </row>
    <row r="10" spans="1:19" x14ac:dyDescent="0.55000000000000004">
      <c r="A10" s="5" t="s">
        <v>20</v>
      </c>
      <c r="B10" s="7"/>
      <c r="C10" s="7">
        <f t="shared" ref="C10:S10" si="2">(C9-B9)/B9</f>
        <v>-3.1183577427675614E-2</v>
      </c>
      <c r="D10" s="7">
        <f t="shared" si="2"/>
        <v>-1.9550415402850324E-2</v>
      </c>
      <c r="E10" s="7">
        <f t="shared" si="2"/>
        <v>1.5645012569488359E-2</v>
      </c>
      <c r="F10" s="7">
        <f t="shared" si="2"/>
        <v>6.3880079928782849E-2</v>
      </c>
      <c r="G10" s="7">
        <f t="shared" si="2"/>
        <v>-4.7430064267047538E-2</v>
      </c>
      <c r="H10" s="7">
        <f t="shared" si="2"/>
        <v>4.0153147629637162E-2</v>
      </c>
      <c r="I10" s="7">
        <f t="shared" si="2"/>
        <v>7.1367173033612299E-2</v>
      </c>
      <c r="J10" s="7">
        <f t="shared" si="2"/>
        <v>7.1661615170514975E-2</v>
      </c>
      <c r="K10" s="7">
        <f t="shared" si="2"/>
        <v>-4.1161593830151687E-2</v>
      </c>
      <c r="L10" s="7">
        <f t="shared" si="2"/>
        <v>-6.1419610211427882E-2</v>
      </c>
      <c r="M10" s="7">
        <f t="shared" si="2"/>
        <v>3.6349536700406915E-2</v>
      </c>
      <c r="N10" s="7">
        <f t="shared" si="2"/>
        <v>-9.0662561983115508E-2</v>
      </c>
      <c r="O10" s="7">
        <f t="shared" si="2"/>
        <v>-6.3070033818063767E-2</v>
      </c>
      <c r="P10" s="7">
        <f t="shared" si="2"/>
        <v>1.2409443160409424E-2</v>
      </c>
      <c r="Q10" s="7">
        <f t="shared" si="2"/>
        <v>4.8196650706917914E-2</v>
      </c>
      <c r="R10" s="7">
        <f t="shared" si="2"/>
        <v>2.3439087144493359E-2</v>
      </c>
      <c r="S10" s="7">
        <f t="shared" si="2"/>
        <v>4.0318218047604307E-3</v>
      </c>
    </row>
    <row r="11" spans="1:19" x14ac:dyDescent="0.55000000000000004">
      <c r="A11" s="3" t="s">
        <v>21</v>
      </c>
      <c r="B11" s="8"/>
      <c r="C11" s="8">
        <f t="shared" ref="C11:S16" si="3">(C2-B2)/B2</f>
        <v>9.6406084909983515E-3</v>
      </c>
      <c r="D11" s="8">
        <f t="shared" si="3"/>
        <v>2.3630174916960405E-3</v>
      </c>
      <c r="E11" s="8">
        <f t="shared" si="3"/>
        <v>0.11932815898726044</v>
      </c>
      <c r="F11" s="8">
        <f t="shared" si="3"/>
        <v>9.0582779832680219E-2</v>
      </c>
      <c r="G11" s="8">
        <f t="shared" si="3"/>
        <v>-0.13128781085033178</v>
      </c>
      <c r="H11" s="8">
        <f t="shared" si="3"/>
        <v>-2.5732422019240503E-2</v>
      </c>
      <c r="I11" s="8">
        <f t="shared" si="3"/>
        <v>-1.9301593461979384E-2</v>
      </c>
      <c r="J11" s="8">
        <f t="shared" si="3"/>
        <v>7.2534833409830565E-2</v>
      </c>
      <c r="K11" s="8">
        <f t="shared" si="3"/>
        <v>-0.12165127680472293</v>
      </c>
      <c r="L11" s="8">
        <f t="shared" si="3"/>
        <v>-2.6978395265235541E-2</v>
      </c>
      <c r="M11" s="8">
        <f t="shared" si="3"/>
        <v>0.10008416901874868</v>
      </c>
      <c r="N11" s="8">
        <f t="shared" si="3"/>
        <v>-5.3024515155814356E-2</v>
      </c>
      <c r="O11" s="8">
        <f t="shared" si="3"/>
        <v>2.4875620426182712E-2</v>
      </c>
      <c r="P11" s="8">
        <f t="shared" si="3"/>
        <v>4.0298945110780457E-2</v>
      </c>
      <c r="Q11" s="8">
        <f t="shared" si="3"/>
        <v>0.1131803935458633</v>
      </c>
      <c r="R11" s="8">
        <f t="shared" si="3"/>
        <v>3.2590575531896426E-2</v>
      </c>
      <c r="S11" s="8">
        <f t="shared" si="3"/>
        <v>-9.6736928162655958E-2</v>
      </c>
    </row>
    <row r="12" spans="1:19" x14ac:dyDescent="0.55000000000000004">
      <c r="A12" s="3" t="s">
        <v>22</v>
      </c>
      <c r="B12" s="8"/>
      <c r="C12" s="8">
        <f t="shared" si="3"/>
        <v>-1.4490902585079112E-2</v>
      </c>
      <c r="D12" s="8">
        <f t="shared" si="3"/>
        <v>-8.0475627314732567E-2</v>
      </c>
      <c r="E12" s="8">
        <f t="shared" si="3"/>
        <v>-0.10277324632952692</v>
      </c>
      <c r="F12" s="8">
        <f t="shared" si="3"/>
        <v>0.1523802883333675</v>
      </c>
      <c r="G12" s="8">
        <f t="shared" si="3"/>
        <v>-4.125671429730688E-2</v>
      </c>
      <c r="H12" s="8">
        <f t="shared" si="3"/>
        <v>0.10134614913440629</v>
      </c>
      <c r="I12" s="8">
        <f t="shared" si="3"/>
        <v>2.0400369426579839E-2</v>
      </c>
      <c r="J12" s="8">
        <f t="shared" si="3"/>
        <v>-6.0851925637609695E-2</v>
      </c>
      <c r="K12" s="8">
        <f t="shared" si="3"/>
        <v>5.4276244632996691E-2</v>
      </c>
      <c r="L12" s="8">
        <f t="shared" si="3"/>
        <v>-0.17776503330577592</v>
      </c>
      <c r="M12" s="8">
        <f t="shared" si="3"/>
        <v>0.20347495626988954</v>
      </c>
      <c r="N12" s="8">
        <f t="shared" si="3"/>
        <v>1.744794291885127E-2</v>
      </c>
      <c r="O12" s="8">
        <f t="shared" si="3"/>
        <v>-9.2226588207069179E-2</v>
      </c>
      <c r="P12" s="8">
        <f t="shared" si="3"/>
        <v>-0.1069504700752522</v>
      </c>
      <c r="Q12" s="8">
        <f t="shared" si="3"/>
        <v>6.5843875397562771E-2</v>
      </c>
      <c r="R12" s="8">
        <f t="shared" si="3"/>
        <v>7.8467023118217308E-2</v>
      </c>
      <c r="S12" s="8">
        <f t="shared" si="3"/>
        <v>9.9745355973573355E-2</v>
      </c>
    </row>
    <row r="13" spans="1:19" x14ac:dyDescent="0.55000000000000004">
      <c r="A13" s="3" t="s">
        <v>23</v>
      </c>
      <c r="B13" s="8"/>
      <c r="C13" s="8">
        <f t="shared" si="3"/>
        <v>-1.1731594371043078E-2</v>
      </c>
      <c r="D13" s="8">
        <f t="shared" si="3"/>
        <v>5.0653557067682597E-2</v>
      </c>
      <c r="E13" s="8">
        <f t="shared" si="3"/>
        <v>3.4793390404018222E-2</v>
      </c>
      <c r="F13" s="8">
        <f t="shared" si="3"/>
        <v>-5.5224747549968721E-2</v>
      </c>
      <c r="G13" s="8">
        <f t="shared" si="3"/>
        <v>3.8886025024395393E-2</v>
      </c>
      <c r="H13" s="8">
        <f t="shared" si="3"/>
        <v>4.9153424541128485E-3</v>
      </c>
      <c r="I13" s="8">
        <f t="shared" si="3"/>
        <v>5.5606119919712771E-4</v>
      </c>
      <c r="J13" s="8">
        <f t="shared" si="3"/>
        <v>4.9425345468073116E-5</v>
      </c>
      <c r="K13" s="8">
        <f t="shared" si="3"/>
        <v>-0.11906580904725848</v>
      </c>
      <c r="L13" s="8">
        <f t="shared" si="3"/>
        <v>3.8224443875326662E-2</v>
      </c>
      <c r="M13" s="8">
        <f t="shared" si="3"/>
        <v>7.5335814923531058E-2</v>
      </c>
      <c r="N13" s="8">
        <f t="shared" si="3"/>
        <v>-3.5459178291332376E-2</v>
      </c>
      <c r="O13" s="8">
        <f t="shared" si="3"/>
        <v>-4.1572958189216157E-2</v>
      </c>
      <c r="P13" s="8">
        <f t="shared" si="3"/>
        <v>8.1953131937488224E-2</v>
      </c>
      <c r="Q13" s="8">
        <f t="shared" si="3"/>
        <v>5.6308664446842731E-2</v>
      </c>
      <c r="R13" s="8">
        <f t="shared" si="3"/>
        <v>-0.10190129088523342</v>
      </c>
      <c r="S13" s="8">
        <f t="shared" si="3"/>
        <v>6.2225346805876838E-2</v>
      </c>
    </row>
    <row r="14" spans="1:19" x14ac:dyDescent="0.55000000000000004">
      <c r="A14" s="3" t="s">
        <v>24</v>
      </c>
      <c r="B14" s="8"/>
      <c r="C14" s="8">
        <f t="shared" si="3"/>
        <v>-3.7695389255571206E-2</v>
      </c>
      <c r="D14" s="8">
        <f t="shared" si="3"/>
        <v>-7.3161436670216892E-2</v>
      </c>
      <c r="E14" s="8">
        <f t="shared" si="3"/>
        <v>-8.4276967795560639E-3</v>
      </c>
      <c r="F14" s="8">
        <f t="shared" si="3"/>
        <v>4.1129891838449457E-2</v>
      </c>
      <c r="G14" s="8">
        <f t="shared" si="3"/>
        <v>1.2781466018752994E-2</v>
      </c>
      <c r="H14" s="8">
        <f t="shared" si="3"/>
        <v>5.0473138746693846E-2</v>
      </c>
      <c r="I14" s="8">
        <f t="shared" si="3"/>
        <v>0.16355853304193835</v>
      </c>
      <c r="J14" s="8">
        <f t="shared" si="3"/>
        <v>0.1500901118123647</v>
      </c>
      <c r="K14" s="8">
        <f t="shared" si="3"/>
        <v>-5.691416805042835E-2</v>
      </c>
      <c r="L14" s="8">
        <f t="shared" si="3"/>
        <v>-6.0850825529721687E-2</v>
      </c>
      <c r="M14" s="8">
        <f t="shared" si="3"/>
        <v>-5.7339567113142802E-2</v>
      </c>
      <c r="N14" s="8">
        <f t="shared" si="3"/>
        <v>-0.14489317242355493</v>
      </c>
      <c r="O14" s="8">
        <f t="shared" si="3"/>
        <v>-0.13836403288917484</v>
      </c>
      <c r="P14" s="8">
        <f t="shared" si="3"/>
        <v>9.8542661371463433E-2</v>
      </c>
      <c r="Q14" s="8">
        <f t="shared" si="3"/>
        <v>-1.4690829618388189E-2</v>
      </c>
      <c r="R14" s="8">
        <f t="shared" si="3"/>
        <v>4.8085803186534291E-2</v>
      </c>
      <c r="S14" s="8">
        <f t="shared" si="3"/>
        <v>-2.0695303253977896E-2</v>
      </c>
    </row>
    <row r="15" spans="1:19" x14ac:dyDescent="0.55000000000000004">
      <c r="A15" s="3" t="s">
        <v>25</v>
      </c>
      <c r="B15" s="8"/>
      <c r="C15" s="8">
        <f t="shared" si="3"/>
        <v>-0.43245009571993986</v>
      </c>
      <c r="D15" s="8">
        <f t="shared" si="3"/>
        <v>-0.11500535032705805</v>
      </c>
      <c r="E15" s="8">
        <f t="shared" si="3"/>
        <v>-6.8907189666936416E-2</v>
      </c>
      <c r="F15" s="8">
        <f t="shared" si="3"/>
        <v>0.18798740251949611</v>
      </c>
      <c r="G15" s="8">
        <f t="shared" si="3"/>
        <v>7.6262530627234287E-2</v>
      </c>
      <c r="H15" s="8">
        <f t="shared" si="3"/>
        <v>0.52568596768561049</v>
      </c>
      <c r="I15" s="8">
        <f t="shared" si="3"/>
        <v>1.1211267704070758</v>
      </c>
      <c r="J15" s="8">
        <f t="shared" si="3"/>
        <v>0.48790503271893348</v>
      </c>
      <c r="K15" s="8">
        <f t="shared" si="3"/>
        <v>8.9176600982903545E-2</v>
      </c>
      <c r="L15" s="8">
        <f t="shared" si="3"/>
        <v>-5.0661318041089601E-2</v>
      </c>
      <c r="M15" s="8">
        <f t="shared" si="3"/>
        <v>-0.28605871424058599</v>
      </c>
      <c r="N15" s="8">
        <f t="shared" si="3"/>
        <v>-0.50276844297487444</v>
      </c>
      <c r="O15" s="8">
        <f t="shared" si="3"/>
        <v>-0.51011207823606863</v>
      </c>
      <c r="P15" s="8">
        <f t="shared" si="3"/>
        <v>0.10221825402934068</v>
      </c>
      <c r="Q15" s="8">
        <f t="shared" si="3"/>
        <v>-0.29245599235767</v>
      </c>
      <c r="R15" s="8">
        <f t="shared" si="3"/>
        <v>0.25302303547107241</v>
      </c>
      <c r="S15" s="8">
        <f t="shared" si="3"/>
        <v>0.24500231571186873</v>
      </c>
    </row>
    <row r="16" spans="1:19" x14ac:dyDescent="0.55000000000000004">
      <c r="A16" s="3" t="s">
        <v>26</v>
      </c>
      <c r="B16" s="8"/>
      <c r="C16" s="8">
        <f t="shared" si="3"/>
        <v>2.1021495101908552E-2</v>
      </c>
      <c r="D16" s="8">
        <f t="shared" si="3"/>
        <v>4.2275986100599759E-2</v>
      </c>
      <c r="E16" s="8">
        <f t="shared" si="3"/>
        <v>-9.0556796119031627E-2</v>
      </c>
      <c r="F16" s="8">
        <f t="shared" si="3"/>
        <v>2.3022616250618848E-2</v>
      </c>
      <c r="G16" s="8">
        <f t="shared" si="3"/>
        <v>-8.8675297355965584E-4</v>
      </c>
      <c r="H16" s="8">
        <f t="shared" si="3"/>
        <v>-1.5127377389288484E-2</v>
      </c>
      <c r="I16" s="8">
        <f t="shared" si="3"/>
        <v>-3.1731501802344755E-2</v>
      </c>
      <c r="J16" s="8">
        <f t="shared" si="3"/>
        <v>1.41455423045079E-2</v>
      </c>
      <c r="K16" s="8">
        <f t="shared" si="3"/>
        <v>4.7035493022986506E-2</v>
      </c>
      <c r="L16" s="8">
        <f t="shared" si="3"/>
        <v>-0.120433990383419</v>
      </c>
      <c r="M16" s="8">
        <f t="shared" si="3"/>
        <v>7.4643991072270599E-2</v>
      </c>
      <c r="N16" s="8">
        <f t="shared" si="3"/>
        <v>-3.8817627356627811E-2</v>
      </c>
      <c r="O16" s="8">
        <f t="shared" si="3"/>
        <v>0.27794025898930264</v>
      </c>
      <c r="P16" s="8">
        <f t="shared" si="3"/>
        <v>-9.7737144925603453E-2</v>
      </c>
      <c r="Q16" s="8">
        <f t="shared" si="3"/>
        <v>-0.2529858447862201</v>
      </c>
      <c r="R16" s="8">
        <f t="shared" si="3"/>
        <v>0.31349859728219009</v>
      </c>
      <c r="S16" s="8">
        <f t="shared" si="3"/>
        <v>-0.1148032677962819</v>
      </c>
    </row>
    <row r="20" spans="2:18" ht="30" x14ac:dyDescent="0.55000000000000004">
      <c r="B20" s="9" t="s">
        <v>27</v>
      </c>
      <c r="P20" s="9" t="s">
        <v>28</v>
      </c>
      <c r="Q20" s="9"/>
      <c r="R20" s="9"/>
    </row>
  </sheetData>
  <phoneticPr fontId="4"/>
  <pageMargins left="0.7" right="0.7" top="0.75" bottom="0.75" header="0.3" footer="0.3"/>
  <pageSetup paperSize="9" orientation="portrait" r:id="rId1"/>
  <drawing r:id="rId2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【グラフ】①②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2026-01-14T00:50:30Z</dcterms:created>
  <dcterms:modified xsi:type="dcterms:W3CDTF">2026-01-14T04:13:13Z</dcterms:modified>
</cp:coreProperties>
</file>