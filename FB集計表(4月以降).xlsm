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2_生麦X/GL/サポートグループ/件数集約/"/>
    </mc:Choice>
  </mc:AlternateContent>
  <xr:revisionPtr revIDLastSave="1870" documentId="8_{6F6796C2-B0DA-4DD4-875D-577D239D96BE}" xr6:coauthVersionLast="47" xr6:coauthVersionMax="47" xr10:uidLastSave="{CC54858B-B5EE-4C53-83BE-8B3DA8D2C118}"/>
  <bookViews>
    <workbookView xWindow="-110" yWindow="-110" windowWidth="19420" windowHeight="11500" firstSheet="8" activeTab="8" xr2:uid="{D8E8A822-7503-479D-B296-CC1438AF0B41}"/>
  </bookViews>
  <sheets>
    <sheet name="myTe" sheetId="12" r:id="rId1"/>
    <sheet name="myTE 累積棒グラフ" sheetId="19" r:id="rId2"/>
    <sheet name="myTE 累積棒グラフold" sheetId="40" r:id="rId3"/>
    <sheet name="myTE　グラフテスト" sheetId="35" r:id="rId4"/>
    <sheet name="I&amp;D" sheetId="23" r:id="rId5"/>
    <sheet name="I&amp;D 累積棒グラフ" sheetId="37" r:id="rId6"/>
    <sheet name="I&amp;D 累積棒グラフold" sheetId="21" r:id="rId7"/>
    <sheet name="人事異動・組織改編" sheetId="18" r:id="rId8"/>
    <sheet name="人事異動累積棒グラフ" sheetId="39" r:id="rId9"/>
    <sheet name="人事異動・組織改編累積件数グラフold" sheetId="26" r:id="rId10"/>
    <sheet name="サーバールーム" sheetId="28" r:id="rId11"/>
    <sheet name="サーバールーム累積件数グラフ" sheetId="29" r:id="rId12"/>
    <sheet name="Jpit月次基盤" sheetId="30" r:id="rId13"/>
    <sheet name="Jpit月次基盤累積件数グラフ" sheetId="31" r:id="rId14"/>
    <sheet name="集計方法" sheetId="13" r:id="rId15"/>
    <sheet name="作業用 (myTE集計用)" sheetId="34" r:id="rId16"/>
    <sheet name="作業用 (I&amp;D集計用)" sheetId="36" r:id="rId17"/>
    <sheet name="作業用 (人事異動集計用)" sheetId="38" r:id="rId18"/>
    <sheet name="服部案 (myTE202401-202403)" sheetId="9" r:id="rId19"/>
    <sheet name="服部案 (myTE02309-202312)" sheetId="16" r:id="rId20"/>
    <sheet name="I&amp;D 202401-202403" sheetId="22" r:id="rId21"/>
    <sheet name="I&amp;D202309-202312 " sheetId="20" r:id="rId22"/>
    <sheet name="人事異動 202404-" sheetId="33" r:id="rId23"/>
    <sheet name="人事異動 202401-202402" sheetId="25" r:id="rId24"/>
    <sheet name="人事異動FB率 202401-202402" sheetId="27" r:id="rId25"/>
    <sheet name="大竹案 (2)" sheetId="41" r:id="rId26"/>
    <sheet name="服部案" sheetId="8" r:id="rId27"/>
    <sheet name="服部案(FB推移グラフ)" sheetId="14" r:id="rId28"/>
    <sheet name="人事異動・組織改編累FB率グラフ" sheetId="24" r:id="rId29"/>
    <sheet name="メンバー" sheetId="32" r:id="rId30"/>
  </sheets>
  <definedNames>
    <definedName name="_xlnm._FilterDatabase" localSheetId="4" hidden="1">'I&amp;D'!$C$3:$E$69</definedName>
    <definedName name="_xlnm._FilterDatabase" localSheetId="12" hidden="1">Jpit月次基盤!$B$3:$E$57</definedName>
    <definedName name="_xlnm._FilterDatabase" localSheetId="0" hidden="1">myTe!$C$3:$E$48</definedName>
    <definedName name="_xlnm._FilterDatabase" localSheetId="10" hidden="1">サーバールーム!$B$3:$E$57</definedName>
    <definedName name="_xlnm._FilterDatabase" localSheetId="7" hidden="1">人事異動・組織改編!$B$3:$D$114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38" l="1"/>
  <c r="J18" i="38"/>
  <c r="J17" i="38"/>
  <c r="J16" i="38"/>
  <c r="I19" i="38"/>
  <c r="I18" i="38"/>
  <c r="I17" i="38"/>
  <c r="I16" i="38"/>
  <c r="G107" i="18" l="1"/>
  <c r="I107" i="18" s="1"/>
  <c r="G108" i="18"/>
  <c r="I108" i="18"/>
  <c r="G109" i="18"/>
  <c r="I109" i="18" s="1"/>
  <c r="G110" i="18"/>
  <c r="I110" i="18" s="1"/>
  <c r="G111" i="18"/>
  <c r="I111" i="18" s="1"/>
  <c r="G112" i="18"/>
  <c r="I112" i="18" s="1"/>
  <c r="G113" i="18"/>
  <c r="I113" i="18" s="1"/>
  <c r="G114" i="18"/>
  <c r="I114" i="18" s="1"/>
  <c r="J15" i="38" l="1"/>
  <c r="I15" i="38"/>
  <c r="H19" i="38"/>
  <c r="H18" i="38"/>
  <c r="H17" i="38"/>
  <c r="H16" i="38"/>
  <c r="H15" i="38"/>
  <c r="G19" i="38"/>
  <c r="G18" i="38"/>
  <c r="G17" i="38"/>
  <c r="G16" i="38"/>
  <c r="G15" i="38"/>
  <c r="F19" i="38"/>
  <c r="F18" i="38"/>
  <c r="F17" i="38"/>
  <c r="F16" i="38"/>
  <c r="F15" i="38"/>
  <c r="E19" i="38"/>
  <c r="E18" i="38"/>
  <c r="E17" i="38"/>
  <c r="E16" i="38"/>
  <c r="E15" i="38"/>
  <c r="D19" i="38"/>
  <c r="D18" i="38"/>
  <c r="D17" i="38"/>
  <c r="D16" i="38"/>
  <c r="D15" i="38"/>
  <c r="C19" i="38"/>
  <c r="C18" i="38"/>
  <c r="C17" i="38"/>
  <c r="C16" i="38"/>
  <c r="C15" i="38"/>
  <c r="B19" i="38"/>
  <c r="B18" i="38"/>
  <c r="B17" i="38"/>
  <c r="B16" i="38"/>
  <c r="B15" i="38"/>
  <c r="H19" i="36" l="1"/>
  <c r="G19" i="36"/>
  <c r="F19" i="36"/>
  <c r="E19" i="36"/>
  <c r="D19" i="36"/>
  <c r="C19" i="36"/>
  <c r="B19" i="36"/>
  <c r="H18" i="36"/>
  <c r="G18" i="36"/>
  <c r="F18" i="36"/>
  <c r="E18" i="36"/>
  <c r="D18" i="36"/>
  <c r="C18" i="36"/>
  <c r="B18" i="36"/>
  <c r="H17" i="36"/>
  <c r="G17" i="36"/>
  <c r="F17" i="36"/>
  <c r="E17" i="36"/>
  <c r="D17" i="36"/>
  <c r="C17" i="36"/>
  <c r="B17" i="36"/>
  <c r="H16" i="36"/>
  <c r="G16" i="36"/>
  <c r="F16" i="36"/>
  <c r="E16" i="36"/>
  <c r="D16" i="36"/>
  <c r="C16" i="36"/>
  <c r="B16" i="36"/>
  <c r="H15" i="36"/>
  <c r="G15" i="36"/>
  <c r="F15" i="36"/>
  <c r="E15" i="36"/>
  <c r="D15" i="36"/>
  <c r="C15" i="36"/>
  <c r="B15" i="36"/>
  <c r="H19" i="34" l="1"/>
  <c r="H18" i="34"/>
  <c r="H17" i="34"/>
  <c r="H16" i="34"/>
  <c r="G19" i="34"/>
  <c r="G18" i="34"/>
  <c r="G17" i="34"/>
  <c r="G16" i="34"/>
  <c r="F19" i="34"/>
  <c r="F18" i="34"/>
  <c r="F17" i="34"/>
  <c r="F16" i="34"/>
  <c r="E19" i="34"/>
  <c r="E18" i="34"/>
  <c r="E17" i="34"/>
  <c r="E16" i="34"/>
  <c r="D19" i="34"/>
  <c r="D18" i="34"/>
  <c r="D17" i="34"/>
  <c r="D16" i="34"/>
  <c r="C19" i="34"/>
  <c r="C18" i="34"/>
  <c r="C17" i="34"/>
  <c r="C16" i="34"/>
  <c r="B19" i="34"/>
  <c r="B18" i="34"/>
  <c r="B17" i="34"/>
  <c r="B16" i="34"/>
  <c r="H15" i="34"/>
  <c r="G15" i="34"/>
  <c r="F15" i="34"/>
  <c r="E15" i="34"/>
  <c r="D15" i="34"/>
  <c r="C15" i="34"/>
  <c r="B15" i="34"/>
  <c r="N69" i="9"/>
  <c r="M69" i="9"/>
  <c r="L69" i="9" a="1"/>
  <c r="L69" i="9" s="1"/>
  <c r="N68" i="9"/>
  <c r="M68" i="9"/>
  <c r="L68" i="9"/>
  <c r="N67" i="9"/>
  <c r="M67" i="9"/>
  <c r="L67" i="9"/>
  <c r="N66" i="9"/>
  <c r="M66" i="9"/>
  <c r="L66" i="9"/>
  <c r="N65" i="9"/>
  <c r="M65" i="9"/>
  <c r="L65" i="9"/>
  <c r="T62" i="9"/>
  <c r="T61" i="9"/>
  <c r="S62" i="9"/>
  <c r="S61" i="9"/>
  <c r="R62" i="9"/>
  <c r="R61" i="9"/>
  <c r="Q62" i="9"/>
  <c r="Q61" i="9"/>
  <c r="P62" i="9"/>
  <c r="P61" i="9"/>
  <c r="O62" i="9"/>
  <c r="O61" i="9"/>
  <c r="N62" i="9"/>
  <c r="N61" i="9"/>
  <c r="M62" i="9"/>
  <c r="M61" i="9"/>
  <c r="L62" i="9"/>
  <c r="L61" i="9"/>
  <c r="G70" i="9"/>
  <c r="F70" i="9"/>
  <c r="E70" i="9"/>
  <c r="D70" i="9"/>
  <c r="C70" i="9"/>
  <c r="B70" i="9"/>
  <c r="G69" i="9"/>
  <c r="F69" i="9"/>
  <c r="E69" i="9"/>
  <c r="D69" i="9"/>
  <c r="C69" i="9"/>
  <c r="B69" i="9"/>
  <c r="G68" i="9"/>
  <c r="F68" i="9"/>
  <c r="E68" i="9"/>
  <c r="D68" i="9"/>
  <c r="C68" i="9"/>
  <c r="B68" i="9"/>
  <c r="T60" i="9"/>
  <c r="S60" i="9"/>
  <c r="R60" i="9"/>
  <c r="Q60" i="9"/>
  <c r="P60" i="9"/>
  <c r="O60" i="9"/>
  <c r="N60" i="9"/>
  <c r="M60" i="9"/>
  <c r="L60" i="9"/>
  <c r="T59" i="9"/>
  <c r="S59" i="9"/>
  <c r="R59" i="9"/>
  <c r="Q59" i="9"/>
  <c r="P59" i="9"/>
  <c r="O59" i="9"/>
  <c r="N59" i="9"/>
  <c r="M59" i="9"/>
  <c r="L59" i="9"/>
  <c r="T58" i="9"/>
  <c r="S58" i="9"/>
  <c r="R58" i="9"/>
  <c r="Q58" i="9"/>
  <c r="P58" i="9"/>
  <c r="O58" i="9"/>
  <c r="N58" i="9"/>
  <c r="M58" i="9"/>
  <c r="L58" i="9"/>
  <c r="U63" i="22" l="1"/>
  <c r="U62" i="22"/>
  <c r="T63" i="22"/>
  <c r="T62" i="22"/>
  <c r="S63" i="22"/>
  <c r="S62" i="22"/>
  <c r="R63" i="22"/>
  <c r="R62" i="22"/>
  <c r="Q63" i="22"/>
  <c r="Q62" i="22"/>
  <c r="P63" i="22"/>
  <c r="P62" i="22"/>
  <c r="O63" i="22"/>
  <c r="O62" i="22"/>
  <c r="N63" i="22"/>
  <c r="N62" i="22"/>
  <c r="M63" i="22"/>
  <c r="M62" i="22"/>
  <c r="U61" i="22"/>
  <c r="T61" i="22"/>
  <c r="S61" i="22"/>
  <c r="R61" i="22"/>
  <c r="Q61" i="22"/>
  <c r="P61" i="22"/>
  <c r="O61" i="22"/>
  <c r="N61" i="22"/>
  <c r="M61" i="22"/>
  <c r="U60" i="22"/>
  <c r="T60" i="22"/>
  <c r="S60" i="22"/>
  <c r="R60" i="22"/>
  <c r="Q60" i="22"/>
  <c r="P60" i="22"/>
  <c r="O60" i="22"/>
  <c r="N60" i="22"/>
  <c r="M60" i="22"/>
  <c r="U59" i="22"/>
  <c r="T59" i="22"/>
  <c r="S59" i="22"/>
  <c r="R59" i="22"/>
  <c r="Q59" i="22"/>
  <c r="P59" i="22"/>
  <c r="O59" i="22"/>
  <c r="N59" i="22"/>
  <c r="M59" i="22"/>
  <c r="O69" i="22"/>
  <c r="N69" i="22"/>
  <c r="M69" i="22"/>
  <c r="O68" i="22"/>
  <c r="N68" i="22"/>
  <c r="M68" i="22"/>
  <c r="O67" i="22"/>
  <c r="N67" i="22"/>
  <c r="M67" i="22"/>
  <c r="O66" i="22"/>
  <c r="N66" i="22"/>
  <c r="M66" i="22"/>
  <c r="M70" i="22"/>
  <c r="N70" i="22"/>
  <c r="O70" i="22"/>
  <c r="I70" i="22"/>
  <c r="H70" i="22"/>
  <c r="G70" i="22"/>
  <c r="F70" i="22"/>
  <c r="E70" i="22"/>
  <c r="D70" i="22"/>
  <c r="C70" i="22"/>
  <c r="B70" i="22"/>
  <c r="I69" i="22"/>
  <c r="H69" i="22"/>
  <c r="G69" i="22"/>
  <c r="F69" i="22"/>
  <c r="E69" i="22"/>
  <c r="D69" i="22"/>
  <c r="C69" i="22"/>
  <c r="B69" i="22"/>
  <c r="I68" i="22"/>
  <c r="H68" i="22"/>
  <c r="G68" i="22"/>
  <c r="F68" i="22"/>
  <c r="E68" i="22"/>
  <c r="D68" i="22"/>
  <c r="C68" i="22"/>
  <c r="B68" i="22"/>
  <c r="R44" i="22"/>
  <c r="K27" i="33"/>
  <c r="K26" i="33"/>
  <c r="K25" i="33"/>
  <c r="J27" i="33"/>
  <c r="J26" i="33"/>
  <c r="J25" i="33"/>
  <c r="I27" i="33"/>
  <c r="I26" i="33"/>
  <c r="I25" i="33"/>
  <c r="H27" i="33"/>
  <c r="H26" i="33"/>
  <c r="H25" i="33"/>
  <c r="G27" i="33"/>
  <c r="G26" i="33"/>
  <c r="G25" i="33"/>
  <c r="F27" i="33"/>
  <c r="F26" i="33"/>
  <c r="F25" i="33"/>
  <c r="E27" i="33"/>
  <c r="E26" i="33"/>
  <c r="E25" i="33"/>
  <c r="D27" i="33"/>
  <c r="D26" i="33"/>
  <c r="D25" i="33"/>
  <c r="C27" i="33"/>
  <c r="C26" i="33"/>
  <c r="C25" i="33"/>
  <c r="B27" i="33"/>
  <c r="B26" i="33"/>
  <c r="B25" i="33"/>
  <c r="G105" i="18"/>
  <c r="I105" i="18" s="1"/>
  <c r="G106" i="18"/>
  <c r="I106" i="18" s="1"/>
  <c r="G103" i="18"/>
  <c r="I103" i="18" s="1"/>
  <c r="G104" i="18"/>
  <c r="I104" i="18" s="1"/>
  <c r="I70" i="23"/>
  <c r="H66" i="23"/>
  <c r="H67" i="23"/>
  <c r="H68" i="23"/>
  <c r="G102" i="18"/>
  <c r="I102" i="18" s="1"/>
  <c r="G98" i="18"/>
  <c r="I98" i="18" s="1"/>
  <c r="G99" i="18"/>
  <c r="I99" i="18" s="1"/>
  <c r="G100" i="18"/>
  <c r="I100" i="18" s="1"/>
  <c r="G101" i="18"/>
  <c r="I101" i="18" s="1"/>
  <c r="T44" i="22"/>
  <c r="S44" i="22"/>
  <c r="Q44" i="22"/>
  <c r="P44" i="22"/>
  <c r="N44" i="22"/>
  <c r="O44" i="22"/>
  <c r="M44" i="22"/>
  <c r="L44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T43" i="22"/>
  <c r="S43" i="22"/>
  <c r="R43" i="22"/>
  <c r="Q43" i="22"/>
  <c r="P43" i="22"/>
  <c r="O43" i="22"/>
  <c r="N43" i="22"/>
  <c r="M43" i="22"/>
  <c r="L43" i="22"/>
  <c r="T42" i="22"/>
  <c r="S42" i="22"/>
  <c r="R42" i="22"/>
  <c r="Q42" i="22"/>
  <c r="P42" i="22"/>
  <c r="O42" i="22"/>
  <c r="N42" i="22"/>
  <c r="M42" i="22"/>
  <c r="L42" i="22"/>
  <c r="T41" i="22"/>
  <c r="S41" i="22"/>
  <c r="R41" i="22"/>
  <c r="Q41" i="22"/>
  <c r="P41" i="22"/>
  <c r="O41" i="22"/>
  <c r="N41" i="22"/>
  <c r="M41" i="22"/>
  <c r="L41" i="22"/>
  <c r="G52" i="22"/>
  <c r="F52" i="22"/>
  <c r="E52" i="22"/>
  <c r="D52" i="22"/>
  <c r="C52" i="22"/>
  <c r="B52" i="22"/>
  <c r="G51" i="22"/>
  <c r="F51" i="22"/>
  <c r="E51" i="22"/>
  <c r="D51" i="22"/>
  <c r="C51" i="22"/>
  <c r="B51" i="22"/>
  <c r="G50" i="22"/>
  <c r="F50" i="22"/>
  <c r="E50" i="22"/>
  <c r="D50" i="22"/>
  <c r="C50" i="22"/>
  <c r="B50" i="22"/>
  <c r="N32" i="22"/>
  <c r="M32" i="22"/>
  <c r="L32" i="22"/>
  <c r="N31" i="22"/>
  <c r="N30" i="22"/>
  <c r="N29" i="22"/>
  <c r="M31" i="22"/>
  <c r="M30" i="22"/>
  <c r="M29" i="22"/>
  <c r="L31" i="22"/>
  <c r="L30" i="22"/>
  <c r="L29" i="22"/>
  <c r="I34" i="22"/>
  <c r="I33" i="22"/>
  <c r="I32" i="22"/>
  <c r="G34" i="22"/>
  <c r="G33" i="22"/>
  <c r="G32" i="22"/>
  <c r="F34" i="22"/>
  <c r="F33" i="22"/>
  <c r="F32" i="22"/>
  <c r="H34" i="22"/>
  <c r="H33" i="22"/>
  <c r="H32" i="22"/>
  <c r="N49" i="9" l="1"/>
  <c r="M49" i="9"/>
  <c r="L49" i="9"/>
  <c r="N48" i="9" l="1"/>
  <c r="L48" i="9"/>
  <c r="N47" i="9"/>
  <c r="M47" i="9"/>
  <c r="T43" i="9"/>
  <c r="S43" i="9"/>
  <c r="R43" i="9"/>
  <c r="Q43" i="9"/>
  <c r="P43" i="9"/>
  <c r="O43" i="9"/>
  <c r="N43" i="9"/>
  <c r="M43" i="9"/>
  <c r="L43" i="9"/>
  <c r="T42" i="9"/>
  <c r="S42" i="9"/>
  <c r="R42" i="9"/>
  <c r="Q42" i="9"/>
  <c r="P42" i="9"/>
  <c r="O42" i="9"/>
  <c r="N42" i="9"/>
  <c r="M42" i="9"/>
  <c r="L42" i="9"/>
  <c r="L47" i="9"/>
  <c r="N46" i="9"/>
  <c r="M46" i="9"/>
  <c r="L46" i="9"/>
  <c r="T41" i="9"/>
  <c r="S41" i="9"/>
  <c r="R41" i="9"/>
  <c r="Q41" i="9"/>
  <c r="P41" i="9"/>
  <c r="O41" i="9"/>
  <c r="N41" i="9"/>
  <c r="M41" i="9"/>
  <c r="L41" i="9"/>
  <c r="T40" i="9"/>
  <c r="S40" i="9"/>
  <c r="R40" i="9"/>
  <c r="Q40" i="9"/>
  <c r="P40" i="9"/>
  <c r="O40" i="9"/>
  <c r="N40" i="9"/>
  <c r="M40" i="9"/>
  <c r="L40" i="9"/>
  <c r="G50" i="9"/>
  <c r="F50" i="9"/>
  <c r="E50" i="9"/>
  <c r="D50" i="9"/>
  <c r="C50" i="9"/>
  <c r="B50" i="9"/>
  <c r="M48" i="9" s="1"/>
  <c r="G52" i="9"/>
  <c r="F52" i="9"/>
  <c r="E52" i="9"/>
  <c r="D52" i="9"/>
  <c r="C52" i="9"/>
  <c r="B52" i="9"/>
  <c r="G51" i="9"/>
  <c r="F51" i="9"/>
  <c r="E51" i="9"/>
  <c r="D51" i="9"/>
  <c r="C51" i="9"/>
  <c r="B51" i="9"/>
  <c r="T26" i="9"/>
  <c r="S26" i="9"/>
  <c r="R26" i="9" l="1"/>
  <c r="Q26" i="9"/>
  <c r="P26" i="9"/>
  <c r="O26" i="9"/>
  <c r="L32" i="9"/>
  <c r="N32" i="9"/>
  <c r="M32" i="9"/>
  <c r="M26" i="9"/>
  <c r="L26" i="9"/>
  <c r="G34" i="9"/>
  <c r="G33" i="9"/>
  <c r="G32" i="9"/>
  <c r="F34" i="9"/>
  <c r="F33" i="9"/>
  <c r="F32" i="9"/>
  <c r="E34" i="9"/>
  <c r="E33" i="9"/>
  <c r="E32" i="9"/>
  <c r="G96" i="18" l="1"/>
  <c r="I96" i="18" s="1"/>
  <c r="G87" i="18" l="1"/>
  <c r="I87" i="18" s="1"/>
  <c r="G88" i="18"/>
  <c r="I88" i="18" s="1"/>
  <c r="G89" i="18"/>
  <c r="I89" i="18" s="1"/>
  <c r="G90" i="18"/>
  <c r="I90" i="18" s="1"/>
  <c r="G91" i="18"/>
  <c r="I91" i="18" s="1"/>
  <c r="G92" i="18"/>
  <c r="I92" i="18" s="1"/>
  <c r="G86" i="18"/>
  <c r="I86" i="18" s="1"/>
  <c r="G93" i="18"/>
  <c r="I93" i="18" s="1"/>
  <c r="G94" i="18"/>
  <c r="I94" i="18" s="1"/>
  <c r="G95" i="18"/>
  <c r="I95" i="18" s="1"/>
  <c r="G97" i="18"/>
  <c r="I97" i="18" s="1"/>
  <c r="C115" i="18"/>
  <c r="D115" i="18"/>
  <c r="E115" i="18"/>
  <c r="F115" i="18"/>
  <c r="H115" i="18"/>
  <c r="J115" i="18"/>
  <c r="G80" i="18" l="1"/>
  <c r="I80" i="18" s="1"/>
  <c r="G81" i="18"/>
  <c r="I81" i="18" s="1"/>
  <c r="G82" i="18"/>
  <c r="I82" i="18" s="1"/>
  <c r="G83" i="18"/>
  <c r="I83" i="18" s="1"/>
  <c r="G84" i="18"/>
  <c r="I84" i="18" s="1"/>
  <c r="G85" i="18"/>
  <c r="I85" i="18" s="1"/>
  <c r="H63" i="23" l="1"/>
  <c r="H64" i="23"/>
  <c r="H65" i="23"/>
  <c r="H69" i="23"/>
  <c r="H46" i="12" l="1"/>
  <c r="H47" i="12"/>
  <c r="H48" i="12"/>
  <c r="H60" i="23"/>
  <c r="H61" i="23"/>
  <c r="H62" i="23"/>
  <c r="I49" i="12"/>
  <c r="G49" i="12"/>
  <c r="F49" i="12"/>
  <c r="G70" i="23"/>
  <c r="F70" i="23"/>
  <c r="G76" i="18"/>
  <c r="I76" i="18" s="1"/>
  <c r="G77" i="18"/>
  <c r="I77" i="18" s="1"/>
  <c r="G78" i="18"/>
  <c r="I78" i="18" s="1"/>
  <c r="G79" i="18"/>
  <c r="I79" i="18" s="1"/>
  <c r="G69" i="18" l="1"/>
  <c r="I69" i="18" s="1"/>
  <c r="G70" i="18"/>
  <c r="I70" i="18" s="1"/>
  <c r="G71" i="18"/>
  <c r="I71" i="18" s="1"/>
  <c r="G72" i="18"/>
  <c r="I72" i="18" s="1"/>
  <c r="G73" i="18"/>
  <c r="I73" i="18" s="1"/>
  <c r="G74" i="18"/>
  <c r="I74" i="18" s="1"/>
  <c r="G75" i="18"/>
  <c r="I75" i="18" s="1"/>
  <c r="G64" i="18"/>
  <c r="I64" i="18" s="1"/>
  <c r="G65" i="18"/>
  <c r="I65" i="18" s="1"/>
  <c r="G66" i="18"/>
  <c r="I66" i="18" s="1"/>
  <c r="G67" i="18"/>
  <c r="I67" i="18" s="1"/>
  <c r="G68" i="18"/>
  <c r="I68" i="18" s="1"/>
  <c r="H43" i="12"/>
  <c r="H44" i="12"/>
  <c r="H45" i="12"/>
  <c r="G51" i="18"/>
  <c r="H59" i="23" l="1"/>
  <c r="E58" i="30" l="1"/>
  <c r="D58" i="30"/>
  <c r="C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58" i="30" s="1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G62" i="18"/>
  <c r="I62" i="18" s="1"/>
  <c r="G63" i="18"/>
  <c r="I63" i="18" s="1"/>
  <c r="G57" i="18"/>
  <c r="I57" i="18" s="1"/>
  <c r="G58" i="18"/>
  <c r="I58" i="18" s="1"/>
  <c r="G59" i="18"/>
  <c r="I59" i="18" s="1"/>
  <c r="G60" i="18"/>
  <c r="I60" i="18" s="1"/>
  <c r="G61" i="18"/>
  <c r="I61" i="18" s="1"/>
  <c r="H58" i="23" l="1"/>
  <c r="H40" i="12" l="1"/>
  <c r="H41" i="12"/>
  <c r="H42" i="12"/>
  <c r="E58" i="28"/>
  <c r="D58" i="28"/>
  <c r="C58" i="28"/>
  <c r="F58" i="28"/>
  <c r="G56" i="18" l="1"/>
  <c r="I56" i="18" s="1"/>
  <c r="J46" i="27"/>
  <c r="I46" i="27"/>
  <c r="G46" i="27"/>
  <c r="F46" i="27"/>
  <c r="E46" i="27"/>
  <c r="D46" i="27"/>
  <c r="C46" i="27"/>
  <c r="B46" i="27"/>
  <c r="J43" i="27"/>
  <c r="J42" i="27"/>
  <c r="J41" i="27"/>
  <c r="J44" i="27" s="1"/>
  <c r="I43" i="27"/>
  <c r="H43" i="27"/>
  <c r="G43" i="27"/>
  <c r="F43" i="27"/>
  <c r="E43" i="27"/>
  <c r="D43" i="27"/>
  <c r="C43" i="27"/>
  <c r="B43" i="27"/>
  <c r="I42" i="27"/>
  <c r="H42" i="27"/>
  <c r="G42" i="27"/>
  <c r="F42" i="27"/>
  <c r="E42" i="27"/>
  <c r="D42" i="27"/>
  <c r="C42" i="27"/>
  <c r="B42" i="27"/>
  <c r="I41" i="27"/>
  <c r="I44" i="27" s="1"/>
  <c r="G41" i="27"/>
  <c r="G44" i="27" s="1"/>
  <c r="F41" i="27"/>
  <c r="F44" i="27" s="1"/>
  <c r="E41" i="27"/>
  <c r="E44" i="27" s="1"/>
  <c r="D41" i="27"/>
  <c r="D44" i="27" s="1"/>
  <c r="C41" i="27"/>
  <c r="C44" i="27" s="1"/>
  <c r="B41" i="27"/>
  <c r="B44" i="27" s="1"/>
  <c r="I22" i="27"/>
  <c r="H22" i="27"/>
  <c r="G22" i="27"/>
  <c r="F22" i="27"/>
  <c r="E22" i="27"/>
  <c r="D22" i="27"/>
  <c r="C22" i="27"/>
  <c r="B22" i="27"/>
  <c r="I20" i="27"/>
  <c r="H20" i="27"/>
  <c r="G20" i="27"/>
  <c r="F20" i="27"/>
  <c r="E20" i="27"/>
  <c r="D20" i="27"/>
  <c r="C20" i="27"/>
  <c r="B20" i="27"/>
  <c r="J40" i="27"/>
  <c r="I40" i="27"/>
  <c r="H40" i="27"/>
  <c r="G40" i="27"/>
  <c r="F40" i="27"/>
  <c r="E40" i="27"/>
  <c r="D40" i="27"/>
  <c r="C40" i="27"/>
  <c r="B40" i="27"/>
  <c r="J39" i="27"/>
  <c r="I39" i="27"/>
  <c r="H39" i="27"/>
  <c r="G39" i="27"/>
  <c r="F39" i="27"/>
  <c r="E39" i="27"/>
  <c r="D39" i="27"/>
  <c r="C39" i="27"/>
  <c r="B39" i="27"/>
  <c r="J38" i="27"/>
  <c r="I38" i="27"/>
  <c r="H38" i="27"/>
  <c r="H41" i="27" s="1"/>
  <c r="H44" i="27" s="1"/>
  <c r="H46" i="27" s="1"/>
  <c r="G38" i="27"/>
  <c r="F38" i="27"/>
  <c r="E38" i="27"/>
  <c r="D38" i="27"/>
  <c r="C38" i="27"/>
  <c r="B38" i="27"/>
  <c r="I19" i="27"/>
  <c r="H19" i="27"/>
  <c r="G19" i="27"/>
  <c r="F19" i="27"/>
  <c r="E19" i="27"/>
  <c r="D19" i="27"/>
  <c r="C19" i="27"/>
  <c r="B19" i="27"/>
  <c r="I18" i="27"/>
  <c r="H18" i="27"/>
  <c r="G18" i="27"/>
  <c r="F18" i="27"/>
  <c r="E18" i="27"/>
  <c r="D18" i="27"/>
  <c r="C18" i="27"/>
  <c r="B18" i="27"/>
  <c r="I17" i="27"/>
  <c r="H17" i="27"/>
  <c r="G17" i="27"/>
  <c r="F17" i="27"/>
  <c r="E17" i="27"/>
  <c r="D17" i="27"/>
  <c r="C17" i="27"/>
  <c r="B17" i="27"/>
  <c r="J39" i="25"/>
  <c r="J38" i="25"/>
  <c r="J37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H55" i="23" l="1"/>
  <c r="H56" i="23"/>
  <c r="H57" i="23"/>
  <c r="G50" i="18"/>
  <c r="I50" i="18" s="1"/>
  <c r="G55" i="18"/>
  <c r="I55" i="18" s="1"/>
  <c r="G53" i="18"/>
  <c r="I53" i="18" s="1"/>
  <c r="G54" i="18"/>
  <c r="I54" i="18" s="1"/>
  <c r="E34" i="22"/>
  <c r="E33" i="22"/>
  <c r="E32" i="22"/>
  <c r="G14" i="22"/>
  <c r="F14" i="22"/>
  <c r="E14" i="22"/>
  <c r="D14" i="22"/>
  <c r="C14" i="22"/>
  <c r="G16" i="22"/>
  <c r="G15" i="22"/>
  <c r="F16" i="22"/>
  <c r="F15" i="22"/>
  <c r="E16" i="22"/>
  <c r="E15" i="22"/>
  <c r="D16" i="22"/>
  <c r="D15" i="22"/>
  <c r="C16" i="22"/>
  <c r="C15" i="22"/>
  <c r="B16" i="22"/>
  <c r="B15" i="22"/>
  <c r="B14" i="22"/>
  <c r="T73" i="20"/>
  <c r="S73" i="20"/>
  <c r="R73" i="20"/>
  <c r="T72" i="20"/>
  <c r="S72" i="20"/>
  <c r="R72" i="20"/>
  <c r="T71" i="20"/>
  <c r="S71" i="20"/>
  <c r="R71" i="20"/>
  <c r="T70" i="20"/>
  <c r="S70" i="20"/>
  <c r="R70" i="20"/>
  <c r="Z65" i="20"/>
  <c r="Z64" i="20"/>
  <c r="Y65" i="20"/>
  <c r="Y64" i="20"/>
  <c r="X65" i="20"/>
  <c r="X64" i="20"/>
  <c r="W65" i="20"/>
  <c r="W64" i="20"/>
  <c r="V65" i="20"/>
  <c r="V64" i="20"/>
  <c r="U65" i="20"/>
  <c r="U64" i="20"/>
  <c r="T65" i="20"/>
  <c r="T64" i="20"/>
  <c r="S65" i="20"/>
  <c r="S64" i="20"/>
  <c r="R65" i="20"/>
  <c r="R64" i="20"/>
  <c r="Z63" i="20"/>
  <c r="Y63" i="20"/>
  <c r="X63" i="20"/>
  <c r="W63" i="20"/>
  <c r="V63" i="20"/>
  <c r="U63" i="20"/>
  <c r="T63" i="20"/>
  <c r="S63" i="20"/>
  <c r="R62" i="20"/>
  <c r="Z62" i="20"/>
  <c r="Y62" i="20"/>
  <c r="X62" i="20"/>
  <c r="W62" i="20"/>
  <c r="V62" i="20"/>
  <c r="T62" i="20"/>
  <c r="R63" i="20"/>
  <c r="U62" i="20"/>
  <c r="S62" i="20"/>
  <c r="H68" i="20"/>
  <c r="H69" i="20"/>
  <c r="H70" i="20"/>
  <c r="T53" i="20"/>
  <c r="S53" i="20"/>
  <c r="R53" i="20"/>
  <c r="T52" i="20"/>
  <c r="T51" i="20"/>
  <c r="T50" i="20"/>
  <c r="S52" i="20"/>
  <c r="S51" i="20"/>
  <c r="S50" i="20"/>
  <c r="R52" i="20"/>
  <c r="R51" i="20"/>
  <c r="R50" i="20"/>
  <c r="Z46" i="20"/>
  <c r="Z45" i="20"/>
  <c r="Z44" i="20"/>
  <c r="Z43" i="20"/>
  <c r="Y46" i="20"/>
  <c r="Y45" i="20"/>
  <c r="Y44" i="20"/>
  <c r="Y43" i="20"/>
  <c r="X46" i="20"/>
  <c r="X45" i="20"/>
  <c r="X44" i="20"/>
  <c r="X43" i="20"/>
  <c r="W45" i="20"/>
  <c r="W44" i="20"/>
  <c r="W43" i="20"/>
  <c r="V46" i="20"/>
  <c r="V45" i="20"/>
  <c r="V44" i="20"/>
  <c r="V43" i="20"/>
  <c r="U43" i="20"/>
  <c r="U44" i="20"/>
  <c r="U45" i="20"/>
  <c r="U46" i="20"/>
  <c r="W46" i="20"/>
  <c r="T46" i="20"/>
  <c r="T45" i="20"/>
  <c r="S46" i="20"/>
  <c r="S45" i="20"/>
  <c r="R46" i="20"/>
  <c r="R45" i="20"/>
  <c r="T44" i="20"/>
  <c r="T43" i="20"/>
  <c r="S44" i="20"/>
  <c r="S43" i="20"/>
  <c r="G50" i="20"/>
  <c r="F50" i="20"/>
  <c r="E50" i="20"/>
  <c r="D50" i="20"/>
  <c r="C50" i="20"/>
  <c r="B50" i="20"/>
  <c r="R44" i="20"/>
  <c r="R43" i="20"/>
  <c r="H50" i="20"/>
  <c r="I50" i="20"/>
  <c r="J50" i="20"/>
  <c r="K50" i="20"/>
  <c r="L50" i="20"/>
  <c r="H51" i="20"/>
  <c r="I51" i="20"/>
  <c r="J51" i="20"/>
  <c r="K51" i="20"/>
  <c r="L51" i="20"/>
  <c r="H52" i="20"/>
  <c r="I52" i="20"/>
  <c r="J52" i="20"/>
  <c r="K52" i="20"/>
  <c r="L52" i="20"/>
  <c r="T34" i="20" l="1"/>
  <c r="S34" i="20"/>
  <c r="R34" i="20"/>
  <c r="T33" i="20"/>
  <c r="S33" i="20"/>
  <c r="R33" i="20"/>
  <c r="T32" i="20"/>
  <c r="S32" i="20"/>
  <c r="R32" i="20"/>
  <c r="T31" i="20"/>
  <c r="S31" i="20"/>
  <c r="R31" i="20"/>
  <c r="Z27" i="20"/>
  <c r="Z26" i="20"/>
  <c r="Y27" i="20"/>
  <c r="Y26" i="20"/>
  <c r="X27" i="20"/>
  <c r="W27" i="20"/>
  <c r="V27" i="20"/>
  <c r="U27" i="20"/>
  <c r="U26" i="20"/>
  <c r="T27" i="20"/>
  <c r="S27" i="20"/>
  <c r="R27" i="20"/>
  <c r="R26" i="20"/>
  <c r="X26" i="20"/>
  <c r="W26" i="20"/>
  <c r="V26" i="20"/>
  <c r="T26" i="20"/>
  <c r="S26" i="20"/>
  <c r="Z25" i="20"/>
  <c r="Y25" i="20"/>
  <c r="X25" i="20"/>
  <c r="W25" i="20"/>
  <c r="V25" i="20"/>
  <c r="U25" i="20"/>
  <c r="T25" i="20"/>
  <c r="S25" i="20"/>
  <c r="R25" i="20"/>
  <c r="Z24" i="20"/>
  <c r="Y24" i="20"/>
  <c r="X24" i="20"/>
  <c r="W24" i="20"/>
  <c r="V24" i="20"/>
  <c r="U24" i="20"/>
  <c r="T24" i="20"/>
  <c r="S24" i="20"/>
  <c r="R24" i="20"/>
  <c r="L32" i="20"/>
  <c r="K32" i="20"/>
  <c r="J32" i="20"/>
  <c r="I32" i="20"/>
  <c r="H32" i="20"/>
  <c r="G32" i="20"/>
  <c r="F32" i="20"/>
  <c r="E32" i="20"/>
  <c r="D32" i="20"/>
  <c r="C32" i="20"/>
  <c r="B32" i="20"/>
  <c r="H33" i="20"/>
  <c r="I33" i="20"/>
  <c r="J33" i="20"/>
  <c r="K33" i="20"/>
  <c r="L33" i="20"/>
  <c r="H34" i="20"/>
  <c r="I34" i="20"/>
  <c r="J34" i="20"/>
  <c r="K34" i="20"/>
  <c r="L34" i="20"/>
  <c r="T15" i="20"/>
  <c r="S15" i="20"/>
  <c r="R15" i="20"/>
  <c r="T14" i="20"/>
  <c r="S14" i="20"/>
  <c r="R14" i="20"/>
  <c r="Z8" i="20"/>
  <c r="T13" i="20"/>
  <c r="S13" i="20"/>
  <c r="R13" i="20"/>
  <c r="T12" i="20"/>
  <c r="R12" i="20"/>
  <c r="S12" i="20"/>
  <c r="Y8" i="20"/>
  <c r="Y7" i="20"/>
  <c r="X8" i="20"/>
  <c r="W8" i="20"/>
  <c r="W7" i="20"/>
  <c r="V8" i="20"/>
  <c r="V7" i="20"/>
  <c r="U8" i="20"/>
  <c r="U7" i="20"/>
  <c r="T8" i="20"/>
  <c r="T7" i="20"/>
  <c r="S8" i="20"/>
  <c r="R8" i="20"/>
  <c r="T6" i="20"/>
  <c r="S7" i="20"/>
  <c r="R7" i="20"/>
  <c r="Z7" i="20"/>
  <c r="X7" i="20"/>
  <c r="Z6" i="20"/>
  <c r="Y6" i="20"/>
  <c r="X6" i="20"/>
  <c r="W6" i="20"/>
  <c r="V6" i="20"/>
  <c r="U6" i="20"/>
  <c r="Z5" i="20"/>
  <c r="Y5" i="20"/>
  <c r="X5" i="20"/>
  <c r="W5" i="20"/>
  <c r="V5" i="20"/>
  <c r="U5" i="20"/>
  <c r="S6" i="20"/>
  <c r="R6" i="20"/>
  <c r="T5" i="20"/>
  <c r="S5" i="20"/>
  <c r="R5" i="20"/>
  <c r="G52" i="18" l="1"/>
  <c r="I52" i="18" s="1"/>
  <c r="G5" i="18"/>
  <c r="I5" i="18" s="1"/>
  <c r="G6" i="18"/>
  <c r="I6" i="18" s="1"/>
  <c r="G7" i="18"/>
  <c r="I7" i="18" s="1"/>
  <c r="G8" i="18"/>
  <c r="I8" i="18" s="1"/>
  <c r="G9" i="18"/>
  <c r="I9" i="18" s="1"/>
  <c r="G10" i="18"/>
  <c r="I10" i="18" s="1"/>
  <c r="G11" i="18"/>
  <c r="I11" i="18" s="1"/>
  <c r="G12" i="18"/>
  <c r="I12" i="18" s="1"/>
  <c r="G13" i="18"/>
  <c r="I13" i="18" s="1"/>
  <c r="G14" i="18"/>
  <c r="I14" i="18" s="1"/>
  <c r="G15" i="18"/>
  <c r="I15" i="18" s="1"/>
  <c r="G16" i="18"/>
  <c r="I16" i="18" s="1"/>
  <c r="G17" i="18"/>
  <c r="I17" i="18" s="1"/>
  <c r="G18" i="18"/>
  <c r="I18" i="18" s="1"/>
  <c r="G19" i="18"/>
  <c r="I19" i="18" s="1"/>
  <c r="G20" i="18"/>
  <c r="I20" i="18" s="1"/>
  <c r="G21" i="18"/>
  <c r="I21" i="18" s="1"/>
  <c r="G22" i="18"/>
  <c r="I22" i="18" s="1"/>
  <c r="G23" i="18"/>
  <c r="I23" i="18" s="1"/>
  <c r="G24" i="18"/>
  <c r="I24" i="18" s="1"/>
  <c r="G25" i="18"/>
  <c r="I25" i="18" s="1"/>
  <c r="G26" i="18"/>
  <c r="I26" i="18" s="1"/>
  <c r="G27" i="18"/>
  <c r="I27" i="18" s="1"/>
  <c r="G28" i="18"/>
  <c r="I28" i="18" s="1"/>
  <c r="G29" i="18"/>
  <c r="I29" i="18" s="1"/>
  <c r="G30" i="18"/>
  <c r="I30" i="18" s="1"/>
  <c r="G31" i="18"/>
  <c r="I31" i="18" s="1"/>
  <c r="G32" i="18"/>
  <c r="I32" i="18" s="1"/>
  <c r="G33" i="18"/>
  <c r="I33" i="18" s="1"/>
  <c r="G34" i="18"/>
  <c r="I34" i="18" s="1"/>
  <c r="G35" i="18"/>
  <c r="I35" i="18" s="1"/>
  <c r="G36" i="18"/>
  <c r="I36" i="18" s="1"/>
  <c r="G37" i="18"/>
  <c r="I37" i="18" s="1"/>
  <c r="G38" i="18"/>
  <c r="I38" i="18" s="1"/>
  <c r="G39" i="18"/>
  <c r="I39" i="18" s="1"/>
  <c r="G40" i="18"/>
  <c r="I40" i="18" s="1"/>
  <c r="G41" i="18"/>
  <c r="I41" i="18" s="1"/>
  <c r="G42" i="18"/>
  <c r="I42" i="18" s="1"/>
  <c r="G43" i="18"/>
  <c r="I43" i="18" s="1"/>
  <c r="G44" i="18"/>
  <c r="I44" i="18" s="1"/>
  <c r="G45" i="18"/>
  <c r="I45" i="18" s="1"/>
  <c r="G46" i="18"/>
  <c r="I46" i="18" s="1"/>
  <c r="G47" i="18"/>
  <c r="I47" i="18" s="1"/>
  <c r="G48" i="18"/>
  <c r="I48" i="18" s="1"/>
  <c r="G49" i="18"/>
  <c r="I49" i="18" s="1"/>
  <c r="I51" i="18"/>
  <c r="G4" i="18"/>
  <c r="G115" i="18" l="1"/>
  <c r="I4" i="18"/>
  <c r="I115" i="18" s="1"/>
  <c r="E70" i="23"/>
  <c r="D70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M16" i="20"/>
  <c r="L16" i="20"/>
  <c r="K16" i="20"/>
  <c r="J16" i="20"/>
  <c r="I16" i="20"/>
  <c r="H16" i="20"/>
  <c r="M15" i="20"/>
  <c r="L15" i="20"/>
  <c r="K15" i="20"/>
  <c r="J15" i="20"/>
  <c r="I15" i="20"/>
  <c r="H15" i="20"/>
  <c r="M14" i="20"/>
  <c r="L14" i="20"/>
  <c r="K14" i="20"/>
  <c r="J14" i="20"/>
  <c r="I14" i="20"/>
  <c r="H14" i="20"/>
  <c r="D34" i="22"/>
  <c r="C34" i="22"/>
  <c r="B34" i="22"/>
  <c r="D33" i="22"/>
  <c r="C33" i="22"/>
  <c r="B33" i="22"/>
  <c r="D32" i="22"/>
  <c r="C32" i="22"/>
  <c r="B32" i="22"/>
  <c r="T25" i="22"/>
  <c r="S25" i="22"/>
  <c r="R25" i="22"/>
  <c r="Q25" i="22"/>
  <c r="P25" i="22"/>
  <c r="O25" i="22"/>
  <c r="N25" i="22"/>
  <c r="M25" i="22"/>
  <c r="L25" i="22"/>
  <c r="T24" i="22"/>
  <c r="S24" i="22"/>
  <c r="R24" i="22"/>
  <c r="Q24" i="22"/>
  <c r="P24" i="22"/>
  <c r="O24" i="22"/>
  <c r="N24" i="22"/>
  <c r="M24" i="22"/>
  <c r="L24" i="22"/>
  <c r="T23" i="22"/>
  <c r="S23" i="22"/>
  <c r="R23" i="22"/>
  <c r="Q23" i="22"/>
  <c r="P23" i="22"/>
  <c r="O23" i="22"/>
  <c r="N23" i="22"/>
  <c r="M23" i="22"/>
  <c r="L23" i="22"/>
  <c r="N13" i="22"/>
  <c r="M13" i="22"/>
  <c r="L13" i="22"/>
  <c r="N12" i="22"/>
  <c r="M12" i="22"/>
  <c r="L12" i="22"/>
  <c r="N11" i="22"/>
  <c r="M11" i="22"/>
  <c r="L11" i="22"/>
  <c r="T7" i="22"/>
  <c r="S7" i="22"/>
  <c r="R7" i="22"/>
  <c r="Q7" i="22"/>
  <c r="P7" i="22"/>
  <c r="O7" i="22"/>
  <c r="N7" i="22"/>
  <c r="M7" i="22"/>
  <c r="L7" i="22"/>
  <c r="T6" i="22"/>
  <c r="S6" i="22"/>
  <c r="R6" i="22"/>
  <c r="Q6" i="22"/>
  <c r="P6" i="22"/>
  <c r="O6" i="22"/>
  <c r="N6" i="22"/>
  <c r="M6" i="22"/>
  <c r="L6" i="22"/>
  <c r="T5" i="22"/>
  <c r="S5" i="22"/>
  <c r="R5" i="22"/>
  <c r="Q5" i="22"/>
  <c r="P5" i="22"/>
  <c r="O5" i="22"/>
  <c r="N5" i="22"/>
  <c r="M5" i="22"/>
  <c r="L5" i="22"/>
  <c r="H70" i="23" l="1"/>
  <c r="G70" i="20"/>
  <c r="F70" i="20"/>
  <c r="E70" i="20"/>
  <c r="D70" i="20"/>
  <c r="C70" i="20"/>
  <c r="B70" i="20"/>
  <c r="G69" i="20"/>
  <c r="F69" i="20"/>
  <c r="E69" i="20"/>
  <c r="D69" i="20"/>
  <c r="C69" i="20"/>
  <c r="B69" i="20"/>
  <c r="G68" i="20"/>
  <c r="F68" i="20"/>
  <c r="E68" i="20"/>
  <c r="D68" i="20"/>
  <c r="C68" i="20"/>
  <c r="B68" i="20"/>
  <c r="G52" i="20"/>
  <c r="F52" i="20"/>
  <c r="E52" i="20"/>
  <c r="D52" i="20"/>
  <c r="C52" i="20"/>
  <c r="B52" i="20"/>
  <c r="G51" i="20"/>
  <c r="F51" i="20"/>
  <c r="E51" i="20"/>
  <c r="D51" i="20"/>
  <c r="C51" i="20"/>
  <c r="B51" i="20"/>
  <c r="G34" i="20"/>
  <c r="F34" i="20"/>
  <c r="E34" i="20"/>
  <c r="D34" i="20"/>
  <c r="C34" i="20"/>
  <c r="B34" i="20"/>
  <c r="G33" i="20"/>
  <c r="F33" i="20"/>
  <c r="E33" i="20"/>
  <c r="D33" i="20"/>
  <c r="C33" i="20"/>
  <c r="B33" i="20"/>
  <c r="G16" i="20"/>
  <c r="F16" i="20"/>
  <c r="E16" i="20"/>
  <c r="D16" i="20"/>
  <c r="C16" i="20"/>
  <c r="B16" i="20"/>
  <c r="G15" i="20"/>
  <c r="F15" i="20"/>
  <c r="E15" i="20"/>
  <c r="D15" i="20"/>
  <c r="C15" i="20"/>
  <c r="B15" i="20"/>
  <c r="G14" i="20"/>
  <c r="F14" i="20"/>
  <c r="E14" i="20"/>
  <c r="D14" i="20"/>
  <c r="C14" i="20"/>
  <c r="B14" i="20"/>
  <c r="T25" i="9"/>
  <c r="S25" i="9"/>
  <c r="R25" i="9"/>
  <c r="Q25" i="9"/>
  <c r="P25" i="9"/>
  <c r="O25" i="9"/>
  <c r="N25" i="9"/>
  <c r="M25" i="9"/>
  <c r="L25" i="9"/>
  <c r="T24" i="9"/>
  <c r="S24" i="9"/>
  <c r="R24" i="9"/>
  <c r="Q24" i="9"/>
  <c r="P24" i="9"/>
  <c r="O24" i="9"/>
  <c r="N24" i="9"/>
  <c r="M24" i="9"/>
  <c r="L24" i="9"/>
  <c r="T23" i="9"/>
  <c r="S23" i="9"/>
  <c r="R23" i="9"/>
  <c r="Q23" i="9"/>
  <c r="P23" i="9"/>
  <c r="O23" i="9"/>
  <c r="N23" i="9"/>
  <c r="M23" i="9"/>
  <c r="L23" i="9"/>
  <c r="T7" i="9"/>
  <c r="S7" i="9"/>
  <c r="R7" i="9"/>
  <c r="Q7" i="9"/>
  <c r="P7" i="9"/>
  <c r="O7" i="9"/>
  <c r="N7" i="9"/>
  <c r="M7" i="9"/>
  <c r="L7" i="9"/>
  <c r="T6" i="9"/>
  <c r="S6" i="9"/>
  <c r="R6" i="9"/>
  <c r="Q6" i="9"/>
  <c r="P6" i="9"/>
  <c r="O6" i="9"/>
  <c r="N6" i="9"/>
  <c r="M6" i="9"/>
  <c r="L6" i="9"/>
  <c r="T5" i="9"/>
  <c r="S5" i="9"/>
  <c r="R5" i="9"/>
  <c r="Q5" i="9"/>
  <c r="P5" i="9"/>
  <c r="O5" i="9"/>
  <c r="N5" i="9"/>
  <c r="M5" i="9"/>
  <c r="L5" i="9"/>
  <c r="T25" i="16"/>
  <c r="S25" i="16"/>
  <c r="R25" i="16"/>
  <c r="Q25" i="16"/>
  <c r="P25" i="16"/>
  <c r="O25" i="16"/>
  <c r="N25" i="16"/>
  <c r="M25" i="16"/>
  <c r="L25" i="16"/>
  <c r="T24" i="16"/>
  <c r="S24" i="16"/>
  <c r="R24" i="16"/>
  <c r="Q24" i="16"/>
  <c r="P24" i="16"/>
  <c r="O24" i="16"/>
  <c r="N24" i="16"/>
  <c r="M24" i="16" a="1"/>
  <c r="M24" i="16" s="1"/>
  <c r="L24" i="16"/>
  <c r="T23" i="16"/>
  <c r="S23" i="16"/>
  <c r="R23" i="16"/>
  <c r="Q23" i="16"/>
  <c r="P23" i="16"/>
  <c r="O23" i="16"/>
  <c r="N23" i="16"/>
  <c r="M23" i="16"/>
  <c r="L23" i="16"/>
  <c r="T7" i="16"/>
  <c r="S7" i="16"/>
  <c r="R7" i="16"/>
  <c r="Q7" i="16"/>
  <c r="P7" i="16"/>
  <c r="O7" i="16"/>
  <c r="N7" i="16"/>
  <c r="M7" i="16"/>
  <c r="L7" i="16"/>
  <c r="T6" i="16"/>
  <c r="S6" i="16"/>
  <c r="R6" i="16"/>
  <c r="Q6" i="16"/>
  <c r="P6" i="16"/>
  <c r="O6" i="16"/>
  <c r="N6" i="16"/>
  <c r="M6" i="16"/>
  <c r="L6" i="16"/>
  <c r="T5" i="16"/>
  <c r="S5" i="16"/>
  <c r="R5" i="16"/>
  <c r="Q5" i="16"/>
  <c r="P5" i="16"/>
  <c r="O5" i="16"/>
  <c r="N5" i="16"/>
  <c r="M5" i="16"/>
  <c r="L5" i="16"/>
  <c r="N67" i="16" l="1"/>
  <c r="N70" i="16"/>
  <c r="N69" i="16"/>
  <c r="M70" i="16"/>
  <c r="M69" i="16"/>
  <c r="L70" i="16"/>
  <c r="L69" i="16"/>
  <c r="N68" i="16"/>
  <c r="M68" i="16"/>
  <c r="L68" i="16"/>
  <c r="M67" i="16"/>
  <c r="L67" i="16"/>
  <c r="T62" i="16"/>
  <c r="S62" i="16"/>
  <c r="R62" i="16"/>
  <c r="Q62" i="16"/>
  <c r="P62" i="16"/>
  <c r="O62" i="16"/>
  <c r="N62" i="16"/>
  <c r="M62" i="16"/>
  <c r="L62" i="16"/>
  <c r="L61" i="16"/>
  <c r="G70" i="16"/>
  <c r="F70" i="16"/>
  <c r="E70" i="16"/>
  <c r="D70" i="16"/>
  <c r="C70" i="16"/>
  <c r="B70" i="16"/>
  <c r="G69" i="16"/>
  <c r="F69" i="16"/>
  <c r="E69" i="16"/>
  <c r="D69" i="16"/>
  <c r="C69" i="16"/>
  <c r="B69" i="16"/>
  <c r="G68" i="16"/>
  <c r="F68" i="16"/>
  <c r="E68" i="16"/>
  <c r="D68" i="16"/>
  <c r="C68" i="16"/>
  <c r="B68" i="16"/>
  <c r="T61" i="16"/>
  <c r="S61" i="16"/>
  <c r="R61" i="16"/>
  <c r="Q61" i="16"/>
  <c r="P61" i="16"/>
  <c r="O61" i="16"/>
  <c r="N61" i="16"/>
  <c r="M61" i="16"/>
  <c r="T60" i="16"/>
  <c r="S60" i="16"/>
  <c r="R60" i="16"/>
  <c r="Q60" i="16"/>
  <c r="P60" i="16"/>
  <c r="O60" i="16"/>
  <c r="N60" i="16"/>
  <c r="M60" i="16"/>
  <c r="L60" i="16"/>
  <c r="T59" i="16"/>
  <c r="S59" i="16"/>
  <c r="R59" i="16"/>
  <c r="Q59" i="16"/>
  <c r="P59" i="16"/>
  <c r="O59" i="16"/>
  <c r="N59" i="16"/>
  <c r="M59" i="16"/>
  <c r="L59" i="16"/>
  <c r="H39" i="12"/>
  <c r="H38" i="12"/>
  <c r="H37" i="12"/>
  <c r="L41" i="16"/>
  <c r="O43" i="16"/>
  <c r="N43" i="16"/>
  <c r="M43" i="16"/>
  <c r="L43" i="16"/>
  <c r="R43" i="16"/>
  <c r="S43" i="16"/>
  <c r="T43" i="16"/>
  <c r="T42" i="16"/>
  <c r="S42" i="16"/>
  <c r="R42" i="16"/>
  <c r="Q43" i="16"/>
  <c r="P43" i="16"/>
  <c r="Q42" i="16"/>
  <c r="P42" i="16"/>
  <c r="O42" i="16"/>
  <c r="D49" i="12"/>
  <c r="N42" i="16"/>
  <c r="M42" i="16"/>
  <c r="L42" i="16"/>
  <c r="T41" i="16"/>
  <c r="S41" i="16"/>
  <c r="R41" i="16"/>
  <c r="Q41" i="16"/>
  <c r="P41" i="16"/>
  <c r="O41" i="16"/>
  <c r="N41" i="16"/>
  <c r="M41" i="16"/>
  <c r="E49" i="12"/>
  <c r="H36" i="12"/>
  <c r="H35" i="12"/>
  <c r="H34" i="12"/>
  <c r="H33" i="12"/>
  <c r="G52" i="16"/>
  <c r="F52" i="16"/>
  <c r="E52" i="16"/>
  <c r="D52" i="16"/>
  <c r="C52" i="16"/>
  <c r="B52" i="16"/>
  <c r="G51" i="16"/>
  <c r="F51" i="16"/>
  <c r="E51" i="16"/>
  <c r="D51" i="16"/>
  <c r="C51" i="16"/>
  <c r="B51" i="16"/>
  <c r="G50" i="16"/>
  <c r="F50" i="16"/>
  <c r="E50" i="16"/>
  <c r="D50" i="16"/>
  <c r="C50" i="16"/>
  <c r="B50" i="16"/>
  <c r="N49" i="16"/>
  <c r="M49" i="16"/>
  <c r="L49" i="16"/>
  <c r="N48" i="16"/>
  <c r="M48" i="16"/>
  <c r="L48" i="16"/>
  <c r="N47" i="16"/>
  <c r="M47" i="16"/>
  <c r="L47" i="16"/>
  <c r="H32" i="12"/>
  <c r="H31" i="12"/>
  <c r="H30" i="12"/>
  <c r="H29" i="12"/>
  <c r="H28" i="12"/>
  <c r="N31" i="16"/>
  <c r="M31" i="16"/>
  <c r="L31" i="16"/>
  <c r="N30" i="16"/>
  <c r="M30" i="16"/>
  <c r="L30" i="16"/>
  <c r="N29" i="16"/>
  <c r="M29" i="16"/>
  <c r="L29" i="16"/>
  <c r="G34" i="16"/>
  <c r="G33" i="16"/>
  <c r="G32" i="16"/>
  <c r="F34" i="16"/>
  <c r="F33" i="16"/>
  <c r="F32" i="16"/>
  <c r="E34" i="16"/>
  <c r="E33" i="16"/>
  <c r="E32" i="16"/>
  <c r="N13" i="16"/>
  <c r="M13" i="16"/>
  <c r="L13" i="16"/>
  <c r="L12" i="16"/>
  <c r="L11" i="16"/>
  <c r="D34" i="16"/>
  <c r="C34" i="16"/>
  <c r="B34" i="16"/>
  <c r="D33" i="16"/>
  <c r="C33" i="16"/>
  <c r="B33" i="16"/>
  <c r="D32" i="16"/>
  <c r="C32" i="16"/>
  <c r="B32" i="16"/>
  <c r="G16" i="16"/>
  <c r="F16" i="16"/>
  <c r="E16" i="16"/>
  <c r="D16" i="16"/>
  <c r="C16" i="16"/>
  <c r="B16" i="16"/>
  <c r="G15" i="16"/>
  <c r="F15" i="16"/>
  <c r="E15" i="16"/>
  <c r="D15" i="16"/>
  <c r="C15" i="16"/>
  <c r="B15" i="16"/>
  <c r="G14" i="16"/>
  <c r="F14" i="16"/>
  <c r="E14" i="16"/>
  <c r="D14" i="16"/>
  <c r="C14" i="16"/>
  <c r="B14" i="16"/>
  <c r="N12" i="16"/>
  <c r="M12" i="16"/>
  <c r="N11" i="16"/>
  <c r="M11" i="16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N31" i="9"/>
  <c r="M31" i="9"/>
  <c r="L31" i="9"/>
  <c r="N30" i="9"/>
  <c r="M30" i="9"/>
  <c r="L30" i="9"/>
  <c r="N29" i="9"/>
  <c r="M29" i="9"/>
  <c r="L29" i="9"/>
  <c r="N13" i="9"/>
  <c r="M13" i="9"/>
  <c r="M12" i="9"/>
  <c r="L13" i="9"/>
  <c r="L12" i="9"/>
  <c r="N12" i="9"/>
  <c r="N11" i="9"/>
  <c r="M11" i="9"/>
  <c r="L11" i="9"/>
  <c r="D34" i="9"/>
  <c r="C34" i="9"/>
  <c r="B34" i="9"/>
  <c r="D33" i="9"/>
  <c r="C33" i="9"/>
  <c r="B33" i="9"/>
  <c r="D32" i="9"/>
  <c r="C32" i="9"/>
  <c r="B32" i="9"/>
  <c r="H49" i="12" l="1"/>
  <c r="G14" i="9"/>
  <c r="G15" i="9"/>
  <c r="G16" i="9"/>
  <c r="F14" i="9"/>
  <c r="F15" i="9"/>
  <c r="F16" i="9"/>
  <c r="E16" i="9" l="1"/>
  <c r="E15" i="9"/>
  <c r="E14" i="9"/>
  <c r="D16" i="9" l="1"/>
  <c r="C16" i="9"/>
  <c r="B16" i="9"/>
  <c r="D15" i="9"/>
  <c r="C15" i="9"/>
  <c r="B15" i="9"/>
  <c r="D14" i="9"/>
  <c r="C14" i="9"/>
  <c r="B14" i="9"/>
  <c r="N26" i="9" s="1"/>
  <c r="D16" i="8"/>
  <c r="D15" i="8"/>
  <c r="D14" i="8"/>
  <c r="C16" i="8"/>
  <c r="C15" i="8"/>
  <c r="C14" i="8"/>
  <c r="B16" i="8"/>
  <c r="B15" i="8"/>
  <c r="B1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<sst xmlns="http://schemas.openxmlformats.org/spreadsheetml/2006/main" count="2214" uniqueCount="494">
  <si>
    <t>ケアレスミス</t>
    <phoneticPr fontId="1"/>
  </si>
  <si>
    <t>担当者</t>
    <rPh sb="0" eb="3">
      <t>タントウシャ</t>
    </rPh>
    <phoneticPr fontId="1"/>
  </si>
  <si>
    <t>前田</t>
    <rPh sb="0" eb="2">
      <t>マエダ</t>
    </rPh>
    <phoneticPr fontId="1"/>
  </si>
  <si>
    <t>解釈・あいまいな部分あり</t>
  </si>
  <si>
    <t>myTE勤怠情報チェック</t>
  </si>
  <si>
    <t>　</t>
  </si>
  <si>
    <t>FB数</t>
  </si>
  <si>
    <t>1工程</t>
  </si>
  <si>
    <t>2工程</t>
  </si>
  <si>
    <t>3工程</t>
  </si>
  <si>
    <t>ケアレスミス</t>
  </si>
  <si>
    <t>インシデントケース</t>
  </si>
  <si>
    <t>解釈・あいまいな部分あり？？→これはどうだろう？</t>
  </si>
  <si>
    <t>名前</t>
    <rPh sb="0" eb="2">
      <t>ナマエ</t>
    </rPh>
    <phoneticPr fontId="1"/>
  </si>
  <si>
    <t>村松</t>
    <rPh sb="0" eb="2">
      <t>ムラマツ</t>
    </rPh>
    <phoneticPr fontId="1"/>
  </si>
  <si>
    <t>服部</t>
    <rPh sb="0" eb="2">
      <t>ハットリ</t>
    </rPh>
    <phoneticPr fontId="1"/>
  </si>
  <si>
    <t>myTE作業工程(服部案)</t>
    <rPh sb="4" eb="8">
      <t>サギョウコウテイ</t>
    </rPh>
    <rPh sb="9" eb="12">
      <t>ハットリアン</t>
    </rPh>
    <phoneticPr fontId="1"/>
  </si>
  <si>
    <t>第一工程(ケアレスミス)FB数</t>
    <rPh sb="0" eb="4">
      <t>ダイイチコウテイ</t>
    </rPh>
    <rPh sb="14" eb="15">
      <t>スウ</t>
    </rPh>
    <phoneticPr fontId="1"/>
  </si>
  <si>
    <t>第一工程(インシデント)FB数</t>
    <rPh sb="0" eb="4">
      <t>ダイイチコウテイ</t>
    </rPh>
    <rPh sb="14" eb="15">
      <t>スウ</t>
    </rPh>
    <phoneticPr fontId="1"/>
  </si>
  <si>
    <t>第一工程(解釈)FB数</t>
    <rPh sb="0" eb="4">
      <t>ダイイチコウテイ</t>
    </rPh>
    <rPh sb="5" eb="7">
      <t>カイシャク</t>
    </rPh>
    <rPh sb="10" eb="11">
      <t>スウ</t>
    </rPh>
    <phoneticPr fontId="1"/>
  </si>
  <si>
    <t>第二工程(ケアレスミス)FB数</t>
    <rPh sb="0" eb="2">
      <t>ダイニ</t>
    </rPh>
    <rPh sb="2" eb="4">
      <t>コウテイ</t>
    </rPh>
    <rPh sb="14" eb="15">
      <t>スウ</t>
    </rPh>
    <phoneticPr fontId="1"/>
  </si>
  <si>
    <t>第二工程(インシデント)FB数</t>
    <rPh sb="0" eb="2">
      <t>ダイニ</t>
    </rPh>
    <rPh sb="2" eb="4">
      <t>コウテイ</t>
    </rPh>
    <rPh sb="14" eb="15">
      <t>スウ</t>
    </rPh>
    <phoneticPr fontId="1"/>
  </si>
  <si>
    <t>第二工程(解釈)FB数</t>
    <rPh sb="0" eb="2">
      <t>ダイニ</t>
    </rPh>
    <rPh sb="2" eb="4">
      <t>コウテイ</t>
    </rPh>
    <rPh sb="5" eb="7">
      <t>カイシャク</t>
    </rPh>
    <rPh sb="10" eb="11">
      <t>スウ</t>
    </rPh>
    <phoneticPr fontId="1"/>
  </si>
  <si>
    <t>作業年月ピリオド</t>
    <rPh sb="0" eb="2">
      <t>サギョウ</t>
    </rPh>
    <rPh sb="2" eb="4">
      <t>ネンツキ</t>
    </rPh>
    <phoneticPr fontId="1"/>
  </si>
  <si>
    <t>第三工程(ケアレスミス)FB数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</si>
  <si>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第三工程(インシデント)FB数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</si>
  <si>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第三工程(解釈)FB数</t>
    <rPh sb="0" eb="1">
      <t>ダイ</t>
    </rPh>
    <rPh sb="1" eb="2">
      <t>ミ</t>
    </rPh>
    <rPh sb="2" eb="4">
      <t>コウテイ</t>
    </rPh>
    <rPh sb="5" eb="7">
      <t>カイシャク</t>
    </rPh>
    <rPh sb="10" eb="11">
      <t>スウ</t>
    </rPh>
    <phoneticPr fontId="1"/>
  </si>
  <si>
    <t>木村</t>
    <rPh sb="0" eb="2">
      <t>キムラ</t>
    </rPh>
    <phoneticPr fontId="1"/>
  </si>
  <si>
    <t>中野</t>
    <rPh sb="0" eb="2">
      <t>ナカノ</t>
    </rPh>
    <phoneticPr fontId="1"/>
  </si>
  <si>
    <t>ダイクス</t>
    <phoneticPr fontId="1"/>
  </si>
  <si>
    <t>2024/2/15P</t>
    <phoneticPr fontId="1"/>
  </si>
  <si>
    <t>第一工程FB数</t>
    <rPh sb="0" eb="4">
      <t>ダイイチコウテイ</t>
    </rPh>
    <rPh sb="6" eb="7">
      <t>スウ</t>
    </rPh>
    <phoneticPr fontId="1"/>
  </si>
  <si>
    <t>第二工程FB数</t>
    <rPh sb="0" eb="2">
      <t>ダイニ</t>
    </rPh>
    <rPh sb="2" eb="4">
      <t>コウテイ</t>
    </rPh>
    <rPh sb="6" eb="7">
      <t>スウ</t>
    </rPh>
    <phoneticPr fontId="1"/>
  </si>
  <si>
    <t>第三工程FB数</t>
    <rPh sb="0" eb="4">
      <t>ダイサンコウテイ</t>
    </rPh>
    <rPh sb="6" eb="7">
      <t>スウ</t>
    </rPh>
    <phoneticPr fontId="1"/>
  </si>
  <si>
    <t>項目/名前</t>
    <rPh sb="0" eb="2">
      <t>コウモク</t>
    </rPh>
    <rPh sb="3" eb="5">
      <t>ナマエ</t>
    </rPh>
    <phoneticPr fontId="1"/>
  </si>
  <si>
    <t>2024/１/15P</t>
    <phoneticPr fontId="1"/>
  </si>
  <si>
    <t>渡邊</t>
    <rPh sb="0" eb="2">
      <t>ワタナベ</t>
    </rPh>
    <phoneticPr fontId="1"/>
  </si>
  <si>
    <t>2024/1/15P</t>
    <phoneticPr fontId="1"/>
  </si>
  <si>
    <t>2024/1/31P</t>
    <phoneticPr fontId="1"/>
  </si>
  <si>
    <t>ダイクス</t>
  </si>
  <si>
    <t>西川</t>
    <rPh sb="0" eb="2">
      <t>ニシカワ</t>
    </rPh>
    <phoneticPr fontId="1"/>
  </si>
  <si>
    <t>3/15P作業</t>
    <phoneticPr fontId="1"/>
  </si>
  <si>
    <t>3/31P作業</t>
    <phoneticPr fontId="1"/>
  </si>
  <si>
    <t>大竹</t>
    <rPh sb="0" eb="2">
      <t>オオタケ</t>
    </rPh>
    <phoneticPr fontId="1"/>
  </si>
  <si>
    <t>ダイクス</t>
    <phoneticPr fontId="1"/>
  </si>
  <si>
    <t>中野</t>
    <rPh sb="0" eb="2">
      <t>ナカノ</t>
    </rPh>
    <phoneticPr fontId="1"/>
  </si>
  <si>
    <t>渡邊</t>
    <rPh sb="0" eb="2">
      <t>ワタナベ</t>
    </rPh>
    <phoneticPr fontId="1"/>
  </si>
  <si>
    <t>2024年1月名前別FB件数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</si>
  <si>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名前</t>
    <rPh sb="0" eb="2">
      <t>ナマエ</t>
    </rPh>
    <phoneticPr fontId="1"/>
  </si>
  <si>
    <t>インシデント</t>
  </si>
  <si>
    <t>解釈</t>
    <rPh sb="0" eb="2">
      <t>カイシャク0</t>
    </rPh>
    <phoneticPr fontId="1"/>
  </si>
  <si>
    <t>FB数合計</t>
    <rPh sb="0" eb="5">
      <t>スウ0</t>
    </rPh>
    <phoneticPr fontId="1"/>
  </si>
  <si>
    <t>ケアレスミス</t>
    <phoneticPr fontId="1"/>
  </si>
  <si>
    <t>インシデント</t>
    <phoneticPr fontId="1"/>
  </si>
  <si>
    <t>解釈・理解があいまい</t>
    <rPh sb="0" eb="2">
      <t>カイシャク</t>
    </rPh>
    <rPh sb="3" eb="5">
      <t>リカイ</t>
    </rPh>
    <phoneticPr fontId="1"/>
  </si>
  <si>
    <t>①工程ケアレスミス</t>
    <rPh sb="1" eb="3">
      <t>コウテイ</t>
    </rPh>
    <phoneticPr fontId="1"/>
  </si>
  <si>
    <t>①工程インシデント</t>
    <rPh sb="1" eb="3">
      <t>コウテイ</t>
    </rPh>
    <phoneticPr fontId="1"/>
  </si>
  <si>
    <t>①工程解釈・理解があいまい</t>
    <rPh sb="1" eb="3">
      <t>コウテイ</t>
    </rPh>
    <rPh sb="3" eb="5">
      <t>カイシャク</t>
    </rPh>
    <rPh sb="6" eb="8">
      <t>リカイ</t>
    </rPh>
    <phoneticPr fontId="1"/>
  </si>
  <si>
    <t>②工程ケアレスミス</t>
    <rPh sb="1" eb="3">
      <t>コウテイ</t>
    </rPh>
    <phoneticPr fontId="1"/>
  </si>
  <si>
    <t>②工程インシデント</t>
    <rPh sb="1" eb="3">
      <t>コウテイ</t>
    </rPh>
    <phoneticPr fontId="1"/>
  </si>
  <si>
    <t>②工程解釈・理解があいまい</t>
    <rPh sb="1" eb="3">
      <t>コウテイ</t>
    </rPh>
    <rPh sb="3" eb="5">
      <t>カイシャク</t>
    </rPh>
    <rPh sb="6" eb="8">
      <t>リカイ</t>
    </rPh>
    <phoneticPr fontId="1"/>
  </si>
  <si>
    <t>③工程ケアレスミス</t>
    <rPh sb="1" eb="3">
      <t>コウテイ</t>
    </rPh>
    <phoneticPr fontId="1"/>
  </si>
  <si>
    <t>③工程インシデント</t>
    <rPh sb="1" eb="3">
      <t>コウテイ</t>
    </rPh>
    <phoneticPr fontId="1"/>
  </si>
  <si>
    <t>③工程解釈・理解があいまい</t>
    <rPh sb="1" eb="3">
      <t>コウテイ</t>
    </rPh>
    <rPh sb="3" eb="5">
      <t>カイシャク</t>
    </rPh>
    <rPh sb="6" eb="8">
      <t>リカイ</t>
    </rPh>
    <phoneticPr fontId="1"/>
  </si>
  <si>
    <t>渡邊</t>
    <phoneticPr fontId="1"/>
  </si>
  <si>
    <t>2024年2月名前別FB件数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</si>
  <si>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</si>
  <si>
    <t>担当/作業年月</t>
    <rPh sb="0" eb="2">
      <t>タントウ</t>
    </rPh>
    <rPh sb="3" eb="5">
      <t>サギョウ</t>
    </rPh>
    <rPh sb="5" eb="7">
      <t>ネンゲツ</t>
    </rPh>
    <phoneticPr fontId="1"/>
  </si>
  <si>
    <t>江藤</t>
    <rPh sb="0" eb="2">
      <t>エトウ</t>
    </rPh>
    <phoneticPr fontId="1"/>
  </si>
  <si>
    <t>FB件数理由別推移グラフ</t>
    <rPh sb="2" eb="4">
      <t>ケンスウ</t>
    </rPh>
    <rPh sb="4" eb="7">
      <t>リユウベツ</t>
    </rPh>
    <rPh sb="7" eb="9">
      <t>スイイ</t>
    </rPh>
    <phoneticPr fontId="1"/>
  </si>
  <si>
    <t>1.MyTE作業FB指摘ケアレスミス件数、推移グラフ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</si>
  <si>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2.MyTE作業FB指摘インシデント件数、推移グラフ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</si>
  <si>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3.MyTE作業FB指摘解釈、理解があいまい件数、推移グラフ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7">
      <t>スイイ</t>
    </rPh>
    <phoneticPr fontId="1"/>
  </si>
  <si>
    <t>FB件数理由別積み上げ棒グラフ</t>
    <rPh sb="2" eb="4">
      <t>ケンスウ</t>
    </rPh>
    <rPh sb="4" eb="7">
      <t>リユウベツ</t>
    </rPh>
    <rPh sb="7" eb="8">
      <t>ツ</t>
    </rPh>
    <rPh sb="9" eb="10">
      <t>ア</t>
    </rPh>
    <rPh sb="11" eb="12">
      <t>ボウ</t>
    </rPh>
    <phoneticPr fontId="1"/>
  </si>
  <si>
    <t>2023/9/15P</t>
    <phoneticPr fontId="1"/>
  </si>
  <si>
    <t>20239/30P</t>
    <phoneticPr fontId="1"/>
  </si>
  <si>
    <t>2023/9/30P</t>
    <phoneticPr fontId="1"/>
  </si>
  <si>
    <t>2024/9/30P</t>
    <phoneticPr fontId="1"/>
  </si>
  <si>
    <t>2023年9月名前別FB件数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</si>
  <si>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2023年10月名前別FB件数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</si>
  <si>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2023/10/15P</t>
    <phoneticPr fontId="1"/>
  </si>
  <si>
    <t>2023/10/31P</t>
    <phoneticPr fontId="1"/>
  </si>
  <si>
    <t>2023/11/15P</t>
  </si>
  <si>
    <t>2023/11/15P</t>
    <phoneticPr fontId="1"/>
  </si>
  <si>
    <t>2023/11/30P</t>
  </si>
  <si>
    <t>2023年11月名前別FB件数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</si>
  <si>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集計</t>
  </si>
  <si>
    <t>2023/12/15P</t>
    <phoneticPr fontId="1"/>
  </si>
  <si>
    <t>2023/12/31P</t>
    <phoneticPr fontId="1"/>
  </si>
  <si>
    <t>2023年12月名前別FB件数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</si>
  <si>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西川</t>
    <rPh sb="0" eb="2">
      <t>ニシカワ</t>
    </rPh>
    <phoneticPr fontId="1"/>
  </si>
  <si>
    <t>※直接修正あり</t>
    <rPh sb="1" eb="3">
      <t>チョクセツ</t>
    </rPh>
    <rPh sb="3" eb="5">
      <t>シュウセイ</t>
    </rPh>
    <phoneticPr fontId="1"/>
  </si>
  <si>
    <t>※チェック後に送信ミスあり</t>
    <rPh sb="5" eb="6">
      <t>ゴ</t>
    </rPh>
    <rPh sb="7" eb="9">
      <t>ソウシン</t>
    </rPh>
    <phoneticPr fontId="1"/>
  </si>
  <si>
    <t>※記事作成/英訳追加を①、Teams配信を②、メール配信を③とする</t>
    <rPh sb="1" eb="3">
      <t>キジ</t>
    </rPh>
    <rPh sb="3" eb="5">
      <t>サクセイ</t>
    </rPh>
    <rPh sb="6" eb="8">
      <t>エイヤク</t>
    </rPh>
    <rPh sb="8" eb="10">
      <t>ツイカ</t>
    </rPh>
    <rPh sb="18" eb="20">
      <t>ハイシン</t>
    </rPh>
    <rPh sb="26" eb="28">
      <t>ハイシン</t>
    </rPh>
    <phoneticPr fontId="1"/>
  </si>
  <si>
    <t>合計</t>
    <rPh sb="0" eb="2">
      <t>ゴウケイ</t>
    </rPh>
    <phoneticPr fontId="1"/>
  </si>
  <si>
    <t>I&amp;D作業工程(服部案)</t>
    <rPh sb="3" eb="7">
      <t>サギョウコウテイ</t>
    </rPh>
    <rPh sb="8" eb="11">
      <t>ハットリアン</t>
    </rPh>
    <phoneticPr fontId="1"/>
  </si>
  <si>
    <t>担当者</t>
    <rPh sb="0" eb="2">
      <t>サギョウタントウ00</t>
    </rPh>
    <phoneticPr fontId="1"/>
  </si>
  <si>
    <t>2023/9</t>
    <phoneticPr fontId="1"/>
  </si>
  <si>
    <t>0348</t>
    <phoneticPr fontId="1"/>
  </si>
  <si>
    <t>江藤</t>
    <rPh sb="0" eb="2">
      <t>エトウ</t>
    </rPh>
    <phoneticPr fontId="1"/>
  </si>
  <si>
    <t>照井</t>
    <rPh sb="0" eb="2">
      <t>テルイ</t>
    </rPh>
    <phoneticPr fontId="1"/>
  </si>
  <si>
    <t>0349</t>
    <phoneticPr fontId="1"/>
  </si>
  <si>
    <t>0350</t>
  </si>
  <si>
    <t>0351</t>
  </si>
  <si>
    <t>0352</t>
  </si>
  <si>
    <t>0353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</si>
  <si>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</si>
  <si>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</si>
  <si>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</si>
  <si>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</si>
  <si>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</si>
  <si>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</si>
  <si>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</si>
  <si>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</si>
  <si>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</si>
  <si>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</si>
  <si>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</si>
  <si>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</si>
  <si>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</si>
  <si>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</si>
  <si>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</si>
  <si>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</si>
  <si>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</si>
  <si>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</si>
  <si>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</si>
  <si>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</si>
  <si>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</si>
  <si>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</si>
  <si>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0376</t>
  </si>
  <si>
    <t>0377</t>
  </si>
  <si>
    <t>0378</t>
  </si>
  <si>
    <t>0379</t>
  </si>
  <si>
    <t>0380</t>
  </si>
  <si>
    <t>0381</t>
  </si>
  <si>
    <t>0382</t>
  </si>
  <si>
    <t>0384</t>
  </si>
  <si>
    <t>0385</t>
  </si>
  <si>
    <t>0386</t>
  </si>
  <si>
    <t>0387</t>
  </si>
  <si>
    <t>0388</t>
  </si>
  <si>
    <t>0389</t>
  </si>
  <si>
    <t>0390</t>
  </si>
  <si>
    <t>0391</t>
  </si>
  <si>
    <t>0392</t>
  </si>
  <si>
    <t>0393</t>
  </si>
  <si>
    <t>0394</t>
  </si>
  <si>
    <t>0395</t>
  </si>
  <si>
    <t>0396</t>
  </si>
  <si>
    <t>前田</t>
    <rPh sb="0" eb="2">
      <t>マエダ</t>
    </rPh>
    <phoneticPr fontId="1"/>
  </si>
  <si>
    <t>服部</t>
    <rPh sb="0" eb="2">
      <t>ハットリ</t>
    </rPh>
    <phoneticPr fontId="1"/>
  </si>
  <si>
    <t>深澤</t>
    <rPh sb="0" eb="2">
      <t>フカザワ</t>
    </rPh>
    <phoneticPr fontId="1"/>
  </si>
  <si>
    <t>長谷川</t>
    <rPh sb="0" eb="3">
      <t>ハセガワ</t>
    </rPh>
    <phoneticPr fontId="1"/>
  </si>
  <si>
    <t>和田</t>
    <rPh sb="0" eb="2">
      <t>ワダ</t>
    </rPh>
    <phoneticPr fontId="1"/>
  </si>
  <si>
    <t>2023/10</t>
    <phoneticPr fontId="1"/>
  </si>
  <si>
    <t>'2023/10</t>
    <phoneticPr fontId="1"/>
  </si>
  <si>
    <t>西川</t>
    <rPh sb="0" eb="2">
      <t>ニシカワ</t>
    </rPh>
    <phoneticPr fontId="1"/>
  </si>
  <si>
    <t>件数</t>
    <rPh sb="0" eb="2">
      <t>ケンスウ</t>
    </rPh>
    <phoneticPr fontId="1"/>
  </si>
  <si>
    <t>2023/11</t>
    <phoneticPr fontId="1"/>
  </si>
  <si>
    <t>1.I&amp;D作業FB指摘ケアレスミス件数、積み上げグラフ</t>
    <rPh sb="5" eb="7">
      <t>サギョウ</t>
    </rPh>
    <rPh sb="9" eb="11">
      <t>シテキ</t>
    </rPh>
    <rPh sb="17" eb="19">
      <t>ケンスウ</t>
    </rPh>
    <rPh sb="20" eb="21">
      <t>ツ</t>
    </rPh>
    <rPh sb="22" eb="23">
      <t>ア</t>
    </rPh>
    <phoneticPr fontId="1"/>
  </si>
  <si>
    <t>2.I&amp;D作業FB指摘インシデント件数、積み上げグラフ</t>
    <rPh sb="5" eb="7">
      <t>サギョウ</t>
    </rPh>
    <rPh sb="9" eb="11">
      <t>シテキ</t>
    </rPh>
    <rPh sb="17" eb="19">
      <t>ケンスウ</t>
    </rPh>
    <phoneticPr fontId="1"/>
  </si>
  <si>
    <t>3.I&amp;D作業FB指摘解釈、理解があいまい件数、推移グラフ</t>
    <rPh sb="5" eb="7">
      <t>サギョウ</t>
    </rPh>
    <rPh sb="9" eb="11">
      <t>シテキ</t>
    </rPh>
    <rPh sb="11" eb="13">
      <t>カイシャク</t>
    </rPh>
    <rPh sb="14" eb="16">
      <t>リカイ</t>
    </rPh>
    <rPh sb="21" eb="23">
      <t>ケンスウ</t>
    </rPh>
    <rPh sb="24" eb="26">
      <t>スイイ</t>
    </rPh>
    <phoneticPr fontId="1"/>
  </si>
  <si>
    <t>2023/12</t>
    <phoneticPr fontId="1"/>
  </si>
  <si>
    <t>2024/1</t>
    <phoneticPr fontId="1"/>
  </si>
  <si>
    <t>渡邊</t>
    <rPh sb="0" eb="2">
      <t>ワタナベ</t>
    </rPh>
    <phoneticPr fontId="1"/>
  </si>
  <si>
    <t>2024/2</t>
    <phoneticPr fontId="1"/>
  </si>
  <si>
    <t>中野</t>
    <rPh sb="0" eb="2">
      <t>ナカノ</t>
    </rPh>
    <phoneticPr fontId="1"/>
  </si>
  <si>
    <t>ダイクス</t>
    <phoneticPr fontId="1"/>
  </si>
  <si>
    <t>本山</t>
    <rPh sb="0" eb="2">
      <t>モトヤマ</t>
    </rPh>
    <phoneticPr fontId="1"/>
  </si>
  <si>
    <t>0397</t>
  </si>
  <si>
    <t>0399</t>
  </si>
  <si>
    <t>0400</t>
  </si>
  <si>
    <t>※Python導入後の2024年1月から集計開始</t>
    <rPh sb="7" eb="9">
      <t>ドウニュウ</t>
    </rPh>
    <rPh sb="9" eb="10">
      <t>ゴ</t>
    </rPh>
    <rPh sb="15" eb="16">
      <t>ネン</t>
    </rPh>
    <rPh sb="17" eb="18">
      <t>ガツ</t>
    </rPh>
    <rPh sb="20" eb="22">
      <t>シュウケイ</t>
    </rPh>
    <rPh sb="22" eb="24">
      <t>カイシ</t>
    </rPh>
    <phoneticPr fontId="1"/>
  </si>
  <si>
    <t>I&amp;D 作業工程(服部案)</t>
    <rPh sb="4" eb="8">
      <t>サギョウコウテイ</t>
    </rPh>
    <rPh sb="9" eb="12">
      <t>ハットリアン</t>
    </rPh>
    <phoneticPr fontId="1"/>
  </si>
  <si>
    <t>人事異動 FB数集計</t>
    <rPh sb="0" eb="4">
      <t>ジンジイドウ</t>
    </rPh>
    <rPh sb="7" eb="8">
      <t>スウ</t>
    </rPh>
    <rPh sb="8" eb="10">
      <t>シュウケイ</t>
    </rPh>
    <phoneticPr fontId="1"/>
  </si>
  <si>
    <t>FB件数理由別積み上げグラフ</t>
    <rPh sb="2" eb="4">
      <t>ケンスウ</t>
    </rPh>
    <rPh sb="4" eb="7">
      <t>リユウベツ</t>
    </rPh>
    <rPh sb="7" eb="8">
      <t>ツ</t>
    </rPh>
    <rPh sb="9" eb="10">
      <t>ア</t>
    </rPh>
    <phoneticPr fontId="1"/>
  </si>
  <si>
    <t>人事異動・組織改編FB率グラフ</t>
    <phoneticPr fontId="1"/>
  </si>
  <si>
    <t>第一週(ケアレスミス)FB数</t>
    <rPh sb="0" eb="1">
      <t>ダイ</t>
    </rPh>
    <rPh sb="1" eb="2">
      <t>イチ</t>
    </rPh>
    <rPh sb="2" eb="3">
      <t>シュウ</t>
    </rPh>
    <rPh sb="13" eb="14">
      <t>スウ</t>
    </rPh>
    <phoneticPr fontId="1"/>
  </si>
  <si>
    <t>第一週(インシデント)FB数</t>
    <rPh sb="0" eb="2">
      <t>ダイイチ</t>
    </rPh>
    <rPh sb="2" eb="3">
      <t>シュウ</t>
    </rPh>
    <rPh sb="13" eb="14">
      <t>スウ</t>
    </rPh>
    <phoneticPr fontId="1"/>
  </si>
  <si>
    <t>第一週(解釈)FB数</t>
    <rPh sb="0" eb="2">
      <t>ダイイチ</t>
    </rPh>
    <rPh sb="2" eb="3">
      <t>シュウ</t>
    </rPh>
    <rPh sb="4" eb="6">
      <t>カイシャク</t>
    </rPh>
    <rPh sb="9" eb="10">
      <t>スウ</t>
    </rPh>
    <phoneticPr fontId="1"/>
  </si>
  <si>
    <t>第二週(ケアレスミス)FB数</t>
    <rPh sb="0" eb="2">
      <t>ダイニ</t>
    </rPh>
    <rPh sb="2" eb="3">
      <t>シュウ</t>
    </rPh>
    <rPh sb="13" eb="14">
      <t>スウ</t>
    </rPh>
    <phoneticPr fontId="1"/>
  </si>
  <si>
    <t>第二週(インシデント)FB数</t>
    <rPh sb="0" eb="2">
      <t>ダイニ</t>
    </rPh>
    <rPh sb="2" eb="3">
      <t>シュウ</t>
    </rPh>
    <rPh sb="13" eb="14">
      <t>スウ</t>
    </rPh>
    <phoneticPr fontId="1"/>
  </si>
  <si>
    <t>第二週(解釈)FB数</t>
    <rPh sb="0" eb="2">
      <t>ダイニ</t>
    </rPh>
    <rPh sb="2" eb="3">
      <t>シュウ</t>
    </rPh>
    <rPh sb="4" eb="6">
      <t>カイシャク</t>
    </rPh>
    <rPh sb="9" eb="10">
      <t>スウ</t>
    </rPh>
    <phoneticPr fontId="1"/>
  </si>
  <si>
    <t>第三週(ケアレスミス)FB数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</si>
  <si>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第三週(インシデント)FB数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</si>
  <si>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第三週(解釈)FB数</t>
    <rPh sb="0" eb="1">
      <t>ダイ</t>
    </rPh>
    <rPh sb="1" eb="2">
      <t>ミ</t>
    </rPh>
    <rPh sb="2" eb="3">
      <t>シュウ</t>
    </rPh>
    <rPh sb="4" eb="6">
      <t>カイシャク</t>
    </rPh>
    <rPh sb="9" eb="10">
      <t>スウ</t>
    </rPh>
    <phoneticPr fontId="1"/>
  </si>
  <si>
    <t>第四週(ケアレスミス)FB数</t>
    <rPh sb="1" eb="2">
      <t>ヨン</t>
    </rPh>
    <phoneticPr fontId="1"/>
  </si>
  <si>
    <t>第四週(インシデント)FB数</t>
    <rPh sb="1" eb="2">
      <t>ヨン</t>
    </rPh>
    <phoneticPr fontId="1"/>
  </si>
  <si>
    <t>第四週(解釈)FB数</t>
    <rPh sb="4" eb="6">
      <t>カイシャク</t>
    </rPh>
    <phoneticPr fontId="1"/>
  </si>
  <si>
    <t>江藤</t>
    <rPh sb="0" eb="2">
      <t>エトウ</t>
    </rPh>
    <phoneticPr fontId="1"/>
  </si>
  <si>
    <t>照井</t>
    <rPh sb="0" eb="2">
      <t>テルイ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</si>
  <si>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</si>
  <si>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</si>
  <si>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和田</t>
    <rPh sb="0" eb="2">
      <t>ワダ</t>
    </rPh>
    <phoneticPr fontId="1"/>
  </si>
  <si>
    <t>深澤</t>
    <rPh sb="0" eb="2">
      <t>フカザワ</t>
    </rPh>
    <phoneticPr fontId="1"/>
  </si>
  <si>
    <t>長谷川</t>
    <rPh sb="0" eb="3">
      <t>ハセガワ</t>
    </rPh>
    <phoneticPr fontId="1"/>
  </si>
  <si>
    <t>西川</t>
    <rPh sb="0" eb="2">
      <t>ニシカワ</t>
    </rPh>
    <phoneticPr fontId="1"/>
  </si>
  <si>
    <t>2024/2</t>
  </si>
  <si>
    <t>転記件数</t>
    <rPh sb="0" eb="4">
      <t>テンキケンスウ</t>
    </rPh>
    <phoneticPr fontId="1"/>
  </si>
  <si>
    <t>2月ケアレスミス件数</t>
    <rPh sb="1" eb="2">
      <t>ガツ</t>
    </rPh>
    <rPh sb="8" eb="10">
      <t>ケンスウ</t>
    </rPh>
    <phoneticPr fontId="1"/>
  </si>
  <si>
    <t>2月インシデント件数</t>
    <rPh sb="1" eb="2">
      <t>ガツ</t>
    </rPh>
    <rPh sb="8" eb="10">
      <t>ケンスウ</t>
    </rPh>
    <phoneticPr fontId="1"/>
  </si>
  <si>
    <t>2月解釈、あいまいFB件数</t>
    <rPh sb="1" eb="2">
      <t>ガツ</t>
    </rPh>
    <rPh sb="2" eb="4">
      <t>カイシャク</t>
    </rPh>
    <rPh sb="11" eb="13">
      <t>ケンスウ</t>
    </rPh>
    <phoneticPr fontId="1"/>
  </si>
  <si>
    <t>1月ケアレスミス件数</t>
    <rPh sb="1" eb="2">
      <t>ガツ</t>
    </rPh>
    <rPh sb="8" eb="10">
      <t>ケンスウ</t>
    </rPh>
    <phoneticPr fontId="1"/>
  </si>
  <si>
    <t>1月インシデント件数</t>
    <rPh sb="1" eb="2">
      <t>ガツ</t>
    </rPh>
    <rPh sb="8" eb="10">
      <t>ケンスウ</t>
    </rPh>
    <phoneticPr fontId="1"/>
  </si>
  <si>
    <t>1月解釈、あいまいFB件数</t>
    <rPh sb="1" eb="2">
      <t>ガツ</t>
    </rPh>
    <rPh sb="2" eb="4">
      <t>カイシャク</t>
    </rPh>
    <rPh sb="11" eb="13">
      <t>ケンスウ</t>
    </rPh>
    <phoneticPr fontId="1"/>
  </si>
  <si>
    <t>1月FB件数合計</t>
    <rPh sb="1" eb="2">
      <t>ガツ</t>
    </rPh>
    <rPh sb="4" eb="8">
      <t>ケンスウゴウケイ</t>
    </rPh>
    <phoneticPr fontId="1"/>
  </si>
  <si>
    <t>FB率(%)</t>
    <rPh sb="2" eb="3">
      <t>リツ</t>
    </rPh>
    <phoneticPr fontId="1"/>
  </si>
  <si>
    <t>2月FB件数合計</t>
    <rPh sb="1" eb="2">
      <t>ガツ</t>
    </rPh>
    <rPh sb="4" eb="8">
      <t>ケンスウゴウケイ</t>
    </rPh>
    <phoneticPr fontId="1"/>
  </si>
  <si>
    <t>2.人事異動転記作業FB指摘インシデント件数、積み上げグラフ</t>
    <rPh sb="8" eb="10">
      <t>サギョウ</t>
    </rPh>
    <rPh sb="12" eb="14">
      <t>シテキ</t>
    </rPh>
    <rPh sb="20" eb="22">
      <t>ケンスウ</t>
    </rPh>
    <phoneticPr fontId="1"/>
  </si>
  <si>
    <t>3.人事異動転記作業FB指摘解釈、理解があいまい件数、推移グラフ</t>
    <rPh sb="8" eb="10">
      <t>サギョウ</t>
    </rPh>
    <rPh sb="12" eb="14">
      <t>シテキ</t>
    </rPh>
    <rPh sb="14" eb="16">
      <t>カイシャク</t>
    </rPh>
    <rPh sb="17" eb="19">
      <t>リカイ</t>
    </rPh>
    <rPh sb="24" eb="26">
      <t>ケンスウ</t>
    </rPh>
    <rPh sb="27" eb="29">
      <t>スイイ</t>
    </rPh>
    <phoneticPr fontId="1"/>
  </si>
  <si>
    <t>1.人事異動転記作業、ケアレスミスFB指摘率累積積み上げ棒グラフ</t>
    <rPh sb="8" eb="10">
      <t>サギョウ</t>
    </rPh>
    <rPh sb="19" eb="21">
      <t>シテキ</t>
    </rPh>
    <rPh sb="21" eb="22">
      <t>リツ</t>
    </rPh>
    <rPh sb="22" eb="25">
      <t>ルイセキツ</t>
    </rPh>
    <rPh sb="26" eb="27">
      <t>ア</t>
    </rPh>
    <rPh sb="28" eb="29">
      <t>ボウ</t>
    </rPh>
    <phoneticPr fontId="1"/>
  </si>
  <si>
    <t>本山</t>
    <rPh sb="0" eb="2">
      <t>モトヤマ</t>
    </rPh>
    <phoneticPr fontId="1"/>
  </si>
  <si>
    <t>3.人事異動・組織改編作業FB指摘率(解釈、理解があいまい)推移グラフ</t>
    <rPh sb="11" eb="13">
      <t>サギョウ</t>
    </rPh>
    <rPh sb="15" eb="17">
      <t>シテキ</t>
    </rPh>
    <rPh sb="17" eb="18">
      <t>リツ</t>
    </rPh>
    <rPh sb="19" eb="21">
      <t>カイシャク</t>
    </rPh>
    <rPh sb="22" eb="24">
      <t>リカイ</t>
    </rPh>
    <rPh sb="30" eb="32">
      <t>スイイ</t>
    </rPh>
    <phoneticPr fontId="1"/>
  </si>
  <si>
    <t>2.人事異動・組織改編作業FB指摘率(インシデント)推移グラフ</t>
    <phoneticPr fontId="1"/>
  </si>
  <si>
    <t>1.人事異動・組織改編作業FB指摘率(ケアレスミス)推移グラフ</t>
    <phoneticPr fontId="1"/>
  </si>
  <si>
    <t>FB率</t>
    <rPh sb="2" eb="3">
      <t>リツ</t>
    </rPh>
    <phoneticPr fontId="1"/>
  </si>
  <si>
    <t>対象月</t>
    <rPh sb="0" eb="2">
      <t>タイショウ</t>
    </rPh>
    <rPh sb="2" eb="3">
      <t>ツキ</t>
    </rPh>
    <phoneticPr fontId="1"/>
  </si>
  <si>
    <t>渡邊</t>
    <rPh sb="0" eb="2">
      <t>ワタナベ</t>
    </rPh>
    <phoneticPr fontId="1"/>
  </si>
  <si>
    <t>0401</t>
  </si>
  <si>
    <t>0402</t>
  </si>
  <si>
    <t>0403</t>
  </si>
  <si>
    <t>0404</t>
  </si>
  <si>
    <t>0405</t>
  </si>
  <si>
    <t>0406</t>
  </si>
  <si>
    <t>0158</t>
    <phoneticPr fontId="1"/>
  </si>
  <si>
    <t>①</t>
    <phoneticPr fontId="1"/>
  </si>
  <si>
    <t>②</t>
    <phoneticPr fontId="1"/>
  </si>
  <si>
    <t>③</t>
    <phoneticPr fontId="1"/>
  </si>
  <si>
    <t>0159</t>
    <phoneticPr fontId="1"/>
  </si>
  <si>
    <t>0160</t>
    <phoneticPr fontId="1"/>
  </si>
  <si>
    <t>0162</t>
    <phoneticPr fontId="1"/>
  </si>
  <si>
    <t>0163</t>
    <phoneticPr fontId="1"/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</si>
  <si>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</si>
  <si>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</si>
  <si>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</si>
  <si>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</si>
  <si>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</si>
  <si>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</si>
  <si>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</si>
  <si>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</si>
  <si>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</si>
  <si>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</si>
  <si>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</si>
  <si>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</si>
  <si>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</si>
  <si>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</si>
  <si>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</si>
  <si>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</si>
  <si>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</si>
  <si>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</si>
  <si>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</si>
  <si>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</si>
  <si>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</si>
  <si>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</si>
  <si>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</si>
  <si>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</si>
  <si>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</si>
  <si>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</si>
  <si>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</si>
  <si>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</si>
  <si>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</si>
  <si>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</si>
  <si>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</si>
  <si>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</si>
  <si>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</si>
  <si>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</si>
  <si>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</si>
  <si>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</si>
  <si>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</si>
  <si>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</si>
  <si>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</si>
  <si>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</si>
  <si>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</si>
  <si>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</si>
  <si>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</si>
  <si>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</si>
  <si>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</si>
  <si>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</si>
  <si>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</si>
  <si>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</si>
  <si>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</si>
  <si>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</si>
  <si>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工程</t>
    <rPh sb="0" eb="2">
      <t>コウテイ</t>
    </rPh>
    <phoneticPr fontId="1"/>
  </si>
  <si>
    <t>工程</t>
    <rPh sb="0" eb="2">
      <t>コウテイ</t>
    </rPh>
    <phoneticPr fontId="1"/>
  </si>
  <si>
    <t>①</t>
    <phoneticPr fontId="1"/>
  </si>
  <si>
    <t>②</t>
    <phoneticPr fontId="1"/>
  </si>
  <si>
    <t>③</t>
    <phoneticPr fontId="1"/>
  </si>
  <si>
    <t>0072</t>
    <phoneticPr fontId="1"/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</si>
  <si>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</si>
  <si>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</si>
  <si>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</si>
  <si>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</si>
  <si>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</si>
  <si>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</si>
  <si>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</si>
  <si>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</si>
  <si>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</si>
  <si>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</si>
  <si>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</si>
  <si>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</si>
  <si>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</si>
  <si>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</si>
  <si>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</si>
  <si>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</si>
  <si>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</si>
  <si>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</si>
  <si>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</si>
  <si>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</si>
  <si>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</si>
  <si>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</si>
  <si>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</si>
  <si>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</si>
  <si>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</si>
  <si>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</si>
  <si>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</si>
  <si>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</si>
  <si>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</si>
  <si>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</si>
  <si>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</si>
  <si>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</si>
  <si>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</si>
  <si>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</si>
  <si>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</si>
  <si>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</si>
  <si>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0091</t>
    <phoneticPr fontId="1"/>
  </si>
  <si>
    <t>0111</t>
  </si>
  <si>
    <t>対象</t>
    <rPh sb="0" eb="2">
      <t>タイショウ0</t>
    </rPh>
    <phoneticPr fontId="1"/>
  </si>
  <si>
    <t>1.サーバールーム転記作業、ケアレスミスFB指摘率累積積み上げ棒グラフ</t>
    <rPh sb="9" eb="11">
      <t>テンキ</t>
    </rPh>
    <rPh sb="11" eb="13">
      <t>サギョウ</t>
    </rPh>
    <rPh sb="22" eb="24">
      <t>シテキ</t>
    </rPh>
    <rPh sb="24" eb="25">
      <t>リツ</t>
    </rPh>
    <rPh sb="25" eb="28">
      <t>ルイセキツ</t>
    </rPh>
    <rPh sb="29" eb="30">
      <t>ア</t>
    </rPh>
    <rPh sb="31" eb="32">
      <t>ボウ</t>
    </rPh>
    <phoneticPr fontId="1"/>
  </si>
  <si>
    <t>2.サーバールーム転記作業FB指摘インシデント件数、積み上げグラフ</t>
    <rPh sb="11" eb="13">
      <t>サギョウ</t>
    </rPh>
    <rPh sb="15" eb="17">
      <t>シテキ</t>
    </rPh>
    <rPh sb="23" eb="25">
      <t>ケンスウ</t>
    </rPh>
    <phoneticPr fontId="1"/>
  </si>
  <si>
    <t>3.サーバールーム転記作業FB指摘解釈、理解があいまい件数、推移グラフ</t>
    <rPh sb="11" eb="13">
      <t>サギョウ</t>
    </rPh>
    <rPh sb="15" eb="17">
      <t>シテキ</t>
    </rPh>
    <rPh sb="17" eb="19">
      <t>カイシャク</t>
    </rPh>
    <rPh sb="20" eb="22">
      <t>リカイ</t>
    </rPh>
    <rPh sb="27" eb="29">
      <t>ケンスウ</t>
    </rPh>
    <rPh sb="30" eb="32">
      <t>スイイ</t>
    </rPh>
    <phoneticPr fontId="1"/>
  </si>
  <si>
    <t>谷口</t>
    <rPh sb="0" eb="2">
      <t>タニグチ</t>
    </rPh>
    <phoneticPr fontId="1"/>
  </si>
  <si>
    <t>野沢</t>
    <rPh sb="0" eb="2">
      <t>ノザワ</t>
    </rPh>
    <phoneticPr fontId="1"/>
  </si>
  <si>
    <t>対象</t>
    <rPh sb="0" eb="2">
      <t>サギョウタイショウ000</t>
    </rPh>
    <phoneticPr fontId="1"/>
  </si>
  <si>
    <t>0407</t>
  </si>
  <si>
    <t>0408</t>
  </si>
  <si>
    <t>]</t>
    <phoneticPr fontId="1"/>
  </si>
  <si>
    <t>FY24/Jpit月次基板 FB件数</t>
    <rPh sb="9" eb="11">
      <t>ゲツジ</t>
    </rPh>
    <rPh sb="11" eb="13">
      <t>キバン</t>
    </rPh>
    <rPh sb="16" eb="18">
      <t>ケンスウ</t>
    </rPh>
    <phoneticPr fontId="1"/>
  </si>
  <si>
    <t>0383</t>
    <phoneticPr fontId="1"/>
  </si>
  <si>
    <t>FY24/A1052_HPS_JPiT_MyTE勤怠予定実績チェック_作業工程別FB件数</t>
    <rPh sb="35" eb="39">
      <t>サギョウコウテイ</t>
    </rPh>
    <rPh sb="39" eb="40">
      <t>ベツ</t>
    </rPh>
    <rPh sb="42" eb="44">
      <t>ケンスウ</t>
    </rPh>
    <phoneticPr fontId="1"/>
  </si>
  <si>
    <t>FY24/A1031_I&amp;D_Women's stories記事配信_FB件数</t>
    <rPh sb="37" eb="39">
      <t>ケンスウ</t>
    </rPh>
    <phoneticPr fontId="1"/>
  </si>
  <si>
    <t>FY24/A1025_PRD_人事異動・組織改編情報チェック_FB数</t>
    <rPh sb="15" eb="17">
      <t>ジンジ</t>
    </rPh>
    <rPh sb="17" eb="19">
      <t>イドウ</t>
    </rPh>
    <rPh sb="20" eb="22">
      <t>ソシキ</t>
    </rPh>
    <rPh sb="22" eb="24">
      <t>カイヘン</t>
    </rPh>
    <rPh sb="24" eb="26">
      <t>ジョウホウ</t>
    </rPh>
    <rPh sb="33" eb="34">
      <t>スウ</t>
    </rPh>
    <phoneticPr fontId="1"/>
  </si>
  <si>
    <t>※直接修正あり</t>
    <rPh sb="1" eb="5">
      <t>チョクセツシュウセイ</t>
    </rPh>
    <phoneticPr fontId="1"/>
  </si>
  <si>
    <t>0213</t>
    <phoneticPr fontId="1"/>
  </si>
  <si>
    <t>0112</t>
  </si>
  <si>
    <t>0113</t>
  </si>
  <si>
    <t>0114</t>
  </si>
  <si>
    <t>①</t>
    <phoneticPr fontId="1"/>
  </si>
  <si>
    <t>②</t>
    <phoneticPr fontId="1"/>
  </si>
  <si>
    <t>③</t>
    <phoneticPr fontId="1"/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</si>
  <si>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</si>
  <si>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</si>
  <si>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</si>
  <si>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</si>
  <si>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</si>
  <si>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</si>
  <si>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</si>
  <si>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</si>
  <si>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</si>
  <si>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</si>
  <si>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</si>
  <si>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</si>
  <si>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照井</t>
    <rPh sb="0" eb="2">
      <t>テルイ</t>
    </rPh>
    <phoneticPr fontId="1"/>
  </si>
  <si>
    <t>その他</t>
    <rPh sb="2" eb="3">
      <t>タ</t>
    </rPh>
    <phoneticPr fontId="1"/>
  </si>
  <si>
    <t>その他</t>
    <rPh sb="2" eb="3">
      <t>タ</t>
    </rPh>
    <phoneticPr fontId="1"/>
  </si>
  <si>
    <t>その他</t>
    <rPh sb="2" eb="3">
      <t>タ</t>
    </rPh>
    <phoneticPr fontId="1"/>
  </si>
  <si>
    <t>0421</t>
  </si>
  <si>
    <t>0422</t>
  </si>
  <si>
    <t>0423</t>
  </si>
  <si>
    <t>0424</t>
  </si>
  <si>
    <t>照井</t>
    <rPh sb="0" eb="2">
      <t>テルイ</t>
    </rPh>
    <phoneticPr fontId="1"/>
  </si>
  <si>
    <t>1.Jpit月次基盤転記作業、ケアレスミスFB指摘率累積積み上げ棒グラフ</t>
    <rPh sb="10" eb="12">
      <t>テンキ</t>
    </rPh>
    <rPh sb="12" eb="14">
      <t>サギョウ</t>
    </rPh>
    <rPh sb="23" eb="25">
      <t>シテキ</t>
    </rPh>
    <rPh sb="25" eb="26">
      <t>リツ</t>
    </rPh>
    <rPh sb="26" eb="29">
      <t>ルイセキツ</t>
    </rPh>
    <rPh sb="30" eb="31">
      <t>ア</t>
    </rPh>
    <rPh sb="32" eb="33">
      <t>ボウ</t>
    </rPh>
    <phoneticPr fontId="1"/>
  </si>
  <si>
    <t>2.Jpit月次基盤転記作業FB指摘インシデント件数、積み上げグラフ</t>
    <rPh sb="12" eb="14">
      <t>サギョウ</t>
    </rPh>
    <rPh sb="16" eb="18">
      <t>シテキ</t>
    </rPh>
    <rPh sb="24" eb="26">
      <t>ケンスウ</t>
    </rPh>
    <phoneticPr fontId="1"/>
  </si>
  <si>
    <t>3.Jpit月次基盤転記作業FB指摘解釈、理解があいまい件数、推移グラフ</t>
    <rPh sb="12" eb="14">
      <t>サギョウ</t>
    </rPh>
    <rPh sb="16" eb="18">
      <t>シテキ</t>
    </rPh>
    <rPh sb="18" eb="20">
      <t>カイシャク</t>
    </rPh>
    <rPh sb="21" eb="23">
      <t>リカイ</t>
    </rPh>
    <rPh sb="28" eb="30">
      <t>ケンスウ</t>
    </rPh>
    <rPh sb="31" eb="33">
      <t>スイイ</t>
    </rPh>
    <phoneticPr fontId="1"/>
  </si>
  <si>
    <t>インシデント</t>
    <phoneticPr fontId="1"/>
  </si>
  <si>
    <t>マニュアル</t>
    <phoneticPr fontId="1"/>
  </si>
  <si>
    <t>※0090はマニュアル改訂</t>
    <rPh sb="11" eb="13">
      <t>カイテイ</t>
    </rPh>
    <phoneticPr fontId="1"/>
  </si>
  <si>
    <t>0214</t>
  </si>
  <si>
    <t>0215</t>
  </si>
  <si>
    <t>0216</t>
  </si>
  <si>
    <t>①</t>
    <phoneticPr fontId="1"/>
  </si>
  <si>
    <t>②</t>
    <phoneticPr fontId="1"/>
  </si>
  <si>
    <t>③</t>
    <phoneticPr fontId="1"/>
  </si>
  <si>
    <t>0115</t>
  </si>
  <si>
    <t>0116</t>
  </si>
  <si>
    <t>0117</t>
  </si>
  <si>
    <t>①</t>
    <phoneticPr fontId="1"/>
  </si>
  <si>
    <t>0217</t>
  </si>
  <si>
    <t>0218</t>
  </si>
  <si>
    <t>0219</t>
  </si>
  <si>
    <t>②</t>
    <phoneticPr fontId="1"/>
  </si>
  <si>
    <t>メンバー一覧</t>
    <rPh sb="4" eb="6">
      <t>イチラン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</si>
  <si>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</si>
  <si>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</si>
  <si>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和田</t>
    <rPh sb="0" eb="2">
      <t>ワダ</t>
    </rPh>
    <phoneticPr fontId="1"/>
  </si>
  <si>
    <t>0425</t>
  </si>
  <si>
    <t>0426</t>
  </si>
  <si>
    <t>0427</t>
  </si>
  <si>
    <t>0428</t>
  </si>
  <si>
    <t>0429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</si>
  <si>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</si>
  <si>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</si>
  <si>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</si>
  <si>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</si>
  <si>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</si>
  <si>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</si>
  <si>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</si>
  <si>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</si>
  <si>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</si>
  <si>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</si>
  <si>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0440</t>
  </si>
  <si>
    <t>0441</t>
  </si>
  <si>
    <t>0442</t>
  </si>
  <si>
    <t>江藤</t>
    <rPh sb="0" eb="2">
      <t>エトウ</t>
    </rPh>
    <phoneticPr fontId="1"/>
  </si>
  <si>
    <t>中野</t>
    <rPh sb="0" eb="2">
      <t>ナカノ</t>
    </rPh>
    <phoneticPr fontId="1"/>
  </si>
  <si>
    <t>ダイクス</t>
    <phoneticPr fontId="1"/>
  </si>
  <si>
    <t>2024/3/15P</t>
    <phoneticPr fontId="1"/>
  </si>
  <si>
    <t>2024/3/31P</t>
    <phoneticPr fontId="1"/>
  </si>
  <si>
    <t>2024/2/29P</t>
    <phoneticPr fontId="1"/>
  </si>
  <si>
    <t>2024年3月名前別FB件数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</si>
  <si>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  <rPh sb="0" eb="2">
      <t>ワタナベ</t>
    </rPh>
    <phoneticPr fontId="1"/>
  </si>
  <si>
    <t>FY24/A0048_サーバールーム FB件数</t>
    <rPh sb="21" eb="23">
      <t>ケンスウ</t>
    </rPh>
    <phoneticPr fontId="1"/>
  </si>
  <si>
    <t>0001</t>
    <phoneticPr fontId="1"/>
  </si>
  <si>
    <t>案件番号</t>
    <rPh sb="0" eb="2">
      <t>タイショウツキ0</t>
    </rPh>
    <phoneticPr fontId="1"/>
  </si>
  <si>
    <t>0018</t>
    <phoneticPr fontId="1"/>
  </si>
  <si>
    <t>※案件番号A1008</t>
    <rPh sb="1" eb="3">
      <t>アンケン</t>
    </rPh>
    <rPh sb="3" eb="5">
      <t>バンゴウ</t>
    </rPh>
    <phoneticPr fontId="1"/>
  </si>
  <si>
    <t>木村</t>
    <rPh sb="0" eb="2">
      <t>キムラ</t>
    </rPh>
    <phoneticPr fontId="1"/>
  </si>
  <si>
    <t>2024/2</t>
    <phoneticPr fontId="1"/>
  </si>
  <si>
    <t>2024/3</t>
    <phoneticPr fontId="1"/>
  </si>
  <si>
    <t>2024/3</t>
    <phoneticPr fontId="1"/>
  </si>
  <si>
    <t>0443</t>
  </si>
  <si>
    <t>0444</t>
  </si>
  <si>
    <t>0445</t>
  </si>
  <si>
    <t>0446</t>
  </si>
  <si>
    <t>0447</t>
  </si>
  <si>
    <t>4.サーバールーム転記作業FB指摘、マニュアル不備推移グラフ</t>
    <rPh sb="11" eb="13">
      <t>サギョウ</t>
    </rPh>
    <rPh sb="15" eb="17">
      <t>シテキ</t>
    </rPh>
    <rPh sb="23" eb="25">
      <t>フビ</t>
    </rPh>
    <rPh sb="25" eb="27">
      <t>スイイ</t>
    </rPh>
    <phoneticPr fontId="1"/>
  </si>
  <si>
    <t>5.サーバールーム転記作業FB指摘、その他推移グラフ</t>
    <rPh sb="11" eb="13">
      <t>サギョウ</t>
    </rPh>
    <rPh sb="15" eb="17">
      <t>シテキ</t>
    </rPh>
    <rPh sb="20" eb="21">
      <t>ホカ</t>
    </rPh>
    <rPh sb="21" eb="23">
      <t>スイイ</t>
    </rPh>
    <phoneticPr fontId="1"/>
  </si>
  <si>
    <t>サーバールームFB指摘事項、原因別グラフ</t>
    <rPh sb="9" eb="13">
      <t>シテキジコウ</t>
    </rPh>
    <rPh sb="14" eb="17">
      <t>ゲンインベツ</t>
    </rPh>
    <phoneticPr fontId="1"/>
  </si>
  <si>
    <t>Jpit月次基盤FB指摘事項、原因別累積グラフ</t>
    <rPh sb="4" eb="8">
      <t>ゲツジキバン</t>
    </rPh>
    <rPh sb="10" eb="14">
      <t>シテキジコウ</t>
    </rPh>
    <rPh sb="15" eb="18">
      <t>ゲンインベツ</t>
    </rPh>
    <rPh sb="18" eb="20">
      <t>ルイセキ</t>
    </rPh>
    <phoneticPr fontId="1"/>
  </si>
  <si>
    <t>0220</t>
    <phoneticPr fontId="1"/>
  </si>
  <si>
    <t>0221</t>
    <phoneticPr fontId="1"/>
  </si>
  <si>
    <t>0222</t>
    <phoneticPr fontId="1"/>
  </si>
  <si>
    <t>0448</t>
    <phoneticPr fontId="1"/>
  </si>
  <si>
    <t>0449</t>
    <phoneticPr fontId="1"/>
  </si>
  <si>
    <t>0450</t>
    <phoneticPr fontId="1"/>
  </si>
  <si>
    <t>2024/4</t>
    <phoneticPr fontId="1"/>
  </si>
  <si>
    <t>2024年4月名前別FB件数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</si>
  <si>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2024/4/15P</t>
    <phoneticPr fontId="1"/>
  </si>
  <si>
    <t>2024/4/30P</t>
    <phoneticPr fontId="1"/>
  </si>
  <si>
    <t>第一週(マニュアル)FB数</t>
    <rPh sb="0" eb="2">
      <t>ダイイチ</t>
    </rPh>
    <rPh sb="2" eb="3">
      <t>シュウ</t>
    </rPh>
    <rPh sb="12" eb="13">
      <t>スウ</t>
    </rPh>
    <phoneticPr fontId="1"/>
  </si>
  <si>
    <t>第一週(その他)FB数</t>
    <rPh sb="0" eb="2">
      <t>ダイイチ</t>
    </rPh>
    <rPh sb="2" eb="3">
      <t>シュウ</t>
    </rPh>
    <rPh sb="6" eb="7">
      <t>タ</t>
    </rPh>
    <rPh sb="10" eb="11">
      <t>スウ</t>
    </rPh>
    <phoneticPr fontId="1"/>
  </si>
  <si>
    <t>第二週(マニュアル)FB数</t>
    <rPh sb="0" eb="2">
      <t>ダイニ</t>
    </rPh>
    <rPh sb="2" eb="3">
      <t>シュウ</t>
    </rPh>
    <rPh sb="12" eb="13">
      <t>スウ</t>
    </rPh>
    <phoneticPr fontId="1"/>
  </si>
  <si>
    <t>第二週(その他)FB数</t>
    <rPh sb="1" eb="2">
      <t>ニ</t>
    </rPh>
    <phoneticPr fontId="1"/>
  </si>
  <si>
    <t>人事異動 FB数集計(A1025)</t>
    <rPh sb="0" eb="4">
      <t>ジンジイドウ</t>
    </rPh>
    <rPh sb="7" eb="8">
      <t>スウ</t>
    </rPh>
    <rPh sb="8" eb="10">
      <t>シュウケイ</t>
    </rPh>
    <phoneticPr fontId="1"/>
  </si>
  <si>
    <t>第三週(マニュアル)FB数</t>
    <rPh sb="0" eb="1">
      <t>ダイ</t>
    </rPh>
    <rPh sb="1" eb="2">
      <t>ミ</t>
    </rPh>
    <rPh sb="2" eb="3">
      <t>シュウ</t>
    </rPh>
    <rPh sb="12" eb="13">
      <t>スウ</t>
    </rPh>
    <phoneticPr fontId="1"/>
  </si>
  <si>
    <t>第三週(その他)FB数</t>
    <rPh sb="1" eb="2">
      <t>サン</t>
    </rPh>
    <phoneticPr fontId="1"/>
  </si>
  <si>
    <t>第四週(マニュアル)FB数</t>
    <phoneticPr fontId="1"/>
  </si>
  <si>
    <t>第四週(その他)FB数</t>
    <rPh sb="6" eb="7">
      <t>タ</t>
    </rPh>
    <phoneticPr fontId="1"/>
  </si>
  <si>
    <t>2.MyTE作業FB指摘解釈・理解があいまい件数、累積積み上げグラフ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1"/>
  </si>
  <si>
    <t>1.MyTE作業FB指摘ケアレスミス、件数累積グラフ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1"/>
  </si>
  <si>
    <t>3.MyTE作業FB指摘マニュアル不備件数、累積積み上げグラフ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1"/>
  </si>
  <si>
    <t>4.MyTE作業FB指摘その他件数、累積積み上げグラフ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</si>
  <si>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5.MyTE作業インシデント件数、累積積み上げグラフ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</si>
  <si>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A1052.myTE作業工程</t>
    <rPh sb="10" eb="14">
      <t>サギョウコウテイ</t>
    </rPh>
    <phoneticPr fontId="1"/>
  </si>
  <si>
    <t>指摘項目/名前</t>
    <rPh sb="0" eb="4">
      <t>シテキコウモク</t>
    </rPh>
    <rPh sb="5" eb="7">
      <t>ナマエ</t>
    </rPh>
    <phoneticPr fontId="1"/>
  </si>
  <si>
    <t>年月を下に入力してください</t>
    <rPh sb="0" eb="2">
      <t>ネンツキ</t>
    </rPh>
    <rPh sb="3" eb="4">
      <t>シタ</t>
    </rPh>
    <rPh sb="5" eb="7">
      <t>ニュウリョク</t>
    </rPh>
    <phoneticPr fontId="1"/>
  </si>
  <si>
    <t>解釈</t>
    <rPh sb="0" eb="2">
      <t>カイシャク</t>
    </rPh>
    <phoneticPr fontId="1"/>
  </si>
  <si>
    <t>ケアレスミスFB数</t>
    <rPh sb="8" eb="9">
      <t>スウ</t>
    </rPh>
    <phoneticPr fontId="1"/>
  </si>
  <si>
    <t>解釈FB数</t>
    <rPh sb="0" eb="2">
      <t>カイシャク</t>
    </rPh>
    <rPh sb="4" eb="5">
      <t>スウ</t>
    </rPh>
    <phoneticPr fontId="1"/>
  </si>
  <si>
    <t>マニュアルFB数</t>
    <rPh sb="7" eb="8">
      <t>スウ</t>
    </rPh>
    <phoneticPr fontId="1"/>
  </si>
  <si>
    <t>その他FB数</t>
    <rPh sb="2" eb="3">
      <t>タ</t>
    </rPh>
    <phoneticPr fontId="1"/>
  </si>
  <si>
    <t>インシデントFB数</t>
    <rPh sb="8" eb="9">
      <t>スウ</t>
    </rPh>
    <phoneticPr fontId="1"/>
  </si>
  <si>
    <t>A1031.I&amp;D作業工程</t>
    <rPh sb="9" eb="13">
      <t>サギョウコウテイ</t>
    </rPh>
    <phoneticPr fontId="1"/>
  </si>
  <si>
    <t>1.I&amp;D作業FB指摘ケアレスミス、件数累積グラフ</t>
    <rPh sb="5" eb="7">
      <t>サギョウ</t>
    </rPh>
    <rPh sb="9" eb="11">
      <t>シテキ</t>
    </rPh>
    <rPh sb="18" eb="20">
      <t>ケンスウ</t>
    </rPh>
    <rPh sb="20" eb="22">
      <t>ルイセキ</t>
    </rPh>
    <phoneticPr fontId="1"/>
  </si>
  <si>
    <t>2.I&amp;D作業FB指摘解釈・理解があいまい件数、累積積み上げグラフ</t>
    <rPh sb="5" eb="7">
      <t>サギョウ</t>
    </rPh>
    <rPh sb="9" eb="11">
      <t>シテキ</t>
    </rPh>
    <rPh sb="11" eb="13">
      <t>カイシャク</t>
    </rPh>
    <rPh sb="14" eb="16">
      <t>リカイ</t>
    </rPh>
    <rPh sb="21" eb="23">
      <t>ケンスウ</t>
    </rPh>
    <rPh sb="24" eb="27">
      <t>ルイセキツ</t>
    </rPh>
    <rPh sb="28" eb="29">
      <t>ア</t>
    </rPh>
    <phoneticPr fontId="1"/>
  </si>
  <si>
    <t>3.I&amp;D作業FB指摘マニュアル不備件数、累積積み上げグラフ</t>
    <rPh sb="5" eb="7">
      <t>サギョウ</t>
    </rPh>
    <rPh sb="9" eb="11">
      <t>シテキ</t>
    </rPh>
    <rPh sb="16" eb="18">
      <t>フビ</t>
    </rPh>
    <rPh sb="18" eb="20">
      <t>ケンスウ</t>
    </rPh>
    <rPh sb="21" eb="23">
      <t>ルイセキ</t>
    </rPh>
    <rPh sb="23" eb="24">
      <t>ツ</t>
    </rPh>
    <rPh sb="25" eb="26">
      <t>ア</t>
    </rPh>
    <phoneticPr fontId="1"/>
  </si>
  <si>
    <t>4.I&amp;D作業FB指摘その他件数、累積積み上げグラフ</t>
    <rPh sb="5" eb="7">
      <t>サギョウ</t>
    </rPh>
    <rPh sb="9" eb="11">
      <t>シテキ</t>
    </rPh>
    <rPh sb="13" eb="14">
      <t>タ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</si>
  <si>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5.I&amp;D作業インシデント件数、累積積み上げグラフ</t>
    <rPh sb="5" eb="7">
      <t>サギョウ</t>
    </rPh>
    <rPh sb="13" eb="15">
      <t>ケンスウ</t>
    </rPh>
    <rPh sb="16" eb="18">
      <t>ルイセキ</t>
    </rPh>
    <rPh sb="18" eb="19">
      <t>ツ</t>
    </rPh>
    <rPh sb="20" eb="21">
      <t>ア</t>
    </rPh>
    <phoneticPr fontId="1"/>
  </si>
  <si>
    <t>A1025.人事異動・組織改編</t>
    <rPh sb="6" eb="8">
      <t>ジンジ</t>
    </rPh>
    <rPh sb="8" eb="10">
      <t>イドウ</t>
    </rPh>
    <rPh sb="11" eb="15">
      <t>ソシキカイヘン</t>
    </rPh>
    <phoneticPr fontId="1"/>
  </si>
  <si>
    <t>1.人事異動作業FB指摘ケアレスミス、件数累積グラフ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1"/>
  </si>
  <si>
    <t>2.人事異動作業FB指摘解釈・理解があいまい件数、累積積み上げグラフ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1"/>
  </si>
  <si>
    <t>3.人事異動作業FB指摘マニュアル不備件数、累積積み上げグラフ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1"/>
  </si>
  <si>
    <t>4.人事異動作業FB指摘その他件数、累積積み上げグラフ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</si>
  <si>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5.人事異動作業インシデント件数、累積積み上げグラフ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</si>
  <si>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0451</t>
    <phoneticPr fontId="1"/>
  </si>
  <si>
    <t>0453</t>
    <phoneticPr fontId="1"/>
  </si>
  <si>
    <t>0454</t>
    <phoneticPr fontId="1"/>
  </si>
  <si>
    <t>0455</t>
    <phoneticPr fontId="1"/>
  </si>
  <si>
    <t>0456</t>
    <phoneticPr fontId="1"/>
  </si>
  <si>
    <t>0457</t>
    <phoneticPr fontId="1"/>
  </si>
  <si>
    <t>0458</t>
    <phoneticPr fontId="1"/>
  </si>
  <si>
    <t>1.MyTE作業FB指摘ケアレスミス件数、積み上げグラフ</t>
    <rPh sb="6" eb="8">
      <t>サギョウ</t>
    </rPh>
    <rPh sb="10" eb="12">
      <t>シテキ</t>
    </rPh>
    <rPh sb="18" eb="20">
      <t>ケンスウ</t>
    </rPh>
    <rPh sb="21" eb="22">
      <t>ツ</t>
    </rPh>
    <rPh sb="23" eb="24">
      <t>ア</t>
    </rPh>
    <phoneticPr fontId="1"/>
  </si>
  <si>
    <t>2.MyTE作業FB指摘インシデント件数、積み上げグラフ</t>
    <rPh sb="6" eb="8">
      <t>サギョウ</t>
    </rPh>
    <rPh sb="10" eb="12">
      <t>シテキ</t>
    </rPh>
    <rPh sb="18" eb="20">
      <t>ケンスウ</t>
    </rPh>
    <phoneticPr fontId="1"/>
  </si>
  <si>
    <t>myTE、I&amp;D、人事異動集計用作業用シートの使い方</t>
    <rPh sb="16" eb="19">
      <t>サギョウヨウ</t>
    </rPh>
    <rPh sb="23" eb="24">
      <t>ツカ</t>
    </rPh>
    <rPh sb="25" eb="26">
      <t>カタ</t>
    </rPh>
    <phoneticPr fontId="1"/>
  </si>
  <si>
    <t>① 各案件ごと(サーバールーム(A0048は月一回なので対象外)のシートに移動する。</t>
    <rPh sb="2" eb="5">
      <t>カクアンケン</t>
    </rPh>
    <rPh sb="22" eb="25">
      <t>ツキイッカイ</t>
    </rPh>
    <rPh sb="28" eb="31">
      <t>タイショウガイ</t>
    </rPh>
    <rPh sb="37" eb="39">
      <t>イドウ</t>
    </rPh>
    <phoneticPr fontId="1"/>
  </si>
  <si>
    <t>②各案件の</t>
    <rPh sb="1" eb="4">
      <t>カクアンケン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</si>
</sst>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0.0%"/>
    <numFmt numFmtId="178" formatCode="0_);[Red]\(0\)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游ゴシック"/>
      <family val="3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2"/>
      <color rgb="FF000000"/>
      <name val="Meiryo UI"/>
      <family val="3"/>
    </font>
    <font>
      <sz val="11"/>
      <color theme="1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BB1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3" fillId="3" borderId="1" xfId="0" applyFont="1" applyFill="1" applyBorder="1" applyAlignment="1">
      <alignment horizontal="right" vertical="center"/>
    </xf>
    <xf numFmtId="0" fontId="0" fillId="4" borderId="1" xfId="0" applyFill="1" applyBorder="1">
      <alignment vertical="center"/>
    </xf>
    <xf numFmtId="0" fontId="3" fillId="4" borderId="1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right" vertical="center"/>
    </xf>
    <xf numFmtId="0" fontId="0" fillId="5" borderId="1" xfId="0" applyFill="1" applyBorder="1">
      <alignment vertical="center"/>
    </xf>
    <xf numFmtId="0" fontId="3" fillId="5" borderId="1" xfId="0" applyFont="1" applyFill="1" applyBorder="1" applyAlignment="1">
      <alignment horizontal="right" vertical="center"/>
    </xf>
    <xf numFmtId="0" fontId="5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55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8" xfId="0" applyBorder="1">
      <alignment vertical="center"/>
    </xf>
    <xf numFmtId="176" fontId="0" fillId="0" borderId="4" xfId="0" applyNumberFormat="1" applyBorder="1" applyAlignment="1">
      <alignment horizontal="center" vertical="center"/>
    </xf>
    <xf numFmtId="56" fontId="0" fillId="0" borderId="4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5" fillId="0" borderId="1" xfId="0" applyFont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6" borderId="1" xfId="0" applyFill="1" applyBorder="1">
      <alignment vertical="center"/>
    </xf>
    <xf numFmtId="0" fontId="6" fillId="0" borderId="0" xfId="0" applyFont="1">
      <alignment vertical="center"/>
    </xf>
    <xf numFmtId="55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" fontId="0" fillId="0" borderId="1" xfId="0" quotePrefix="1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17" fontId="0" fillId="0" borderId="12" xfId="0" quotePrefix="1" applyNumberFormat="1" applyBorder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0" fillId="7" borderId="1" xfId="0" applyFill="1" applyBorder="1">
      <alignment vertical="center"/>
    </xf>
    <xf numFmtId="0" fontId="5" fillId="7" borderId="1" xfId="0" applyFont="1" applyFill="1" applyBorder="1" applyAlignment="1">
      <alignment horizontal="right" vertical="center"/>
    </xf>
    <xf numFmtId="17" fontId="0" fillId="0" borderId="0" xfId="0" quotePrefix="1" applyNumberFormat="1" applyAlignment="1">
      <alignment horizontal="center" vertical="center"/>
    </xf>
    <xf numFmtId="177" fontId="0" fillId="0" borderId="1" xfId="1" applyNumberFormat="1" applyFont="1" applyFill="1" applyBorder="1">
      <alignment vertical="center"/>
    </xf>
    <xf numFmtId="49" fontId="0" fillId="0" borderId="1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5" xfId="0" applyNumberFormat="1" applyBorder="1">
      <alignment vertical="center"/>
    </xf>
    <xf numFmtId="178" fontId="0" fillId="0" borderId="2" xfId="1" applyNumberFormat="1" applyFont="1" applyFill="1" applyBorder="1">
      <alignment vertical="center"/>
    </xf>
    <xf numFmtId="178" fontId="0" fillId="0" borderId="9" xfId="0" applyNumberFormat="1" applyBorder="1">
      <alignment vertical="center"/>
    </xf>
    <xf numFmtId="56" fontId="0" fillId="0" borderId="1" xfId="0" applyNumberFormat="1" applyBorder="1" applyAlignment="1">
      <alignment horizontal="center" vertical="center"/>
    </xf>
    <xf numFmtId="177" fontId="0" fillId="0" borderId="5" xfId="1" applyNumberFormat="1" applyFont="1" applyFill="1" applyBorder="1">
      <alignment vertical="center"/>
    </xf>
    <xf numFmtId="178" fontId="0" fillId="0" borderId="9" xfId="1" applyNumberFormat="1" applyFont="1" applyFill="1" applyBorder="1">
      <alignment vertical="center"/>
    </xf>
    <xf numFmtId="55" fontId="0" fillId="2" borderId="0" xfId="0" applyNumberFormat="1" applyFill="1">
      <alignment vertical="center"/>
    </xf>
    <xf numFmtId="0" fontId="0" fillId="4" borderId="1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106">
    <dxf>
      <numFmt numFmtId="178" formatCode="0_);[Red]\(0\)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77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累積棒グラフ'!$C$28:$R$28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8-498D-BF7C-B2FD62E7B5FE}"/>
            </c:ext>
          </c:extLst>
        </c:ser>
        <c:ser>
          <c:idx val="1"/>
          <c:order val="1"/>
          <c:tx>
            <c:strRef>
              <c:f>'myTE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累積棒グラフ'!$C$29:$R$29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8-498D-BF7C-B2FD62E7B5FE}"/>
            </c:ext>
          </c:extLst>
        </c:ser>
        <c:ser>
          <c:idx val="2"/>
          <c:order val="2"/>
          <c:tx>
            <c:strRef>
              <c:f>'myTE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累積棒グラフ'!$C$30:$R$30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8-498D-BF7C-B2FD62E7B5FE}"/>
            </c:ext>
          </c:extLst>
        </c:ser>
        <c:ser>
          <c:idx val="3"/>
          <c:order val="3"/>
          <c:tx>
            <c:strRef>
              <c:f>'myTE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累積棒グラフ'!$C$31:$R$31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8-498D-BF7C-B2FD62E7B5FE}"/>
            </c:ext>
          </c:extLst>
        </c:ser>
        <c:ser>
          <c:idx val="4"/>
          <c:order val="4"/>
          <c:tx>
            <c:strRef>
              <c:f>'myTE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08-498D-BF7C-B2FD62E7B5FE}"/>
            </c:ext>
          </c:extLst>
        </c:ser>
        <c:ser>
          <c:idx val="5"/>
          <c:order val="5"/>
          <c:tx>
            <c:strRef>
              <c:f>'myTE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累積棒グラフ'!$C$33:$R$33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08-498D-BF7C-B2FD62E7B5FE}"/>
            </c:ext>
          </c:extLst>
        </c:ser>
        <c:ser>
          <c:idx val="6"/>
          <c:order val="6"/>
          <c:tx>
            <c:strRef>
              <c:f>'myTE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1-4871-84FF-402167435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0-4EED-95E9-5508BB5AF1AF}"/>
            </c:ext>
          </c:extLst>
        </c:ser>
        <c:ser>
          <c:idx val="1"/>
          <c:order val="1"/>
          <c:tx>
            <c:strRef>
              <c:f>'myTE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累積棒グラフ'!$C$62:$R$62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0-4EED-95E9-5508BB5AF1AF}"/>
            </c:ext>
          </c:extLst>
        </c:ser>
        <c:ser>
          <c:idx val="2"/>
          <c:order val="2"/>
          <c:tx>
            <c:strRef>
              <c:f>'myTE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0-4EED-95E9-5508BB5AF1AF}"/>
            </c:ext>
          </c:extLst>
        </c:ser>
        <c:ser>
          <c:idx val="3"/>
          <c:order val="3"/>
          <c:tx>
            <c:strRef>
              <c:f>'myTE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0-4EED-95E9-5508BB5AF1AF}"/>
            </c:ext>
          </c:extLst>
        </c:ser>
        <c:ser>
          <c:idx val="4"/>
          <c:order val="4"/>
          <c:tx>
            <c:strRef>
              <c:f>'myTE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0-4EED-95E9-5508BB5AF1AF}"/>
            </c:ext>
          </c:extLst>
        </c:ser>
        <c:ser>
          <c:idx val="5"/>
          <c:order val="5"/>
          <c:tx>
            <c:strRef>
              <c:f>'myTE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0-4EED-95E9-5508BB5AF1AF}"/>
            </c:ext>
          </c:extLst>
        </c:ser>
        <c:ser>
          <c:idx val="6"/>
          <c:order val="6"/>
          <c:tx>
            <c:strRef>
              <c:f>'myTE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9-4802-B73B-C77CCF43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5-4F0F-A80D-D33ADC215AC5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15-4F0F-A80D-D33ADC215AC5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15-4F0F-A80D-D33ADC215AC5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15-4F0F-A80D-D33ADC215AC5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15-4F0F-A80D-D33ADC215AC5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15-4F0F-A80D-D33ADC215AC5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1-47CD-B2F0-3ECC95255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8-4671-9F98-25D920DD5B77}"/>
            </c:ext>
          </c:extLst>
        </c:ser>
        <c:ser>
          <c:idx val="1"/>
          <c:order val="1"/>
          <c:tx>
            <c:strRef>
              <c:f>'myTE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D8-4671-9F98-25D920DD5B77}"/>
            </c:ext>
          </c:extLst>
        </c:ser>
        <c:ser>
          <c:idx val="2"/>
          <c:order val="2"/>
          <c:tx>
            <c:strRef>
              <c:f>'myTE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D8-4671-9F98-25D920DD5B77}"/>
            </c:ext>
          </c:extLst>
        </c:ser>
        <c:ser>
          <c:idx val="3"/>
          <c:order val="3"/>
          <c:tx>
            <c:strRef>
              <c:f>'myTE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累積棒グラフ'!$C$132:$R$132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D8-4671-9F98-25D920DD5B77}"/>
            </c:ext>
          </c:extLst>
        </c:ser>
        <c:ser>
          <c:idx val="4"/>
          <c:order val="4"/>
          <c:tx>
            <c:strRef>
              <c:f>'myTE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D8-4671-9F98-25D920DD5B77}"/>
            </c:ext>
          </c:extLst>
        </c:ser>
        <c:ser>
          <c:idx val="5"/>
          <c:order val="5"/>
          <c:tx>
            <c:strRef>
              <c:f>'myTE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D8-4671-9F98-25D920DD5B77}"/>
            </c:ext>
          </c:extLst>
        </c:ser>
        <c:ser>
          <c:idx val="6"/>
          <c:order val="6"/>
          <c:tx>
            <c:strRef>
              <c:f>'myTE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D8-4671-9F98-25D920DD5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累積棒グラフ'!$C$163:$R$163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2-4B0D-AB99-0A0BC935D9BB}"/>
            </c:ext>
          </c:extLst>
        </c:ser>
        <c:ser>
          <c:idx val="1"/>
          <c:order val="1"/>
          <c:tx>
            <c:strRef>
              <c:f>'myTE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2-4B0D-AB99-0A0BC935D9BB}"/>
            </c:ext>
          </c:extLst>
        </c:ser>
        <c:ser>
          <c:idx val="2"/>
          <c:order val="2"/>
          <c:tx>
            <c:strRef>
              <c:f>'myTE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2-4B0D-AB99-0A0BC935D9BB}"/>
            </c:ext>
          </c:extLst>
        </c:ser>
        <c:ser>
          <c:idx val="3"/>
          <c:order val="3"/>
          <c:tx>
            <c:strRef>
              <c:f>'myTE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累積棒グラフ'!$C$166:$R$166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2-4B0D-AB99-0A0BC935D9BB}"/>
            </c:ext>
          </c:extLst>
        </c:ser>
        <c:ser>
          <c:idx val="4"/>
          <c:order val="4"/>
          <c:tx>
            <c:strRef>
              <c:f>'myTE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2-4B0D-AB99-0A0BC935D9BB}"/>
            </c:ext>
          </c:extLst>
        </c:ser>
        <c:ser>
          <c:idx val="5"/>
          <c:order val="5"/>
          <c:tx>
            <c:strRef>
              <c:f>'myTE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2-4B0D-AB99-0A0BC935D9BB}"/>
            </c:ext>
          </c:extLst>
        </c:ser>
        <c:ser>
          <c:idx val="6"/>
          <c:order val="6"/>
          <c:tx>
            <c:strRef>
              <c:f>'myTE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2-4B0D-AB99-0A0BC935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累積棒グラフold'!$B$28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累積棒グラフold'!$C$28:$I$28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D-45EB-AAFC-80C05C7ADA67}"/>
            </c:ext>
          </c:extLst>
        </c:ser>
        <c:ser>
          <c:idx val="1"/>
          <c:order val="1"/>
          <c:tx>
            <c:strRef>
              <c:f>'myTE 累積棒グラフold'!$B$29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累積棒グラフold'!$C$29:$I$29</c:f>
              <c:numCache>
                <c:formatCode>General</c:formatCode>
                <c:ptCount val="7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D-45EB-AAFC-80C05C7ADA67}"/>
            </c:ext>
          </c:extLst>
        </c:ser>
        <c:ser>
          <c:idx val="2"/>
          <c:order val="2"/>
          <c:tx>
            <c:strRef>
              <c:f>'myTE 累積棒グラフold'!$B$30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累積棒グラフold'!$C$30:$I$30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D-45EB-AAFC-80C05C7ADA67}"/>
            </c:ext>
          </c:extLst>
        </c:ser>
        <c:ser>
          <c:idx val="3"/>
          <c:order val="3"/>
          <c:tx>
            <c:strRef>
              <c:f>'myTE 累積棒グラフold'!$B$31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D-45EB-AAFC-80C05C7ADA67}"/>
            </c:ext>
          </c:extLst>
        </c:ser>
        <c:ser>
          <c:idx val="4"/>
          <c:order val="4"/>
          <c:tx>
            <c:strRef>
              <c:f>'myTE 累積棒グラフold'!$B$32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5D-45EB-AAFC-80C05C7ADA67}"/>
            </c:ext>
          </c:extLst>
        </c:ser>
        <c:ser>
          <c:idx val="5"/>
          <c:order val="5"/>
          <c:tx>
            <c:strRef>
              <c:f>'myTE 累積棒グラフold'!$B$33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累積棒グラフold'!$C$33:$I$33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5D-45EB-AAFC-80C05C7A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累積棒グラフold'!$B$57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累積棒グラフold'!$C$57:$I$57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0-44D2-A362-2E00080CF821}"/>
            </c:ext>
          </c:extLst>
        </c:ser>
        <c:ser>
          <c:idx val="1"/>
          <c:order val="1"/>
          <c:tx>
            <c:strRef>
              <c:f>'myTE 累積棒グラフold'!$B$58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累積棒グラフold'!$C$58:$I$58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0-44D2-A362-2E00080CF821}"/>
            </c:ext>
          </c:extLst>
        </c:ser>
        <c:ser>
          <c:idx val="2"/>
          <c:order val="2"/>
          <c:tx>
            <c:strRef>
              <c:f>'myTE 累積棒グラフold'!$B$59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累積棒グラフold'!$C$59:$I$59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70-44D2-A362-2E00080CF821}"/>
            </c:ext>
          </c:extLst>
        </c:ser>
        <c:ser>
          <c:idx val="3"/>
          <c:order val="3"/>
          <c:tx>
            <c:strRef>
              <c:f>'myTE 累積棒グラフold'!$B$60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累積棒グラフold'!$C$60:$I$60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70-44D2-A362-2E00080CF821}"/>
            </c:ext>
          </c:extLst>
        </c:ser>
        <c:ser>
          <c:idx val="4"/>
          <c:order val="4"/>
          <c:tx>
            <c:strRef>
              <c:f>'myTE 累積棒グラフold'!$B$61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累積棒グラフold'!$C$61:$I$61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70-44D2-A362-2E00080CF821}"/>
            </c:ext>
          </c:extLst>
        </c:ser>
        <c:ser>
          <c:idx val="5"/>
          <c:order val="5"/>
          <c:tx>
            <c:strRef>
              <c:f>'myTE 累積棒グラフold'!$B$62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累積棒グラフold'!$C$62:$I$62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70-44D2-A362-2E00080CF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累積棒グラフold'!$B$87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累積棒グラフold'!$C$87:$I$87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F-4BA1-93F1-755B25596A5A}"/>
            </c:ext>
          </c:extLst>
        </c:ser>
        <c:ser>
          <c:idx val="1"/>
          <c:order val="1"/>
          <c:tx>
            <c:strRef>
              <c:f>'myTE 累積棒グラフold'!$B$88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累積棒グラフold'!$C$88:$I$88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4F-4BA1-93F1-755B25596A5A}"/>
            </c:ext>
          </c:extLst>
        </c:ser>
        <c:ser>
          <c:idx val="2"/>
          <c:order val="2"/>
          <c:tx>
            <c:strRef>
              <c:f>'myTE 累積棒グラフold'!$B$89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累積棒グラフold'!$C$89:$I$89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4F-4BA1-93F1-755B25596A5A}"/>
            </c:ext>
          </c:extLst>
        </c:ser>
        <c:ser>
          <c:idx val="3"/>
          <c:order val="3"/>
          <c:tx>
            <c:strRef>
              <c:f>'myTE 累積棒グラフold'!$B$90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累積棒グラフold'!$C$90:$I$90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4F-4BA1-93F1-755B25596A5A}"/>
            </c:ext>
          </c:extLst>
        </c:ser>
        <c:ser>
          <c:idx val="4"/>
          <c:order val="4"/>
          <c:tx>
            <c:strRef>
              <c:f>'myTE 累積棒グラフold'!$B$91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累積棒グラフold'!$C$91:$I$91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4F-4BA1-93F1-755B25596A5A}"/>
            </c:ext>
          </c:extLst>
        </c:ser>
        <c:ser>
          <c:idx val="5"/>
          <c:order val="5"/>
          <c:tx>
            <c:strRef>
              <c:f>'myTE 累積棒グラフold'!$B$92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累積棒グラフold'!$C$92:$I$92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4F-4BA1-93F1-755B25596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altLang="ja-JP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游ゴシック" panose="020B0400000000000000" pitchFamily="50" charset="-128"/>
              </a:rPr>
              <a:t>FB</a:t>
            </a:r>
            <a:r>
              <a:rPr kumimoji="0" lang="ja-JP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游ゴシック" panose="020B0400000000000000" pitchFamily="50" charset="-128"/>
              </a:rPr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グラフテスト'!$C$28:$R$28</c:f>
              <c:numCache>
                <c:formatCode>General</c:formatCode>
                <c:ptCount val="16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8-479E-82F6-0F952AADA289}"/>
            </c:ext>
          </c:extLst>
        </c:ser>
        <c:ser>
          <c:idx val="1"/>
          <c:order val="1"/>
          <c:tx>
            <c:strRef>
              <c:f>'myTE　グラフテスト'!$B$29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グラフテスト'!$C$29:$R$29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8-479E-82F6-0F952AADA289}"/>
            </c:ext>
          </c:extLst>
        </c:ser>
        <c:ser>
          <c:idx val="2"/>
          <c:order val="2"/>
          <c:tx>
            <c:strRef>
              <c:f>'myTE　グラフテスト'!$B$30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グラフテスト'!$C$30:$R$30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8-479E-82F6-0F952AADA289}"/>
            </c:ext>
          </c:extLst>
        </c:ser>
        <c:ser>
          <c:idx val="3"/>
          <c:order val="3"/>
          <c:tx>
            <c:strRef>
              <c:f>'myTE　グラフテスト'!$B$31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グラフテスト'!$C$31:$R$31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18-479E-82F6-0F952AADA289}"/>
            </c:ext>
          </c:extLst>
        </c:ser>
        <c:ser>
          <c:idx val="4"/>
          <c:order val="4"/>
          <c:tx>
            <c:strRef>
              <c:f>'myTE　グラフテスト'!$B$32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18-479E-82F6-0F952AADA289}"/>
            </c:ext>
          </c:extLst>
        </c:ser>
        <c:ser>
          <c:idx val="6"/>
          <c:order val="6"/>
          <c:tx>
            <c:strRef>
              <c:f>'myTE　グラフテスト'!$B$34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18-479E-82F6-0F952AADA289}"/>
            </c:ext>
          </c:extLst>
        </c:ser>
        <c:ser>
          <c:idx val="5"/>
          <c:order val="5"/>
          <c:tx>
            <c:strRef>
              <c:f>'myTE　グラフテスト'!$B$33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グラフテスト'!$C$33:$R$33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18-479E-82F6-0F952AAD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9537840"/>
        <c:axId val="1839538800"/>
      </c:barChart>
      <c:dateAx>
        <c:axId val="183953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39538800"/>
        <c:crosses val="autoZero"/>
        <c:auto val="1"/>
        <c:lblOffset val="100"/>
        <c:baseTimeUnit val="months"/>
      </c:dateAx>
      <c:valAx>
        <c:axId val="183953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3953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7-48B6-833B-088957765B9A}"/>
            </c:ext>
          </c:extLst>
        </c:ser>
        <c:ser>
          <c:idx val="1"/>
          <c:order val="1"/>
          <c:tx>
            <c:strRef>
              <c:f>'myTE　グラフテスト'!$B$62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グラフテスト'!$C$62:$R$62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A7-48B6-833B-088957765B9A}"/>
            </c:ext>
          </c:extLst>
        </c:ser>
        <c:ser>
          <c:idx val="2"/>
          <c:order val="2"/>
          <c:tx>
            <c:strRef>
              <c:f>'myTE　グラフテスト'!$B$63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A7-48B6-833B-088957765B9A}"/>
            </c:ext>
          </c:extLst>
        </c:ser>
        <c:ser>
          <c:idx val="3"/>
          <c:order val="3"/>
          <c:tx>
            <c:strRef>
              <c:f>'myTE　グラフテスト'!$B$64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A7-48B6-833B-088957765B9A}"/>
            </c:ext>
          </c:extLst>
        </c:ser>
        <c:ser>
          <c:idx val="4"/>
          <c:order val="4"/>
          <c:tx>
            <c:strRef>
              <c:f>'myTE　グラフテスト'!$B$65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A7-48B6-833B-088957765B9A}"/>
            </c:ext>
          </c:extLst>
        </c:ser>
        <c:ser>
          <c:idx val="5"/>
          <c:order val="5"/>
          <c:tx>
            <c:strRef>
              <c:f>'myTE　グラフテスト'!$B$66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A7-48B6-833B-088957765B9A}"/>
            </c:ext>
          </c:extLst>
        </c:ser>
        <c:ser>
          <c:idx val="6"/>
          <c:order val="6"/>
          <c:tx>
            <c:strRef>
              <c:f>'myTE　グラフテスト'!$B$67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A7-48B6-833B-08895776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グラフテスト'!$C$95:$R$95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E-40DE-A71A-D6729979B19A}"/>
            </c:ext>
          </c:extLst>
        </c:ser>
        <c:ser>
          <c:idx val="1"/>
          <c:order val="1"/>
          <c:tx>
            <c:strRef>
              <c:f>'myTE　グラフテスト'!$B$96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E-40DE-A71A-D6729979B19A}"/>
            </c:ext>
          </c:extLst>
        </c:ser>
        <c:ser>
          <c:idx val="2"/>
          <c:order val="2"/>
          <c:tx>
            <c:strRef>
              <c:f>'myTE　グラフテスト'!$B$97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グラフテスト'!$C$97:$R$97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CE-40DE-A71A-D6729979B19A}"/>
            </c:ext>
          </c:extLst>
        </c:ser>
        <c:ser>
          <c:idx val="3"/>
          <c:order val="3"/>
          <c:tx>
            <c:strRef>
              <c:f>'myTE　グラフテスト'!$B$98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グラフテスト'!$C$98:$R$98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CE-40DE-A71A-D6729979B19A}"/>
            </c:ext>
          </c:extLst>
        </c:ser>
        <c:ser>
          <c:idx val="4"/>
          <c:order val="4"/>
          <c:tx>
            <c:strRef>
              <c:f>'myTE　グラフテスト'!$B$99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CE-40DE-A71A-D6729979B19A}"/>
            </c:ext>
          </c:extLst>
        </c:ser>
        <c:ser>
          <c:idx val="5"/>
          <c:order val="5"/>
          <c:tx>
            <c:strRef>
              <c:f>'myTE　グラフテスト'!$B$100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CE-40DE-A71A-D6729979B19A}"/>
            </c:ext>
          </c:extLst>
        </c:ser>
        <c:ser>
          <c:idx val="6"/>
          <c:order val="6"/>
          <c:tx>
            <c:strRef>
              <c:f>'myTE　グラフテスト'!$B$101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CE-40DE-A71A-D6729979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F-498A-83E6-AC287EAC2DEC}"/>
            </c:ext>
          </c:extLst>
        </c:ser>
        <c:ser>
          <c:idx val="1"/>
          <c:order val="1"/>
          <c:tx>
            <c:strRef>
              <c:f>'myTE　グラフテスト'!$B$130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F-498A-83E6-AC287EAC2DEC}"/>
            </c:ext>
          </c:extLst>
        </c:ser>
        <c:ser>
          <c:idx val="2"/>
          <c:order val="2"/>
          <c:tx>
            <c:strRef>
              <c:f>'myTE　グラフテスト'!$B$131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F-498A-83E6-AC287EAC2DEC}"/>
            </c:ext>
          </c:extLst>
        </c:ser>
        <c:ser>
          <c:idx val="3"/>
          <c:order val="3"/>
          <c:tx>
            <c:strRef>
              <c:f>'myTE　グラフテスト'!$B$132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グラフテスト'!$C$132:$R$132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F-498A-83E6-AC287EAC2DEC}"/>
            </c:ext>
          </c:extLst>
        </c:ser>
        <c:ser>
          <c:idx val="4"/>
          <c:order val="4"/>
          <c:tx>
            <c:strRef>
              <c:f>'myTE　グラフテスト'!$B$133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9F-498A-83E6-AC287EAC2DEC}"/>
            </c:ext>
          </c:extLst>
        </c:ser>
        <c:ser>
          <c:idx val="5"/>
          <c:order val="5"/>
          <c:tx>
            <c:strRef>
              <c:f>'myTE　グラフテスト'!$B$134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9F-498A-83E6-AC287EAC2DEC}"/>
            </c:ext>
          </c:extLst>
        </c:ser>
        <c:ser>
          <c:idx val="6"/>
          <c:order val="6"/>
          <c:tx>
            <c:strRef>
              <c:f>'myTE　グラフテスト'!$B$135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9F-498A-83E6-AC287EAC2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グラフテスト'!$C$163:$R$163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E-4D8D-9E28-8C86345B7FD3}"/>
            </c:ext>
          </c:extLst>
        </c:ser>
        <c:ser>
          <c:idx val="1"/>
          <c:order val="1"/>
          <c:tx>
            <c:strRef>
              <c:f>'myTE　グラフテスト'!$B$164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E-4D8D-9E28-8C86345B7FD3}"/>
            </c:ext>
          </c:extLst>
        </c:ser>
        <c:ser>
          <c:idx val="2"/>
          <c:order val="2"/>
          <c:tx>
            <c:strRef>
              <c:f>'myTE　グラフテスト'!$B$165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BE-4D8D-9E28-8C86345B7FD3}"/>
            </c:ext>
          </c:extLst>
        </c:ser>
        <c:ser>
          <c:idx val="3"/>
          <c:order val="3"/>
          <c:tx>
            <c:strRef>
              <c:f>'myTE　グラフテスト'!$B$166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グラフテスト'!$C$166:$R$166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BE-4D8D-9E28-8C86345B7FD3}"/>
            </c:ext>
          </c:extLst>
        </c:ser>
        <c:ser>
          <c:idx val="4"/>
          <c:order val="4"/>
          <c:tx>
            <c:strRef>
              <c:f>'myTE　グラフテスト'!$B$167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BE-4D8D-9E28-8C86345B7FD3}"/>
            </c:ext>
          </c:extLst>
        </c:ser>
        <c:ser>
          <c:idx val="5"/>
          <c:order val="5"/>
          <c:tx>
            <c:strRef>
              <c:f>'myTE　グラフテスト'!$B$168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BE-4D8D-9E28-8C86345B7FD3}"/>
            </c:ext>
          </c:extLst>
        </c:ser>
        <c:ser>
          <c:idx val="6"/>
          <c:order val="6"/>
          <c:tx>
            <c:strRef>
              <c:f>'myTE　グラフテスト'!$B$169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BE-4D8D-9E28-8C86345B7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累積棒グラフ'!$C$28:$R$28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4-4405-8E4B-AB80306ED466}"/>
            </c:ext>
          </c:extLst>
        </c:ser>
        <c:ser>
          <c:idx val="1"/>
          <c:order val="1"/>
          <c:tx>
            <c:strRef>
              <c:f>'I&amp;D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累積棒グラフ'!$C$29:$R$29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4-4405-8E4B-AB80306ED466}"/>
            </c:ext>
          </c:extLst>
        </c:ser>
        <c:ser>
          <c:idx val="2"/>
          <c:order val="2"/>
          <c:tx>
            <c:strRef>
              <c:f>'I&amp;D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累積棒グラフ'!$C$30:$R$30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4-4405-8E4B-AB80306ED466}"/>
            </c:ext>
          </c:extLst>
        </c:ser>
        <c:ser>
          <c:idx val="3"/>
          <c:order val="3"/>
          <c:tx>
            <c:strRef>
              <c:f>'I&amp;D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累積棒グラフ'!$C$31:$R$31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4-4405-8E4B-AB80306ED466}"/>
            </c:ext>
          </c:extLst>
        </c:ser>
        <c:ser>
          <c:idx val="4"/>
          <c:order val="4"/>
          <c:tx>
            <c:strRef>
              <c:f>'I&amp;D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44-4405-8E4B-AB80306ED466}"/>
            </c:ext>
          </c:extLst>
        </c:ser>
        <c:ser>
          <c:idx val="5"/>
          <c:order val="5"/>
          <c:tx>
            <c:strRef>
              <c:f>'I&amp;D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累積棒グラフ'!$C$33:$R$33</c:f>
              <c:numCache>
                <c:formatCode>General</c:formatCode>
                <c:ptCount val="16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4-4405-8E4B-AB80306ED466}"/>
            </c:ext>
          </c:extLst>
        </c:ser>
        <c:ser>
          <c:idx val="6"/>
          <c:order val="6"/>
          <c:tx>
            <c:strRef>
              <c:f>'I&amp;D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44-4405-8E4B-AB80306ED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4-4C2A-AF01-9F6E72724747}"/>
            </c:ext>
          </c:extLst>
        </c:ser>
        <c:ser>
          <c:idx val="1"/>
          <c:order val="1"/>
          <c:tx>
            <c:strRef>
              <c:f>'I&amp;D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累積棒グラフ'!$C$62:$R$62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04-4C2A-AF01-9F6E72724747}"/>
            </c:ext>
          </c:extLst>
        </c:ser>
        <c:ser>
          <c:idx val="2"/>
          <c:order val="2"/>
          <c:tx>
            <c:strRef>
              <c:f>'I&amp;D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04-4C2A-AF01-9F6E72724747}"/>
            </c:ext>
          </c:extLst>
        </c:ser>
        <c:ser>
          <c:idx val="3"/>
          <c:order val="3"/>
          <c:tx>
            <c:strRef>
              <c:f>'I&amp;D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04-4C2A-AF01-9F6E72724747}"/>
            </c:ext>
          </c:extLst>
        </c:ser>
        <c:ser>
          <c:idx val="4"/>
          <c:order val="4"/>
          <c:tx>
            <c:strRef>
              <c:f>'I&amp;D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04-4C2A-AF01-9F6E72724747}"/>
            </c:ext>
          </c:extLst>
        </c:ser>
        <c:ser>
          <c:idx val="5"/>
          <c:order val="5"/>
          <c:tx>
            <c:strRef>
              <c:f>'I&amp;D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4-4C2A-AF01-9F6E72724747}"/>
            </c:ext>
          </c:extLst>
        </c:ser>
        <c:ser>
          <c:idx val="6"/>
          <c:order val="6"/>
          <c:tx>
            <c:strRef>
              <c:f>'I&amp;D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04-4C2A-AF01-9F6E7272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累積棒グラフ'!$C$95:$R$95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5-4084-8CFB-BD7467B7B065}"/>
            </c:ext>
          </c:extLst>
        </c:ser>
        <c:ser>
          <c:idx val="1"/>
          <c:order val="1"/>
          <c:tx>
            <c:strRef>
              <c:f>'I&amp;D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5-4084-8CFB-BD7467B7B065}"/>
            </c:ext>
          </c:extLst>
        </c:ser>
        <c:ser>
          <c:idx val="2"/>
          <c:order val="2"/>
          <c:tx>
            <c:strRef>
              <c:f>'I&amp;D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累積棒グラフ'!$C$97:$R$97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5-4084-8CFB-BD7467B7B065}"/>
            </c:ext>
          </c:extLst>
        </c:ser>
        <c:ser>
          <c:idx val="3"/>
          <c:order val="3"/>
          <c:tx>
            <c:strRef>
              <c:f>'I&amp;D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累積棒グラフ'!$C$98:$R$98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95-4084-8CFB-BD7467B7B065}"/>
            </c:ext>
          </c:extLst>
        </c:ser>
        <c:ser>
          <c:idx val="4"/>
          <c:order val="4"/>
          <c:tx>
            <c:strRef>
              <c:f>'I&amp;D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95-4084-8CFB-BD7467B7B065}"/>
            </c:ext>
          </c:extLst>
        </c:ser>
        <c:ser>
          <c:idx val="5"/>
          <c:order val="5"/>
          <c:tx>
            <c:strRef>
              <c:f>'I&amp;D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95-4084-8CFB-BD7467B7B065}"/>
            </c:ext>
          </c:extLst>
        </c:ser>
        <c:ser>
          <c:idx val="6"/>
          <c:order val="6"/>
          <c:tx>
            <c:strRef>
              <c:f>'I&amp;D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95-4084-8CFB-BD7467B7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3-4BFE-B3D5-F3B5A35C895A}"/>
            </c:ext>
          </c:extLst>
        </c:ser>
        <c:ser>
          <c:idx val="1"/>
          <c:order val="1"/>
          <c:tx>
            <c:strRef>
              <c:f>'I&amp;D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3-4BFE-B3D5-F3B5A35C895A}"/>
            </c:ext>
          </c:extLst>
        </c:ser>
        <c:ser>
          <c:idx val="2"/>
          <c:order val="2"/>
          <c:tx>
            <c:strRef>
              <c:f>'I&amp;D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03-4BFE-B3D5-F3B5A35C895A}"/>
            </c:ext>
          </c:extLst>
        </c:ser>
        <c:ser>
          <c:idx val="3"/>
          <c:order val="3"/>
          <c:tx>
            <c:strRef>
              <c:f>'I&amp;D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累積棒グラフ'!$C$132:$R$132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03-4BFE-B3D5-F3B5A35C895A}"/>
            </c:ext>
          </c:extLst>
        </c:ser>
        <c:ser>
          <c:idx val="4"/>
          <c:order val="4"/>
          <c:tx>
            <c:strRef>
              <c:f>'I&amp;D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03-4BFE-B3D5-F3B5A35C895A}"/>
            </c:ext>
          </c:extLst>
        </c:ser>
        <c:ser>
          <c:idx val="5"/>
          <c:order val="5"/>
          <c:tx>
            <c:strRef>
              <c:f>'I&amp;D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03-4BFE-B3D5-F3B5A35C895A}"/>
            </c:ext>
          </c:extLst>
        </c:ser>
        <c:ser>
          <c:idx val="6"/>
          <c:order val="6"/>
          <c:tx>
            <c:strRef>
              <c:f>'I&amp;D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03-4BFE-B3D5-F3B5A35C8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累積棒グラフ'!$C$163:$R$163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7-4A2C-B94E-CF13FD0EA93B}"/>
            </c:ext>
          </c:extLst>
        </c:ser>
        <c:ser>
          <c:idx val="1"/>
          <c:order val="1"/>
          <c:tx>
            <c:strRef>
              <c:f>'I&amp;D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D7-4A2C-B94E-CF13FD0EA93B}"/>
            </c:ext>
          </c:extLst>
        </c:ser>
        <c:ser>
          <c:idx val="2"/>
          <c:order val="2"/>
          <c:tx>
            <c:strRef>
              <c:f>'I&amp;D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D7-4A2C-B94E-CF13FD0EA93B}"/>
            </c:ext>
          </c:extLst>
        </c:ser>
        <c:ser>
          <c:idx val="3"/>
          <c:order val="3"/>
          <c:tx>
            <c:strRef>
              <c:f>'I&amp;D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累積棒グラフ'!$C$166:$R$166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D7-4A2C-B94E-CF13FD0EA93B}"/>
            </c:ext>
          </c:extLst>
        </c:ser>
        <c:ser>
          <c:idx val="4"/>
          <c:order val="4"/>
          <c:tx>
            <c:strRef>
              <c:f>'I&amp;D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D7-4A2C-B94E-CF13FD0EA93B}"/>
            </c:ext>
          </c:extLst>
        </c:ser>
        <c:ser>
          <c:idx val="5"/>
          <c:order val="5"/>
          <c:tx>
            <c:strRef>
              <c:f>'I&amp;D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D7-4A2C-B94E-CF13FD0EA93B}"/>
            </c:ext>
          </c:extLst>
        </c:ser>
        <c:ser>
          <c:idx val="6"/>
          <c:order val="6"/>
          <c:tx>
            <c:strRef>
              <c:f>'I&amp;D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D7-4A2C-B94E-CF13FD0EA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累積棒グラフold'!$B$28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累積棒グラフold'!$C$28:$I$28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C-436E-8611-29FD2B439B5B}"/>
            </c:ext>
          </c:extLst>
        </c:ser>
        <c:ser>
          <c:idx val="1"/>
          <c:order val="1"/>
          <c:tx>
            <c:strRef>
              <c:f>'I&amp;D 累積棒グラフold'!$B$29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累積棒グラフold'!$C$29:$I$29</c:f>
              <c:numCache>
                <c:formatCode>General</c:formatCode>
                <c:ptCount val="7"/>
                <c:pt idx="0">
                  <c:v>10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DC-436E-8611-29FD2B439B5B}"/>
            </c:ext>
          </c:extLst>
        </c:ser>
        <c:ser>
          <c:idx val="2"/>
          <c:order val="2"/>
          <c:tx>
            <c:strRef>
              <c:f>'I&amp;D 累積棒グラフold'!$B$30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累積棒グラフold'!$C$30:$I$30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DC-436E-8611-29FD2B439B5B}"/>
            </c:ext>
          </c:extLst>
        </c:ser>
        <c:ser>
          <c:idx val="3"/>
          <c:order val="3"/>
          <c:tx>
            <c:strRef>
              <c:f>'I&amp;D 累積棒グラフold'!$B$31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DC-436E-8611-29FD2B439B5B}"/>
            </c:ext>
          </c:extLst>
        </c:ser>
        <c:ser>
          <c:idx val="4"/>
          <c:order val="4"/>
          <c:tx>
            <c:strRef>
              <c:f>'I&amp;D 累積棒グラフold'!$B$32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C-436E-8611-29FD2B439B5B}"/>
            </c:ext>
          </c:extLst>
        </c:ser>
        <c:ser>
          <c:idx val="5"/>
          <c:order val="5"/>
          <c:tx>
            <c:strRef>
              <c:f>'I&amp;D 累積棒グラフold'!$B$33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累積棒グラフold'!$C$27:$I$27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累積棒グラフold'!$C$33:$I$33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DC-436E-8611-29FD2B439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累積棒グラフold'!$B$57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累積棒グラフold'!$C$57:$I$57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E-49A0-8FC0-4CCDB479F117}"/>
            </c:ext>
          </c:extLst>
        </c:ser>
        <c:ser>
          <c:idx val="1"/>
          <c:order val="1"/>
          <c:tx>
            <c:strRef>
              <c:f>'I&amp;D 累積棒グラフold'!$B$58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累積棒グラフold'!$C$58:$I$58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E-49A0-8FC0-4CCDB479F117}"/>
            </c:ext>
          </c:extLst>
        </c:ser>
        <c:ser>
          <c:idx val="2"/>
          <c:order val="2"/>
          <c:tx>
            <c:strRef>
              <c:f>'I&amp;D 累積棒グラフold'!$B$59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累積棒グラフold'!$C$59:$I$59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E-49A0-8FC0-4CCDB479F117}"/>
            </c:ext>
          </c:extLst>
        </c:ser>
        <c:ser>
          <c:idx val="3"/>
          <c:order val="3"/>
          <c:tx>
            <c:strRef>
              <c:f>'I&amp;D 累積棒グラフold'!$B$60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累積棒グラフold'!$C$60:$I$60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E-49A0-8FC0-4CCDB479F117}"/>
            </c:ext>
          </c:extLst>
        </c:ser>
        <c:ser>
          <c:idx val="4"/>
          <c:order val="4"/>
          <c:tx>
            <c:strRef>
              <c:f>'I&amp;D 累積棒グラフold'!$B$61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累積棒グラフold'!$C$61:$I$61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E-49A0-8FC0-4CCDB479F117}"/>
            </c:ext>
          </c:extLst>
        </c:ser>
        <c:ser>
          <c:idx val="5"/>
          <c:order val="5"/>
          <c:tx>
            <c:strRef>
              <c:f>'I&amp;D 累積棒グラフold'!$B$62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累積棒グラフold'!$C$56:$I$56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累積棒グラフold'!$C$62:$I$62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E-49A0-8FC0-4CCDB479F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累積棒グラフold'!$B$87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累積棒グラフold'!$C$87:$I$87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6-489B-B0D5-49F3C9FD77CC}"/>
            </c:ext>
          </c:extLst>
        </c:ser>
        <c:ser>
          <c:idx val="1"/>
          <c:order val="1"/>
          <c:tx>
            <c:strRef>
              <c:f>'I&amp;D 累積棒グラフold'!$B$88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累積棒グラフold'!$C$88:$I$88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6-489B-B0D5-49F3C9FD77CC}"/>
            </c:ext>
          </c:extLst>
        </c:ser>
        <c:ser>
          <c:idx val="2"/>
          <c:order val="2"/>
          <c:tx>
            <c:strRef>
              <c:f>'I&amp;D 累積棒グラフold'!$B$89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累積棒グラフold'!$C$89:$I$89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6-489B-B0D5-49F3C9FD77CC}"/>
            </c:ext>
          </c:extLst>
        </c:ser>
        <c:ser>
          <c:idx val="3"/>
          <c:order val="3"/>
          <c:tx>
            <c:strRef>
              <c:f>'I&amp;D 累積棒グラフold'!$B$90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累積棒グラフold'!$C$90:$I$90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26-489B-B0D5-49F3C9FD77CC}"/>
            </c:ext>
          </c:extLst>
        </c:ser>
        <c:ser>
          <c:idx val="4"/>
          <c:order val="4"/>
          <c:tx>
            <c:strRef>
              <c:f>'I&amp;D 累積棒グラフold'!$B$91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累積棒グラフold'!$C$91:$I$91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26-489B-B0D5-49F3C9FD77CC}"/>
            </c:ext>
          </c:extLst>
        </c:ser>
        <c:ser>
          <c:idx val="5"/>
          <c:order val="5"/>
          <c:tx>
            <c:strRef>
              <c:f>'I&amp;D 累積棒グラフold'!$B$92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累積棒グラフold'!$C$86:$I$86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累積棒グラフold'!$C$92:$I$92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26-489B-B0D5-49F3C9FD7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人事異動累積棒グラフ!$B$28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人事異動累積棒グラフ!$C$28:$R$28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2BC-B232-ECCEF33631C2}"/>
            </c:ext>
          </c:extLst>
        </c:ser>
        <c:ser>
          <c:idx val="1"/>
          <c:order val="1"/>
          <c:tx>
            <c:strRef>
              <c:f>人事異動累積棒グラフ!$B$29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人事異動累積棒グラフ!$C$29:$R$29</c:f>
              <c:numCache>
                <c:formatCode>General</c:formatCode>
                <c:ptCount val="16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2BC-B232-ECCEF33631C2}"/>
            </c:ext>
          </c:extLst>
        </c:ser>
        <c:ser>
          <c:idx val="2"/>
          <c:order val="2"/>
          <c:tx>
            <c:strRef>
              <c:f>人事異動累積棒グラフ!$B$30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人事異動累積棒グラフ!$C$30:$R$30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55-42BC-B232-ECCEF33631C2}"/>
            </c:ext>
          </c:extLst>
        </c:ser>
        <c:ser>
          <c:idx val="3"/>
          <c:order val="3"/>
          <c:tx>
            <c:strRef>
              <c:f>人事異動累積棒グラフ!$B$31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人事異動累積棒グラフ!$C$31:$R$31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55-42BC-B232-ECCEF33631C2}"/>
            </c:ext>
          </c:extLst>
        </c:ser>
        <c:ser>
          <c:idx val="4"/>
          <c:order val="4"/>
          <c:tx>
            <c:strRef>
              <c:f>人事異動累積棒グラフ!$B$32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55-42BC-B232-ECCEF33631C2}"/>
            </c:ext>
          </c:extLst>
        </c:ser>
        <c:ser>
          <c:idx val="5"/>
          <c:order val="5"/>
          <c:tx>
            <c:strRef>
              <c:f>人事異動累積棒グラフ!$B$33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人事異動累積棒グラフ!$C$33:$R$33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55-42BC-B232-ECCEF33631C2}"/>
            </c:ext>
          </c:extLst>
        </c:ser>
        <c:ser>
          <c:idx val="6"/>
          <c:order val="6"/>
          <c:tx>
            <c:strRef>
              <c:f>人事異動累積棒グラフ!$B$34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55-42BC-B232-ECCEF33631C2}"/>
            </c:ext>
          </c:extLst>
        </c:ser>
        <c:ser>
          <c:idx val="7"/>
          <c:order val="7"/>
          <c:tx>
            <c:strRef>
              <c:f>人事異動累積棒グラフ!$B$35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人事異動累積棒グラフ!$C$35:$R$35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55-42BC-B232-ECCEF33631C2}"/>
            </c:ext>
          </c:extLst>
        </c:ser>
        <c:ser>
          <c:idx val="8"/>
          <c:order val="8"/>
          <c:tx>
            <c:strRef>
              <c:f>人事異動累積棒グラフ!$B$36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人事異動累積棒グラフ!$C$36:$R$36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55-42BC-B232-ECCEF3363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人事異動累積棒グラフ!$B$61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0-402D-827E-674CD1BFC2CB}"/>
            </c:ext>
          </c:extLst>
        </c:ser>
        <c:ser>
          <c:idx val="1"/>
          <c:order val="1"/>
          <c:tx>
            <c:strRef>
              <c:f>人事異動累積棒グラフ!$B$62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人事異動累積棒グラフ!$C$62:$R$62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0-402D-827E-674CD1BFC2CB}"/>
            </c:ext>
          </c:extLst>
        </c:ser>
        <c:ser>
          <c:idx val="2"/>
          <c:order val="2"/>
          <c:tx>
            <c:strRef>
              <c:f>人事異動累積棒グラフ!$B$63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0-402D-827E-674CD1BFC2CB}"/>
            </c:ext>
          </c:extLst>
        </c:ser>
        <c:ser>
          <c:idx val="3"/>
          <c:order val="3"/>
          <c:tx>
            <c:strRef>
              <c:f>人事異動累積棒グラフ!$B$64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0-402D-827E-674CD1BFC2CB}"/>
            </c:ext>
          </c:extLst>
        </c:ser>
        <c:ser>
          <c:idx val="4"/>
          <c:order val="4"/>
          <c:tx>
            <c:strRef>
              <c:f>人事異動累積棒グラフ!$B$65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0-402D-827E-674CD1BFC2CB}"/>
            </c:ext>
          </c:extLst>
        </c:ser>
        <c:ser>
          <c:idx val="5"/>
          <c:order val="5"/>
          <c:tx>
            <c:strRef>
              <c:f>人事異動累積棒グラフ!$B$66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0-402D-827E-674CD1BFC2CB}"/>
            </c:ext>
          </c:extLst>
        </c:ser>
        <c:ser>
          <c:idx val="6"/>
          <c:order val="6"/>
          <c:tx>
            <c:strRef>
              <c:f>人事異動累積棒グラフ!$B$67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0-402D-827E-674CD1BFC2CB}"/>
            </c:ext>
          </c:extLst>
        </c:ser>
        <c:ser>
          <c:idx val="7"/>
          <c:order val="7"/>
          <c:tx>
            <c:strRef>
              <c:f>人事異動累積棒グラフ!$B$68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人事異動累積棒グラフ!$C$68:$R$68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0-402D-827E-674CD1BFC2CB}"/>
            </c:ext>
          </c:extLst>
        </c:ser>
        <c:ser>
          <c:idx val="8"/>
          <c:order val="8"/>
          <c:tx>
            <c:strRef>
              <c:f>人事異動累積棒グラフ!$B$69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人事異動累積棒グラフ!$C$69:$R$69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0-402D-827E-674CD1BFC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人事異動累積棒グラフ!$B$95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人事異動累積棒グラフ!$C$95:$R$95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9-4F07-85E0-95C7F27C8311}"/>
            </c:ext>
          </c:extLst>
        </c:ser>
        <c:ser>
          <c:idx val="1"/>
          <c:order val="1"/>
          <c:tx>
            <c:strRef>
              <c:f>人事異動累積棒グラフ!$B$96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9-4F07-85E0-95C7F27C8311}"/>
            </c:ext>
          </c:extLst>
        </c:ser>
        <c:ser>
          <c:idx val="2"/>
          <c:order val="2"/>
          <c:tx>
            <c:strRef>
              <c:f>人事異動累積棒グラフ!$B$97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人事異動累積棒グラフ!$C$97:$R$97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09-4F07-85E0-95C7F27C8311}"/>
            </c:ext>
          </c:extLst>
        </c:ser>
        <c:ser>
          <c:idx val="3"/>
          <c:order val="3"/>
          <c:tx>
            <c:strRef>
              <c:f>人事異動累積棒グラフ!$B$98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人事異動累積棒グラフ!$C$98:$R$98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09-4F07-85E0-95C7F27C8311}"/>
            </c:ext>
          </c:extLst>
        </c:ser>
        <c:ser>
          <c:idx val="4"/>
          <c:order val="4"/>
          <c:tx>
            <c:strRef>
              <c:f>人事異動累積棒グラフ!$B$99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09-4F07-85E0-95C7F27C8311}"/>
            </c:ext>
          </c:extLst>
        </c:ser>
        <c:ser>
          <c:idx val="5"/>
          <c:order val="5"/>
          <c:tx>
            <c:strRef>
              <c:f>人事異動累積棒グラフ!$B$100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09-4F07-85E0-95C7F27C8311}"/>
            </c:ext>
          </c:extLst>
        </c:ser>
        <c:ser>
          <c:idx val="6"/>
          <c:order val="6"/>
          <c:tx>
            <c:strRef>
              <c:f>人事異動累積棒グラフ!$B$101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09-4F07-85E0-95C7F27C8311}"/>
            </c:ext>
          </c:extLst>
        </c:ser>
        <c:ser>
          <c:idx val="7"/>
          <c:order val="7"/>
          <c:tx>
            <c:strRef>
              <c:f>人事異動累積棒グラフ!$B$102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人事異動累積棒グラフ!$C$102:$R$102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09-4F07-85E0-95C7F27C8311}"/>
            </c:ext>
          </c:extLst>
        </c:ser>
        <c:ser>
          <c:idx val="8"/>
          <c:order val="8"/>
          <c:tx>
            <c:strRef>
              <c:f>人事異動累積棒グラフ!$B$103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人事異動累積棒グラフ!$C$103:$R$103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09-4F07-85E0-95C7F27C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人事異動累積棒グラフ!$B$129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B-4C35-9535-C4D88A1C0BA2}"/>
            </c:ext>
          </c:extLst>
        </c:ser>
        <c:ser>
          <c:idx val="1"/>
          <c:order val="1"/>
          <c:tx>
            <c:strRef>
              <c:f>人事異動累積棒グラフ!$B$130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B-4C35-9535-C4D88A1C0BA2}"/>
            </c:ext>
          </c:extLst>
        </c:ser>
        <c:ser>
          <c:idx val="2"/>
          <c:order val="2"/>
          <c:tx>
            <c:strRef>
              <c:f>人事異動累積棒グラフ!$B$131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1B-4C35-9535-C4D88A1C0BA2}"/>
            </c:ext>
          </c:extLst>
        </c:ser>
        <c:ser>
          <c:idx val="3"/>
          <c:order val="3"/>
          <c:tx>
            <c:strRef>
              <c:f>人事異動累積棒グラフ!$B$132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人事異動累積棒グラフ!$C$132:$R$132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1B-4C35-9535-C4D88A1C0BA2}"/>
            </c:ext>
          </c:extLst>
        </c:ser>
        <c:ser>
          <c:idx val="4"/>
          <c:order val="4"/>
          <c:tx>
            <c:strRef>
              <c:f>人事異動累積棒グラフ!$B$133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1B-4C35-9535-C4D88A1C0BA2}"/>
            </c:ext>
          </c:extLst>
        </c:ser>
        <c:ser>
          <c:idx val="5"/>
          <c:order val="5"/>
          <c:tx>
            <c:strRef>
              <c:f>人事異動累積棒グラフ!$B$134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1B-4C35-9535-C4D88A1C0BA2}"/>
            </c:ext>
          </c:extLst>
        </c:ser>
        <c:ser>
          <c:idx val="6"/>
          <c:order val="6"/>
          <c:tx>
            <c:strRef>
              <c:f>人事異動累積棒グラフ!$B$135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1B-4C35-9535-C4D88A1C0BA2}"/>
            </c:ext>
          </c:extLst>
        </c:ser>
        <c:ser>
          <c:idx val="7"/>
          <c:order val="7"/>
          <c:tx>
            <c:strRef>
              <c:f>人事異動累積棒グラフ!$B$136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人事異動累積棒グラフ!$C$136:$R$136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1B-4C35-9535-C4D88A1C0BA2}"/>
            </c:ext>
          </c:extLst>
        </c:ser>
        <c:ser>
          <c:idx val="8"/>
          <c:order val="8"/>
          <c:tx>
            <c:strRef>
              <c:f>人事異動累積棒グラフ!$B$137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人事異動累積棒グラフ!$C$137:$R$137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1B-4C35-9535-C4D88A1C0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人事異動累積棒グラフ!$B$163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人事異動累積棒グラフ!$C$163:$R$163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D-4498-B697-C5D84AB0C77E}"/>
            </c:ext>
          </c:extLst>
        </c:ser>
        <c:ser>
          <c:idx val="1"/>
          <c:order val="1"/>
          <c:tx>
            <c:strRef>
              <c:f>人事異動累積棒グラフ!$B$164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D-4498-B697-C5D84AB0C77E}"/>
            </c:ext>
          </c:extLst>
        </c:ser>
        <c:ser>
          <c:idx val="2"/>
          <c:order val="2"/>
          <c:tx>
            <c:strRef>
              <c:f>人事異動累積棒グラフ!$B$165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D-4498-B697-C5D84AB0C77E}"/>
            </c:ext>
          </c:extLst>
        </c:ser>
        <c:ser>
          <c:idx val="3"/>
          <c:order val="3"/>
          <c:tx>
            <c:strRef>
              <c:f>人事異動累積棒グラフ!$B$166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人事異動累積棒グラフ!$C$166:$R$166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D-4498-B697-C5D84AB0C77E}"/>
            </c:ext>
          </c:extLst>
        </c:ser>
        <c:ser>
          <c:idx val="4"/>
          <c:order val="4"/>
          <c:tx>
            <c:strRef>
              <c:f>人事異動累積棒グラフ!$B$167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1D-4498-B697-C5D84AB0C77E}"/>
            </c:ext>
          </c:extLst>
        </c:ser>
        <c:ser>
          <c:idx val="5"/>
          <c:order val="5"/>
          <c:tx>
            <c:strRef>
              <c:f>人事異動累積棒グラフ!$B$168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1D-4498-B697-C5D84AB0C77E}"/>
            </c:ext>
          </c:extLst>
        </c:ser>
        <c:ser>
          <c:idx val="6"/>
          <c:order val="6"/>
          <c:tx>
            <c:strRef>
              <c:f>人事異動累積棒グラフ!$B$169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1D-4498-B697-C5D84AB0C77E}"/>
            </c:ext>
          </c:extLst>
        </c:ser>
        <c:ser>
          <c:idx val="7"/>
          <c:order val="7"/>
          <c:tx>
            <c:strRef>
              <c:f>人事異動累積棒グラフ!$B$170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人事異動累積棒グラフ!$C$170:$R$170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1D-4498-B697-C5D84AB0C77E}"/>
            </c:ext>
          </c:extLst>
        </c:ser>
        <c:ser>
          <c:idx val="8"/>
          <c:order val="8"/>
          <c:tx>
            <c:strRef>
              <c:f>人事異動累積棒グラフ!$B$171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人事異動累積棒グラフ!$C$171:$R$171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1D-4498-B697-C5D84AB0C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人事異動・組織改編累積件数グラフold!$B$28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人事異動・組織改編累積件数グラフold!$C$28:$E$28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B-4E9E-AF8D-261B3A297071}"/>
            </c:ext>
          </c:extLst>
        </c:ser>
        <c:ser>
          <c:idx val="1"/>
          <c:order val="1"/>
          <c:tx>
            <c:strRef>
              <c:f>人事異動・組織改編累積件数グラフold!$B$29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人事異動・組織改編累積件数グラフold!$C$29:$E$29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AB-4E9E-AF8D-261B3A297071}"/>
            </c:ext>
          </c:extLst>
        </c:ser>
        <c:ser>
          <c:idx val="2"/>
          <c:order val="2"/>
          <c:tx>
            <c:strRef>
              <c:f>人事異動・組織改編累積件数グラフold!$B$30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人事異動・組織改編累積件数グラフold!$C$30:$E$30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AB-4E9E-AF8D-261B3A297071}"/>
            </c:ext>
          </c:extLst>
        </c:ser>
        <c:ser>
          <c:idx val="3"/>
          <c:order val="3"/>
          <c:tx>
            <c:strRef>
              <c:f>人事異動・組織改編累積件数グラフold!$B$31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人事異動・組織改編累積件数グラフold!$C$31:$E$31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AB-4E9E-AF8D-261B3A297071}"/>
            </c:ext>
          </c:extLst>
        </c:ser>
        <c:ser>
          <c:idx val="4"/>
          <c:order val="4"/>
          <c:tx>
            <c:strRef>
              <c:f>人事異動・組織改編累積件数グラフold!$B$32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人事異動・組織改編累積件数グラフold!$C$32:$E$32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AB-4E9E-AF8D-261B3A297071}"/>
            </c:ext>
          </c:extLst>
        </c:ser>
        <c:ser>
          <c:idx val="5"/>
          <c:order val="5"/>
          <c:tx>
            <c:strRef>
              <c:f>人事異動・組織改編累積件数グラフold!$B$33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人事異動・組織改編累積件数グラフold!$C$33:$E$33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AB-4E9E-AF8D-261B3A297071}"/>
            </c:ext>
          </c:extLst>
        </c:ser>
        <c:ser>
          <c:idx val="6"/>
          <c:order val="6"/>
          <c:tx>
            <c:strRef>
              <c:f>人事異動・組織改編累積件数グラフold!$B$34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人事異動・組織改編累積件数グラフold!$C$34:$E$34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3A1-8A58-250FAF7F7958}"/>
            </c:ext>
          </c:extLst>
        </c:ser>
        <c:ser>
          <c:idx val="7"/>
          <c:order val="7"/>
          <c:tx>
            <c:strRef>
              <c:f>人事異動・組織改編累積件数グラフold!$B$35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人事異動・組織改編累積件数グラフold!$C$35:$E$35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3A1-8A58-250FAF7F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人事異動・組織改編累積件数グラフold!$B$59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人事異動・組織改編累積件数グラフold!$C$59:$E$59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6-4140-A221-816868EACEF9}"/>
            </c:ext>
          </c:extLst>
        </c:ser>
        <c:ser>
          <c:idx val="1"/>
          <c:order val="1"/>
          <c:tx>
            <c:strRef>
              <c:f>人事異動・組織改編累積件数グラフold!$B$60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人事異動・組織改編累積件数グラフold!$C$60:$E$60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6-4140-A221-816868EACEF9}"/>
            </c:ext>
          </c:extLst>
        </c:ser>
        <c:ser>
          <c:idx val="2"/>
          <c:order val="2"/>
          <c:tx>
            <c:strRef>
              <c:f>人事異動・組織改編累積件数グラフold!$B$61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人事異動・組織改編累積件数グラフold!$C$61:$E$61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56-4140-A221-816868EACEF9}"/>
            </c:ext>
          </c:extLst>
        </c:ser>
        <c:ser>
          <c:idx val="3"/>
          <c:order val="3"/>
          <c:tx>
            <c:strRef>
              <c:f>人事異動・組織改編累積件数グラフold!$B$62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人事異動・組織改編累積件数グラフold!$C$62:$E$62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56-4140-A221-816868EACEF9}"/>
            </c:ext>
          </c:extLst>
        </c:ser>
        <c:ser>
          <c:idx val="4"/>
          <c:order val="4"/>
          <c:tx>
            <c:strRef>
              <c:f>人事異動・組織改編累積件数グラフold!$B$63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人事異動・組織改編累積件数グラフold!$C$63:$E$63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56-4140-A221-816868EACEF9}"/>
            </c:ext>
          </c:extLst>
        </c:ser>
        <c:ser>
          <c:idx val="5"/>
          <c:order val="5"/>
          <c:tx>
            <c:strRef>
              <c:f>人事異動・組織改編累積件数グラフold!$B$64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人事異動・組織改編累積件数グラフold!$C$64:$E$64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56-4140-A221-816868EACEF9}"/>
            </c:ext>
          </c:extLst>
        </c:ser>
        <c:ser>
          <c:idx val="6"/>
          <c:order val="6"/>
          <c:tx>
            <c:strRef>
              <c:f>人事異動・組織改編累積件数グラフold!$B$65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人事異動・組織改編累積件数グラフold!$C$65:$E$65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AFF-9384-E724A26E7092}"/>
            </c:ext>
          </c:extLst>
        </c:ser>
        <c:ser>
          <c:idx val="7"/>
          <c:order val="7"/>
          <c:tx>
            <c:strRef>
              <c:f>人事異動・組織改編累積件数グラフold!$B$66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人事異動・組織改編累積件数グラフold!$C$66:$E$66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D-4AFF-9384-E724A26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人事異動・組織改編累積件数グラフold!$B$91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人事異動・組織改編累積件数グラフold!$C$91:$E$91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E-4D3E-B2CE-68519AAC5B04}"/>
            </c:ext>
          </c:extLst>
        </c:ser>
        <c:ser>
          <c:idx val="1"/>
          <c:order val="1"/>
          <c:tx>
            <c:strRef>
              <c:f>人事異動・組織改編累積件数グラフold!$B$92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人事異動・組織改編累積件数グラフold!$C$92:$E$92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E-4D3E-B2CE-68519AAC5B04}"/>
            </c:ext>
          </c:extLst>
        </c:ser>
        <c:ser>
          <c:idx val="2"/>
          <c:order val="2"/>
          <c:tx>
            <c:strRef>
              <c:f>人事異動・組織改編累積件数グラフold!$B$93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人事異動・組織改編累積件数グラフold!$C$93:$E$93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6E-4D3E-B2CE-68519AAC5B04}"/>
            </c:ext>
          </c:extLst>
        </c:ser>
        <c:ser>
          <c:idx val="3"/>
          <c:order val="3"/>
          <c:tx>
            <c:strRef>
              <c:f>人事異動・組織改編累積件数グラフold!$B$94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人事異動・組織改編累積件数グラフold!$C$94:$E$94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6E-4D3E-B2CE-68519AAC5B04}"/>
            </c:ext>
          </c:extLst>
        </c:ser>
        <c:ser>
          <c:idx val="4"/>
          <c:order val="4"/>
          <c:tx>
            <c:strRef>
              <c:f>人事異動・組織改編累積件数グラフold!$B$95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人事異動・組織改編累積件数グラフold!$C$95:$E$95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E-4D3E-B2CE-68519AAC5B04}"/>
            </c:ext>
          </c:extLst>
        </c:ser>
        <c:ser>
          <c:idx val="5"/>
          <c:order val="5"/>
          <c:tx>
            <c:strRef>
              <c:f>人事異動・組織改編累積件数グラフold!$B$96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人事異動・組織改編累積件数グラフold!$C$96:$E$96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E-4D3E-B2CE-68519AAC5B04}"/>
            </c:ext>
          </c:extLst>
        </c:ser>
        <c:ser>
          <c:idx val="6"/>
          <c:order val="6"/>
          <c:tx>
            <c:strRef>
              <c:f>人事異動・組織改編累積件数グラフold!$B$97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人事異動・組織改編累積件数グラフold!$C$97:$E$97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9-45BD-B018-76FFE54C537A}"/>
            </c:ext>
          </c:extLst>
        </c:ser>
        <c:ser>
          <c:idx val="7"/>
          <c:order val="7"/>
          <c:tx>
            <c:strRef>
              <c:f>人事異動・組織改編累積件数グラフold!$B$98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人事異動・組織改編累積件数グラフold!$C$90:$E$90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人事異動・組織改編累積件数グラフold!$C$98:$E$98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9-45BD-B018-76FFE54C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97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サーバールーム累積件数グラフ!$C$28:$D$28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5-426D-9EC5-0DCA92C96A98}"/>
            </c:ext>
          </c:extLst>
        </c:ser>
        <c:ser>
          <c:idx val="1"/>
          <c:order val="1"/>
          <c:tx>
            <c:strRef>
              <c:f>サーバールーム累積件数グラフ!$B$29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サーバールーム累積件数グラフ!$C$29:$D$29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5-426D-9EC5-0DCA92C96A98}"/>
            </c:ext>
          </c:extLst>
        </c:ser>
        <c:ser>
          <c:idx val="2"/>
          <c:order val="2"/>
          <c:tx>
            <c:strRef>
              <c:f>サーバールーム累積件数グラフ!$B$30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サーバールーム累積件数グラフ!$C$30:$D$30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5-426D-9EC5-0DCA92C96A98}"/>
            </c:ext>
          </c:extLst>
        </c:ser>
        <c:ser>
          <c:idx val="3"/>
          <c:order val="3"/>
          <c:tx>
            <c:strRef>
              <c:f>サーバールーム累積件数グラフ!$B$31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サーバールーム累積件数グラフ!$C$31:$D$31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5-426D-9EC5-0DCA92C96A98}"/>
            </c:ext>
          </c:extLst>
        </c:ser>
        <c:ser>
          <c:idx val="4"/>
          <c:order val="4"/>
          <c:tx>
            <c:strRef>
              <c:f>サーバールーム累積件数グラフ!$B$32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サーバールーム累積件数グラフ!$C$32:$D$32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5-426D-9EC5-0DCA92C96A98}"/>
            </c:ext>
          </c:extLst>
        </c:ser>
        <c:ser>
          <c:idx val="5"/>
          <c:order val="5"/>
          <c:tx>
            <c:strRef>
              <c:f>サーバールーム累積件数グラフ!$B$33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サーバールーム累積件数グラフ!$C$33:$D$33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5-426D-9EC5-0DCA92C96A98}"/>
            </c:ext>
          </c:extLst>
        </c:ser>
        <c:ser>
          <c:idx val="6"/>
          <c:order val="6"/>
          <c:tx>
            <c:strRef>
              <c:f>サーバールーム累積件数グラフ!$B$34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サーバールーム累積件数グラフ!$C$27:$D$27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サーバールーム累積件数グラフ!$C$34:$D$34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C5-426D-9EC5-0DCA92C96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サーバールーム累積件数グラフ!$B$59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7-486E-A36A-A9394D145730}"/>
            </c:ext>
          </c:extLst>
        </c:ser>
        <c:ser>
          <c:idx val="1"/>
          <c:order val="1"/>
          <c:tx>
            <c:strRef>
              <c:f>サーバールーム累積件数グラフ!$B$60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7-486E-A36A-A9394D145730}"/>
            </c:ext>
          </c:extLst>
        </c:ser>
        <c:ser>
          <c:idx val="2"/>
          <c:order val="2"/>
          <c:tx>
            <c:strRef>
              <c:f>サーバールーム累積件数グラフ!$B$61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E7-486E-A36A-A9394D145730}"/>
            </c:ext>
          </c:extLst>
        </c:ser>
        <c:ser>
          <c:idx val="3"/>
          <c:order val="3"/>
          <c:tx>
            <c:strRef>
              <c:f>サーバールーム累積件数グラフ!$B$62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E7-486E-A36A-A9394D145730}"/>
            </c:ext>
          </c:extLst>
        </c:ser>
        <c:ser>
          <c:idx val="4"/>
          <c:order val="4"/>
          <c:tx>
            <c:strRef>
              <c:f>サーバールーム累積件数グラフ!$B$63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7-486E-A36A-A9394D145730}"/>
            </c:ext>
          </c:extLst>
        </c:ser>
        <c:ser>
          <c:idx val="5"/>
          <c:order val="5"/>
          <c:tx>
            <c:strRef>
              <c:f>サーバールーム累積件数グラフ!$B$64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E7-486E-A36A-A9394D145730}"/>
            </c:ext>
          </c:extLst>
        </c:ser>
        <c:ser>
          <c:idx val="6"/>
          <c:order val="6"/>
          <c:tx>
            <c:strRef>
              <c:f>サーバールーム累積件数グラフ!$B$65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サーバールーム累積件数グラフ!$C$65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E7-486E-A36A-A9394D145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サーバールーム累積件数グラフ!$B$91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F-4DEE-8BA1-10DA7468DD28}"/>
            </c:ext>
          </c:extLst>
        </c:ser>
        <c:ser>
          <c:idx val="1"/>
          <c:order val="1"/>
          <c:tx>
            <c:strRef>
              <c:f>サーバールーム累積件数グラフ!$B$92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F-4DEE-8BA1-10DA7468DD28}"/>
            </c:ext>
          </c:extLst>
        </c:ser>
        <c:ser>
          <c:idx val="2"/>
          <c:order val="2"/>
          <c:tx>
            <c:strRef>
              <c:f>サーバールーム累積件数グラフ!$B$93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F-4DEE-8BA1-10DA7468DD28}"/>
            </c:ext>
          </c:extLst>
        </c:ser>
        <c:ser>
          <c:idx val="3"/>
          <c:order val="3"/>
          <c:tx>
            <c:strRef>
              <c:f>サーバールーム累積件数グラフ!$B$94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F-4DEE-8BA1-10DA7468DD28}"/>
            </c:ext>
          </c:extLst>
        </c:ser>
        <c:ser>
          <c:idx val="4"/>
          <c:order val="4"/>
          <c:tx>
            <c:strRef>
              <c:f>サーバールーム累積件数グラフ!$B$95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F-4DEE-8BA1-10DA7468DD28}"/>
            </c:ext>
          </c:extLst>
        </c:ser>
        <c:ser>
          <c:idx val="5"/>
          <c:order val="5"/>
          <c:tx>
            <c:strRef>
              <c:f>サーバールーム累積件数グラフ!$B$96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F-4DEE-8BA1-10DA7468DD28}"/>
            </c:ext>
          </c:extLst>
        </c:ser>
        <c:ser>
          <c:idx val="6"/>
          <c:order val="6"/>
          <c:tx>
            <c:strRef>
              <c:f>サーバールーム累積件数グラフ!$B$97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</c:f>
              <c:numCache>
                <c:formatCode>yyyy"年"m"月"</c:formatCode>
                <c:ptCount val="1"/>
                <c:pt idx="0">
                  <c:v>45352</c:v>
                </c:pt>
              </c:numCache>
            </c:numRef>
          </c:cat>
          <c:val>
            <c:numRef>
              <c:f>サーバールーム累積件数グラフ!$C$97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8F-4DEE-8BA1-10DA7468D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指摘、マニュアル不備グラフ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サーバールーム累積件数グラフ!$B$121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サーバールーム累積件数グラフ!$C$121:$D$121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F-4CD0-86AB-5A82C4DE5B89}"/>
            </c:ext>
          </c:extLst>
        </c:ser>
        <c:ser>
          <c:idx val="1"/>
          <c:order val="1"/>
          <c:tx>
            <c:strRef>
              <c:f>サーバールーム累積件数グラフ!$B$122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サーバールーム累積件数グラフ!$C$122:$D$122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FF-4CD0-86AB-5A82C4DE5B89}"/>
            </c:ext>
          </c:extLst>
        </c:ser>
        <c:ser>
          <c:idx val="2"/>
          <c:order val="2"/>
          <c:tx>
            <c:strRef>
              <c:f>サーバールーム累積件数グラフ!$B$123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サーバールーム累積件数グラフ!$C$123:$D$123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FF-4CD0-86AB-5A82C4DE5B89}"/>
            </c:ext>
          </c:extLst>
        </c:ser>
        <c:ser>
          <c:idx val="3"/>
          <c:order val="3"/>
          <c:tx>
            <c:strRef>
              <c:f>サーバールーム累積件数グラフ!$B$124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サーバールーム累積件数グラフ!$C$124:$D$124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FF-4CD0-86AB-5A82C4DE5B89}"/>
            </c:ext>
          </c:extLst>
        </c:ser>
        <c:ser>
          <c:idx val="4"/>
          <c:order val="4"/>
          <c:tx>
            <c:strRef>
              <c:f>サーバールーム累積件数グラフ!$B$125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サーバールーム累積件数グラフ!$C$125:$D$125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FF-4CD0-86AB-5A82C4DE5B89}"/>
            </c:ext>
          </c:extLst>
        </c:ser>
        <c:ser>
          <c:idx val="5"/>
          <c:order val="5"/>
          <c:tx>
            <c:strRef>
              <c:f>サーバールーム累積件数グラフ!$B$126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サーバールーム累積件数グラフ!$C$126:$D$126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FF-4CD0-86AB-5A82C4DE5B89}"/>
            </c:ext>
          </c:extLst>
        </c:ser>
        <c:ser>
          <c:idx val="6"/>
          <c:order val="6"/>
          <c:tx>
            <c:strRef>
              <c:f>サーバールーム累積件数グラフ!$B$127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サーバールーム累積件数グラフ!$C$120:$D$120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サーバールーム累積件数グラフ!$C$127:$D$127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FF-4CD0-86AB-5A82C4DE5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指摘、その他グラフ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サーバールーム累積件数グラフ!$B$150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サーバールーム累積件数グラフ!$C$150:$D$150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13F-B9BA-AB09032CF7DE}"/>
            </c:ext>
          </c:extLst>
        </c:ser>
        <c:ser>
          <c:idx val="1"/>
          <c:order val="1"/>
          <c:tx>
            <c:strRef>
              <c:f>サーバールーム累積件数グラフ!$B$151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サーバールーム累積件数グラフ!$C$151:$D$151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C-413F-B9BA-AB09032CF7DE}"/>
            </c:ext>
          </c:extLst>
        </c:ser>
        <c:ser>
          <c:idx val="2"/>
          <c:order val="2"/>
          <c:tx>
            <c:strRef>
              <c:f>サーバールーム累積件数グラフ!$B$152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サーバールーム累積件数グラフ!$C$152:$D$152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C-413F-B9BA-AB09032CF7DE}"/>
            </c:ext>
          </c:extLst>
        </c:ser>
        <c:ser>
          <c:idx val="3"/>
          <c:order val="3"/>
          <c:tx>
            <c:strRef>
              <c:f>サーバールーム累積件数グラフ!$B$153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サーバールーム累積件数グラフ!$C$153:$D$153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C-413F-B9BA-AB09032CF7DE}"/>
            </c:ext>
          </c:extLst>
        </c:ser>
        <c:ser>
          <c:idx val="4"/>
          <c:order val="4"/>
          <c:tx>
            <c:strRef>
              <c:f>サーバールーム累積件数グラフ!$B$154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サーバールーム累積件数グラフ!$C$154:$D$154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C-413F-B9BA-AB09032CF7DE}"/>
            </c:ext>
          </c:extLst>
        </c:ser>
        <c:ser>
          <c:idx val="5"/>
          <c:order val="5"/>
          <c:tx>
            <c:strRef>
              <c:f>サーバールーム累積件数グラフ!$B$155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サーバールーム累積件数グラフ!$C$155:$D$155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C-413F-B9BA-AB09032CF7DE}"/>
            </c:ext>
          </c:extLst>
        </c:ser>
        <c:ser>
          <c:idx val="6"/>
          <c:order val="6"/>
          <c:tx>
            <c:strRef>
              <c:f>サーバールーム累積件数グラフ!$B$156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サーバールーム累積件数グラフ!$C$149:$D$149</c:f>
              <c:numCache>
                <c:formatCode>yyyy"年"m"月"</c:formatCode>
                <c:ptCount val="2"/>
                <c:pt idx="0">
                  <c:v>45352</c:v>
                </c:pt>
                <c:pt idx="1">
                  <c:v>45383</c:v>
                </c:pt>
              </c:numCache>
            </c:numRef>
          </c:cat>
          <c:val>
            <c:numRef>
              <c:f>サーバールーム累積件数グラフ!$C$156:$D$156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FC-413F-B9BA-AB09032CF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Jpit月次基盤累積件数グラフ!$B$28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Jpit月次基盤累積件数グラフ!$C$28:$D$28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1F01-48A3-8E62-F4FDE57395CD}"/>
            </c:ext>
          </c:extLst>
        </c:ser>
        <c:ser>
          <c:idx val="1"/>
          <c:order val="1"/>
          <c:tx>
            <c:strRef>
              <c:f>Jpit月次基盤累積件数グラフ!$B$29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Jpit月次基盤累積件数グラフ!$C$29:$D$29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1F01-48A3-8E62-F4FDE57395CD}"/>
            </c:ext>
          </c:extLst>
        </c:ser>
        <c:ser>
          <c:idx val="2"/>
          <c:order val="2"/>
          <c:tx>
            <c:strRef>
              <c:f>Jpit月次基盤累積件数グラフ!$B$30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Jpit月次基盤累積件数グラフ!$C$30:$D$30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F01-48A3-8E62-F4FDE57395CD}"/>
            </c:ext>
          </c:extLst>
        </c:ser>
        <c:ser>
          <c:idx val="3"/>
          <c:order val="3"/>
          <c:tx>
            <c:strRef>
              <c:f>Jpit月次基盤累積件数グラフ!$B$31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Jpit月次基盤累積件数グラフ!$C$31:$D$31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1F01-48A3-8E62-F4FDE57395CD}"/>
            </c:ext>
          </c:extLst>
        </c:ser>
        <c:ser>
          <c:idx val="4"/>
          <c:order val="4"/>
          <c:tx>
            <c:strRef>
              <c:f>Jpit月次基盤累積件数グラフ!$B$32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Jpit月次基盤累積件数グラフ!$C$32:$D$32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F01-48A3-8E62-F4FDE57395CD}"/>
            </c:ext>
          </c:extLst>
        </c:ser>
        <c:ser>
          <c:idx val="5"/>
          <c:order val="5"/>
          <c:tx>
            <c:strRef>
              <c:f>Jpit月次基盤累積件数グラフ!$B$33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Jpit月次基盤累積件数グラフ!$C$33:$D$33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1F01-48A3-8E62-F4FDE57395CD}"/>
            </c:ext>
          </c:extLst>
        </c:ser>
        <c:ser>
          <c:idx val="6"/>
          <c:order val="6"/>
          <c:tx>
            <c:strRef>
              <c:f>Jpit月次基盤累積件数グラフ!$B$34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Jpit月次基盤累積件数グラフ!$C$27:$D$27</c:f>
              <c:numCache>
                <c:formatCode>yyyy"年"m"月"</c:formatCode>
                <c:ptCount val="2"/>
                <c:pt idx="0">
                  <c:v>45444</c:v>
                </c:pt>
              </c:numCache>
            </c:numRef>
          </c:cat>
          <c:val>
            <c:numRef>
              <c:f>Jpit月次基盤累積件数グラフ!$C$34:$D$34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1F01-48A3-8E62-F4FDE573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Jpit月次基盤累積件数グラフ!$B$59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Jpit月次基盤累積件数グラフ!$C$59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805-4D0A-97C7-6FE3E6206DF1}"/>
            </c:ext>
          </c:extLst>
        </c:ser>
        <c:ser>
          <c:idx val="1"/>
          <c:order val="1"/>
          <c:tx>
            <c:strRef>
              <c:f>Jpit月次基盤累積件数グラフ!$B$60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805-4D0A-97C7-6FE3E6206DF1}"/>
            </c:ext>
          </c:extLst>
        </c:ser>
        <c:ser>
          <c:idx val="2"/>
          <c:order val="2"/>
          <c:tx>
            <c:strRef>
              <c:f>Jpit月次基盤累積件数グラフ!$B$61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805-4D0A-97C7-6FE3E6206DF1}"/>
            </c:ext>
          </c:extLst>
        </c:ser>
        <c:ser>
          <c:idx val="3"/>
          <c:order val="3"/>
          <c:tx>
            <c:strRef>
              <c:f>Jpit月次基盤累積件数グラフ!$B$62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805-4D0A-97C7-6FE3E6206DF1}"/>
            </c:ext>
          </c:extLst>
        </c:ser>
        <c:ser>
          <c:idx val="4"/>
          <c:order val="4"/>
          <c:tx>
            <c:strRef>
              <c:f>Jpit月次基盤累積件数グラフ!$B$63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3805-4D0A-97C7-6FE3E6206DF1}"/>
            </c:ext>
          </c:extLst>
        </c:ser>
        <c:ser>
          <c:idx val="5"/>
          <c:order val="5"/>
          <c:tx>
            <c:strRef>
              <c:f>Jpit月次基盤累積件数グラフ!$B$64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805-4D0A-97C7-6FE3E6206DF1}"/>
            </c:ext>
          </c:extLst>
        </c:ser>
        <c:ser>
          <c:idx val="6"/>
          <c:order val="6"/>
          <c:tx>
            <c:strRef>
              <c:f>Jpit月次基盤累積件数グラフ!$B$65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Jpit月次基盤累積件数グラフ!$C$65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3805-4D0A-97C7-6FE3E620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Jpit月次基盤累積件数グラフ!$B$91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91F-4FDA-903C-79834E817D8E}"/>
            </c:ext>
          </c:extLst>
        </c:ser>
        <c:ser>
          <c:idx val="1"/>
          <c:order val="1"/>
          <c:tx>
            <c:strRef>
              <c:f>Jpit月次基盤累積件数グラフ!$B$92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91F-4FDA-903C-79834E817D8E}"/>
            </c:ext>
          </c:extLst>
        </c:ser>
        <c:ser>
          <c:idx val="2"/>
          <c:order val="2"/>
          <c:tx>
            <c:strRef>
              <c:f>Jpit月次基盤累積件数グラフ!$B$93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91F-4FDA-903C-79834E817D8E}"/>
            </c:ext>
          </c:extLst>
        </c:ser>
        <c:ser>
          <c:idx val="3"/>
          <c:order val="3"/>
          <c:tx>
            <c:strRef>
              <c:f>Jpit月次基盤累積件数グラフ!$B$94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91F-4FDA-903C-79834E817D8E}"/>
            </c:ext>
          </c:extLst>
        </c:ser>
        <c:ser>
          <c:idx val="4"/>
          <c:order val="4"/>
          <c:tx>
            <c:strRef>
              <c:f>Jpit月次基盤累積件数グラフ!$B$95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A91F-4FDA-903C-79834E817D8E}"/>
            </c:ext>
          </c:extLst>
        </c:ser>
        <c:ser>
          <c:idx val="5"/>
          <c:order val="5"/>
          <c:tx>
            <c:strRef>
              <c:f>Jpit月次基盤累積件数グラフ!$B$96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A91F-4FDA-903C-79834E817D8E}"/>
            </c:ext>
          </c:extLst>
        </c:ser>
        <c:ser>
          <c:idx val="6"/>
          <c:order val="6"/>
          <c:tx>
            <c:strRef>
              <c:f>Jpit月次基盤累積件数グラフ!$B$97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Jpit月次基盤累積件数グラフ!$C$90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Jpit月次基盤累積件数グラフ!$C$97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A91F-4FDA-903C-79834E817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'服部案(FB推移グラフ)'!$B$28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'服部案(FB推移グラフ)'!$C$28:$H$28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8-4CA7-8697-515038B6C8AC}"/>
            </c:ext>
          </c:extLst>
        </c:ser>
        <c:ser>
          <c:idx val="1"/>
          <c:order val="1"/>
          <c:tx>
            <c:strRef>
              <c:f>'服部案(FB推移グラフ)'!$B$29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'服部案(FB推移グラフ)'!$C$29:$H$29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19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8-4CA7-8697-515038B6C8AC}"/>
            </c:ext>
          </c:extLst>
        </c:ser>
        <c:ser>
          <c:idx val="2"/>
          <c:order val="2"/>
          <c:tx>
            <c:strRef>
              <c:f>'服部案(FB推移グラフ)'!$B$30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8-4CA7-8697-515038B6C8AC}"/>
            </c:ext>
          </c:extLst>
        </c:ser>
        <c:ser>
          <c:idx val="3"/>
          <c:order val="3"/>
          <c:tx>
            <c:strRef>
              <c:f>'服部案(FB推移グラフ)'!$B$31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'服部案(FB推移グラフ)'!$C$31:$H$31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C8-4CA7-8697-515038B6C8AC}"/>
            </c:ext>
          </c:extLst>
        </c:ser>
        <c:ser>
          <c:idx val="4"/>
          <c:order val="4"/>
          <c:tx>
            <c:strRef>
              <c:f>'服部案(FB推移グラフ)'!$B$32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5-493E-A0AE-A700EC98EAD9}"/>
            </c:ext>
          </c:extLst>
        </c:ser>
        <c:ser>
          <c:idx val="5"/>
          <c:order val="5"/>
          <c:tx>
            <c:strRef>
              <c:f>'服部案(FB推移グラフ)'!$B$33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'服部案(FB推移グラフ)'!$C$33:$H$33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5-493E-A0AE-A700EC98E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ケアレスミス件数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'服部案(FB推移グラフ)'!$B$56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'服部案(FB推移グラフ)'!$C$56:$H$56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8-4E8B-ACDA-EE48E0858B9C}"/>
            </c:ext>
          </c:extLst>
        </c:ser>
        <c:ser>
          <c:idx val="1"/>
          <c:order val="1"/>
          <c:tx>
            <c:strRef>
              <c:f>'服部案(FB推移グラフ)'!$B$57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'服部案(FB推移グラフ)'!$C$57:$H$57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F-44B2-B8E8-5FE8560F70F3}"/>
            </c:ext>
          </c:extLst>
        </c:ser>
        <c:ser>
          <c:idx val="2"/>
          <c:order val="2"/>
          <c:tx>
            <c:strRef>
              <c:f>'服部案(FB推移グラフ)'!$B$58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'服部案(FB推移グラフ)'!$C$58:$H$58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7F-44B2-B8E8-5FE8560F70F3}"/>
            </c:ext>
          </c:extLst>
        </c:ser>
        <c:ser>
          <c:idx val="3"/>
          <c:order val="3"/>
          <c:tx>
            <c:strRef>
              <c:f>'服部案(FB推移グラフ)'!$B$59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'服部案(FB推移グラフ)'!$C$59:$H$59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7F-44B2-B8E8-5FE8560F70F3}"/>
            </c:ext>
          </c:extLst>
        </c:ser>
        <c:ser>
          <c:idx val="4"/>
          <c:order val="4"/>
          <c:tx>
            <c:strRef>
              <c:f>'服部案(FB推移グラフ)'!$B$60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'服部案(FB推移グラフ)'!$C$60:$H$60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4-48EE-B27E-307F25287FCC}"/>
            </c:ext>
          </c:extLst>
        </c:ser>
        <c:ser>
          <c:idx val="5"/>
          <c:order val="5"/>
          <c:tx>
            <c:strRef>
              <c:f>'服部案(FB推移グラフ)'!$B$61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'服部案(FB推移グラフ)'!$C$61:$H$61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C4-48EE-B27E-307F2528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インシデント件数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'服部案(FB推移グラフ)'!$B$84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'服部案(FB推移グラフ)'!$C$84:$H$84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B-4E39-9FF1-FF2F8DB29F19}"/>
            </c:ext>
          </c:extLst>
        </c:ser>
        <c:ser>
          <c:idx val="1"/>
          <c:order val="1"/>
          <c:tx>
            <c:strRef>
              <c:f>'服部案(FB推移グラフ)'!$B$85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'服部案(FB推移グラフ)'!$C$85:$H$85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B-4E39-9FF1-FF2F8DB29F19}"/>
            </c:ext>
          </c:extLst>
        </c:ser>
        <c:ser>
          <c:idx val="2"/>
          <c:order val="2"/>
          <c:tx>
            <c:strRef>
              <c:f>'服部案(FB推移グラフ)'!$B$86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'服部案(FB推移グラフ)'!$C$86:$H$86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FB-4E39-9FF1-FF2F8DB29F19}"/>
            </c:ext>
          </c:extLst>
        </c:ser>
        <c:ser>
          <c:idx val="3"/>
          <c:order val="3"/>
          <c:tx>
            <c:strRef>
              <c:f>'服部案(FB推移グラフ)'!$B$87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'服部案(FB推移グラフ)'!$C$87:$H$87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FB-4E39-9FF1-FF2F8DB29F19}"/>
            </c:ext>
          </c:extLst>
        </c:ser>
        <c:ser>
          <c:idx val="4"/>
          <c:order val="4"/>
          <c:tx>
            <c:strRef>
              <c:f>'服部案(FB推移グラフ)'!$B$88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'服部案(FB推移グラフ)'!$C$88:$H$88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3-4E68-8F71-15C1B5FCB9A6}"/>
            </c:ext>
          </c:extLst>
        </c:ser>
        <c:ser>
          <c:idx val="5"/>
          <c:order val="5"/>
          <c:tx>
            <c:strRef>
              <c:f>'服部案(FB推移グラフ)'!$B$89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'服部案(FB推移グラフ)'!$C$89:$H$89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3-4E68-8F71-15C1B5FC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6272"/>
        <c:axId val="825179440"/>
      </c:lineChart>
      <c:dateAx>
        <c:axId val="4832962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179440"/>
        <c:crosses val="autoZero"/>
        <c:auto val="1"/>
        <c:lblOffset val="100"/>
        <c:baseTimeUnit val="months"/>
      </c:dateAx>
      <c:valAx>
        <c:axId val="82517944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32962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指摘率累積棒グラフ</a:t>
            </a:r>
            <a:r>
              <a:rPr lang="en-US" altLang="ja-JP"/>
              <a:t>(</a:t>
            </a:r>
            <a:r>
              <a:rPr lang="ja-JP" altLang="en-US"/>
              <a:t>ケアレスミス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人事異動・組織改編累FB率グラフ!$C$28:$D$28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2-4A86-86B1-5CABAEA1FD68}"/>
            </c:ext>
          </c:extLst>
        </c:ser>
        <c:ser>
          <c:idx val="1"/>
          <c:order val="1"/>
          <c:tx>
            <c:strRef>
              <c:f>人事異動・組織改編累FB率グラフ!$B$29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人事異動・組織改編累FB率グラフ!$C$29:$D$29</c:f>
              <c:numCache>
                <c:formatCode>General</c:formatCode>
                <c:ptCount val="2"/>
                <c:pt idx="0">
                  <c:v>13.3</c:v>
                </c:pt>
                <c:pt idx="1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2-4A86-86B1-5CABAEA1FD68}"/>
            </c:ext>
          </c:extLst>
        </c:ser>
        <c:ser>
          <c:idx val="2"/>
          <c:order val="2"/>
          <c:tx>
            <c:strRef>
              <c:f>人事異動・組織改編累FB率グラフ!$B$30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人事異動・組織改編累FB率グラフ!$C$30:$D$30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92-4A86-86B1-5CABAEA1FD68}"/>
            </c:ext>
          </c:extLst>
        </c:ser>
        <c:ser>
          <c:idx val="3"/>
          <c:order val="3"/>
          <c:tx>
            <c:strRef>
              <c:f>人事異動・組織改編累FB率グラフ!$B$31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人事異動・組織改編累FB率グラフ!$C$31:$D$31</c:f>
              <c:numCache>
                <c:formatCode>General</c:formatCode>
                <c:ptCount val="2"/>
                <c:pt idx="0">
                  <c:v>20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92-4A86-86B1-5CABAEA1FD68}"/>
            </c:ext>
          </c:extLst>
        </c:ser>
        <c:ser>
          <c:idx val="4"/>
          <c:order val="4"/>
          <c:tx>
            <c:strRef>
              <c:f>人事異動・組織改編累FB率グラフ!$B$32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人事異動・組織改編累FB率グラフ!$C$32:$D$32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92-4A86-86B1-5CABAEA1FD68}"/>
            </c:ext>
          </c:extLst>
        </c:ser>
        <c:ser>
          <c:idx val="5"/>
          <c:order val="5"/>
          <c:tx>
            <c:strRef>
              <c:f>人事異動・組織改編累FB率グラフ!$B$33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人事異動・組織改編累FB率グラフ!$C$33:$D$33</c:f>
              <c:numCache>
                <c:formatCode>General</c:formatCode>
                <c:ptCount val="2"/>
                <c:pt idx="0">
                  <c:v>0.7</c:v>
                </c:pt>
                <c:pt idx="1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92-4A86-86B1-5CABAEA1FD68}"/>
            </c:ext>
          </c:extLst>
        </c:ser>
        <c:ser>
          <c:idx val="6"/>
          <c:order val="6"/>
          <c:tx>
            <c:strRef>
              <c:f>人事異動・組織改編累FB率グラフ!$B$34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人事異動・組織改編累FB率グラフ!$C$34:$D$34</c:f>
              <c:numCache>
                <c:formatCode>General</c:formatCode>
                <c:ptCount val="2"/>
                <c:pt idx="0">
                  <c:v>0.4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E-4982-A335-E7807B384910}"/>
            </c:ext>
          </c:extLst>
        </c:ser>
        <c:ser>
          <c:idx val="7"/>
          <c:order val="7"/>
          <c:tx>
            <c:strRef>
              <c:f>人事異動・組織改編累FB率グラフ!$B$35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人事異動・組織改編累FB率グラフ!$C$35:$D$35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E-4982-A335-E7807B384910}"/>
            </c:ext>
          </c:extLst>
        </c:ser>
        <c:ser>
          <c:idx val="8"/>
          <c:order val="8"/>
          <c:tx>
            <c:strRef>
              <c:f>人事異動・組織改編累FB率グラフ!$B$36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人事異動・組織改編累FB率グラフ!$C$36:$D$36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8E-4982-A335-E7807B384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FB</a:t>
                </a:r>
                <a:r>
                  <a:rPr lang="ja-JP" altLang="en-US"/>
                  <a:t>指摘率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/>
              <a:t>インシデント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人事異動・組織改編累FB率グラフ!$C$59:$D$59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5-48C1-AE74-B0BB77001377}"/>
            </c:ext>
          </c:extLst>
        </c:ser>
        <c:ser>
          <c:idx val="1"/>
          <c:order val="1"/>
          <c:tx>
            <c:strRef>
              <c:f>人事異動・組織改編累FB率グラフ!$B$60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人事異動・組織改編累FB率グラフ!$C$60:$D$60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5-48C1-AE74-B0BB77001377}"/>
            </c:ext>
          </c:extLst>
        </c:ser>
        <c:ser>
          <c:idx val="2"/>
          <c:order val="2"/>
          <c:tx>
            <c:strRef>
              <c:f>人事異動・組織改編累FB率グラフ!$B$61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人事異動・組織改編累FB率グラフ!$C$61:$D$61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5-48C1-AE74-B0BB77001377}"/>
            </c:ext>
          </c:extLst>
        </c:ser>
        <c:ser>
          <c:idx val="3"/>
          <c:order val="3"/>
          <c:tx>
            <c:strRef>
              <c:f>人事異動・組織改編累FB率グラフ!$B$62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人事異動・組織改編累FB率グラフ!$C$62:$D$62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35-48C1-AE74-B0BB77001377}"/>
            </c:ext>
          </c:extLst>
        </c:ser>
        <c:ser>
          <c:idx val="4"/>
          <c:order val="4"/>
          <c:tx>
            <c:strRef>
              <c:f>人事異動・組織改編累FB率グラフ!$B$63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人事異動・組織改編累FB率グラフ!$C$63:$D$63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35-48C1-AE74-B0BB77001377}"/>
            </c:ext>
          </c:extLst>
        </c:ser>
        <c:ser>
          <c:idx val="5"/>
          <c:order val="5"/>
          <c:tx>
            <c:strRef>
              <c:f>人事異動・組織改編累FB率グラフ!$B$64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人事異動・組織改編累FB率グラフ!$C$64:$D$64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35-48C1-AE74-B0BB77001377}"/>
            </c:ext>
          </c:extLst>
        </c:ser>
        <c:ser>
          <c:idx val="6"/>
          <c:order val="6"/>
          <c:tx>
            <c:strRef>
              <c:f>人事異動・組織改編累FB率グラフ!$B$65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人事異動・組織改編累FB率グラフ!$C$65:$D$65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3-4AF8-BB4B-1ABAF6A3EAFD}"/>
            </c:ext>
          </c:extLst>
        </c:ser>
        <c:ser>
          <c:idx val="7"/>
          <c:order val="7"/>
          <c:tx>
            <c:strRef>
              <c:f>人事異動・組織改編累FB率グラフ!$B$66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人事異動・組織改編累FB率グラフ!$C$66:$D$66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3-4AF8-BB4B-1ABAF6A3EAFD}"/>
            </c:ext>
          </c:extLst>
        </c:ser>
        <c:ser>
          <c:idx val="8"/>
          <c:order val="8"/>
          <c:tx>
            <c:strRef>
              <c:f>人事異動・組織改編累FB率グラフ!$B$67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人事異動・組織改編累FB率グラフ!$C$67:$D$67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3-4AF8-BB4B-1ABAF6A3E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解釈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</a:t>
            </a:r>
            <a:endParaRPr lang="ja-JP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人事異動・組織改編累FB率グラフ!$B$93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人事異動・組織改編累FB率グラフ!$C$93:$D$93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A-466E-B70D-CF1638F3D7E3}"/>
            </c:ext>
          </c:extLst>
        </c:ser>
        <c:ser>
          <c:idx val="1"/>
          <c:order val="1"/>
          <c:tx>
            <c:strRef>
              <c:f>人事異動・組織改編累FB率グラフ!$B$94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人事異動・組織改編累FB率グラフ!$C$94:$D$94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DA-466E-B70D-CF1638F3D7E3}"/>
            </c:ext>
          </c:extLst>
        </c:ser>
        <c:ser>
          <c:idx val="2"/>
          <c:order val="2"/>
          <c:tx>
            <c:strRef>
              <c:f>人事異動・組織改編累FB率グラフ!$B$95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人事異動・組織改編累FB率グラフ!$C$95:$D$95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DA-466E-B70D-CF1638F3D7E3}"/>
            </c:ext>
          </c:extLst>
        </c:ser>
        <c:ser>
          <c:idx val="3"/>
          <c:order val="3"/>
          <c:tx>
            <c:strRef>
              <c:f>人事異動・組織改編累FB率グラフ!$B$96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人事異動・組織改編累FB率グラフ!$C$96:$D$96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DA-466E-B70D-CF1638F3D7E3}"/>
            </c:ext>
          </c:extLst>
        </c:ser>
        <c:ser>
          <c:idx val="4"/>
          <c:order val="4"/>
          <c:tx>
            <c:strRef>
              <c:f>人事異動・組織改編累FB率グラフ!$B$97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人事異動・組織改編累FB率グラフ!$C$97:$D$97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A-466E-B70D-CF1638F3D7E3}"/>
            </c:ext>
          </c:extLst>
        </c:ser>
        <c:ser>
          <c:idx val="5"/>
          <c:order val="5"/>
          <c:tx>
            <c:strRef>
              <c:f>人事異動・組織改編累FB率グラフ!$B$98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人事異動・組織改編累FB率グラフ!$C$98:$D$98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DA-466E-B70D-CF1638F3D7E3}"/>
            </c:ext>
          </c:extLst>
        </c:ser>
        <c:ser>
          <c:idx val="6"/>
          <c:order val="6"/>
          <c:tx>
            <c:strRef>
              <c:f>人事異動・組織改編累FB率グラフ!$B$99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人事異動・組織改編累FB率グラフ!$C$99:$D$99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A-4BFC-88D8-4486798DCB40}"/>
            </c:ext>
          </c:extLst>
        </c:ser>
        <c:ser>
          <c:idx val="7"/>
          <c:order val="7"/>
          <c:tx>
            <c:strRef>
              <c:f>人事異動・組織改編累FB率グラフ!$B$100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人事異動・組織改編累FB率グラフ!$C$100:$D$100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A-4BFC-88D8-4486798DCB40}"/>
            </c:ext>
          </c:extLst>
        </c:ser>
        <c:ser>
          <c:idx val="8"/>
          <c:order val="8"/>
          <c:tx>
            <c:strRef>
              <c:f>人事異動・組織改編累FB率グラフ!$B$101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人事異動・組織改編累FB率グラフ!$C$101:$D$101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A-4BFC-88D8-4486798DC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66AEA7C-8A58-41FD-BF2D-9831A73D7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364A977-8BC4-4F96-89DA-3529991C4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B4CA6CB-8FC4-45BB-BAC4-298B5D25C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D7B3FEF-5CF3-4191-8B27-AC10EC697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15745C8-FF08-417B-B172-53C84A785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025B237-75EB-4A02-91FF-FFA37F837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9</xdr:col>
      <xdr:colOff>655638</xdr:colOff>
      <xdr:row>52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00B83F8-0A69-4C28-A581-7F86BD700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10</xdr:col>
      <xdr:colOff>1588</xdr:colOff>
      <xdr:row>82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01CAB67-B0C7-43AC-A6A7-66906A754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71320A9-DE4D-49A4-9EFA-30486D08F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97F2169-BF1A-4D6A-B3DF-A62C691BC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AFA49D4-1DCA-4084-9E2B-46D9701FC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9FDF670-3EF6-4246-92B9-620DAB2EE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8D02D5B-408D-457A-A9F0-911572233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2A55875-1C7D-4EC9-9BD0-214EB52FE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BC9F1C3-32E9-4F56-AB65-628B57A8C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3630EE7-60BF-4C60-8154-A6FBD4E97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DDF0D79F-D171-4561-BD00-23148178B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EFF1233-EF68-4D54-BB4D-D2023931D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06E9B69-5E0A-4CE1-90D1-53445972D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9</xdr:col>
      <xdr:colOff>655638</xdr:colOff>
      <xdr:row>52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431AFFD-9C58-42EC-A1B8-154166730B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10</xdr:col>
      <xdr:colOff>1588</xdr:colOff>
      <xdr:row>82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7AF7355-5D65-4556-873B-3A46CA2D8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953850A-F57F-47EB-A0E7-D2F022687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A7456DB-025B-4655-97C2-5C96F5D4F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F157806-25AE-48AE-BB86-0D6EB973D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AA117D9-D674-4A7E-9381-FED95495D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FD1C966-47E3-46C7-A018-BABE23763E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040FCCCD-BD9A-4BDC-BE7F-1C1F81BE2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8CB532AE-7E5C-4C87-88FE-47863731C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717D88DE-860E-4813-9870-A95DF5540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28C1BDF-1DF6-4F0B-887C-77BCB6854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00FCAFC-2719-4051-B356-9BFFCFE52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43E3F6-6AB1-44F7-90A7-593B2D83A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10</xdr:col>
      <xdr:colOff>1588</xdr:colOff>
      <xdr:row>117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2FF6CE0-EEDC-4710-860C-72E2D676E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10</xdr:col>
      <xdr:colOff>1588</xdr:colOff>
      <xdr:row>146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2BE2C97-8B32-44A0-B8CB-C3D893AA3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68" name="グラフ 1">
          <a:extLst>
            <a:ext uri="{FF2B5EF4-FFF2-40B4-BE49-F238E27FC236}">
              <a16:creationId xmlns:a16="http://schemas.microsoft.com/office/drawing/2014/main" id="{9568B613-14BC-4D76-B9BB-FBC4B2A0F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6" name="グラフ 2">
          <a:extLst>
            <a:ext uri="{FF2B5EF4-FFF2-40B4-BE49-F238E27FC236}">
              <a16:creationId xmlns:a16="http://schemas.microsoft.com/office/drawing/2014/main" id="{67BC0179-A8AB-48A7-A367-0A44B8902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67" name="グラフ 3">
          <a:extLst>
            <a:ext uri="{FF2B5EF4-FFF2-40B4-BE49-F238E27FC236}">
              <a16:creationId xmlns:a16="http://schemas.microsoft.com/office/drawing/2014/main" id="{32D24B91-FA34-45C0-8BCA-AA75BA5B0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654050</xdr:colOff>
      <xdr:row>5</xdr:row>
      <xdr:rowOff>209550</xdr:rowOff>
    </xdr:from>
    <xdr:to>
      <xdr:col>11</xdr:col>
      <xdr:colOff>25400</xdr:colOff>
      <xdr:row>9</xdr:row>
      <xdr:rowOff>0</xdr:rowOff>
    </xdr:to>
    <xdr:sp macro="[0]!Module1.MyTe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CDC73BA-EEBA-D4A1-835C-4C585653537F}"/>
            </a:ext>
          </a:extLst>
        </xdr:cNvPr>
        <xdr:cNvSpPr/>
      </xdr:nvSpPr>
      <xdr:spPr>
        <a:xfrm>
          <a:off x="9721850" y="1352550"/>
          <a:ext cx="15176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44450</xdr:colOff>
      <xdr:row>6</xdr:row>
      <xdr:rowOff>0</xdr:rowOff>
    </xdr:from>
    <xdr:to>
      <xdr:col>14</xdr:col>
      <xdr:colOff>514350</xdr:colOff>
      <xdr:row>9</xdr:row>
      <xdr:rowOff>19050</xdr:rowOff>
    </xdr:to>
    <xdr:sp macro="[0]!Module2.IandD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469F4BF-7FD7-4283-B8F4-119AFDFD55EF}"/>
            </a:ext>
          </a:extLst>
        </xdr:cNvPr>
        <xdr:cNvSpPr/>
      </xdr:nvSpPr>
      <xdr:spPr>
        <a:xfrm>
          <a:off x="13487400" y="1371600"/>
          <a:ext cx="18605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28</xdr:row>
      <xdr:rowOff>9525</xdr:rowOff>
    </xdr:from>
    <xdr:to>
      <xdr:col>0</xdr:col>
      <xdr:colOff>2019300</xdr:colOff>
      <xdr:row>31</xdr:row>
      <xdr:rowOff>28575</xdr:rowOff>
    </xdr:to>
    <xdr:sp macro="[0]!Jinji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BE59162-1BCB-4267-B39A-C822BA217235}"/>
            </a:ext>
          </a:extLst>
        </xdr:cNvPr>
        <xdr:cNvSpPr/>
      </xdr:nvSpPr>
      <xdr:spPr>
        <a:xfrm>
          <a:off x="158750" y="6410325"/>
          <a:ext cx="18605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6</xdr:row>
      <xdr:rowOff>215900</xdr:rowOff>
    </xdr:from>
    <xdr:to>
      <xdr:col>9</xdr:col>
      <xdr:colOff>12700</xdr:colOff>
      <xdr:row>23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DC212A0-1755-963D-8E71-4609B43BD6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10</xdr:col>
      <xdr:colOff>19050</xdr:colOff>
      <xdr:row>51</xdr:row>
      <xdr:rowOff>31750</xdr:rowOff>
    </xdr:to>
    <xdr:graphicFrame macro="">
      <xdr:nvGraphicFramePr>
        <xdr:cNvPr id="6" name="グラフ 4">
          <a:extLst>
            <a:ext uri="{FF2B5EF4-FFF2-40B4-BE49-F238E27FC236}">
              <a16:creationId xmlns:a16="http://schemas.microsoft.com/office/drawing/2014/main" id="{8C2F4254-4071-40A0-8E91-A5EAF89A0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63</xdr:row>
      <xdr:rowOff>215900</xdr:rowOff>
    </xdr:from>
    <xdr:to>
      <xdr:col>10</xdr:col>
      <xdr:colOff>0</xdr:colOff>
      <xdr:row>80</xdr:row>
      <xdr:rowOff>25400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600800C-0C27-CA4A-FAC0-80750067B8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67903478-A1AF-42FE-B8D6-5CA3D05BD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6A86F202-8B56-4CFE-AC5D-FB9CA915B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10</xdr:col>
      <xdr:colOff>1588</xdr:colOff>
      <xdr:row>88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9F3921FD-F415-4029-887E-C3ED84D5E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01C656-1144-422A-BFF1-BD4AE42E7E92}" name="テーブル1" displayName="テーブル1" ref="A3:I49" totalsRowCount="1" headerRowDxfId="105" dataDxfId="103" headerRowBorderDxfId="104" tableBorderDxfId="102" totalsRowBorderDxfId="101">
  <autoFilter ref="A3:I48" xr:uid="{5A01C656-1144-422A-BFF1-BD4AE42E7E92}"/>
  <tableColumns count="9">
    <tableColumn id="1" xr3:uid="{440CA140-391A-426B-B51A-94793F2CB31E}" name="対象" totalsRowLabel="集計" dataDxfId="100" totalsRowDxfId="99"/>
    <tableColumn id="7" xr3:uid="{F7D81654-53B8-4A31-8869-54CF815C3F6C}" name="工程" dataDxfId="98" totalsRowDxfId="97"/>
    <tableColumn id="2" xr3:uid="{63DE507F-1AD7-4607-B978-921E48ED6347}" name="担当者" dataDxfId="96" totalsRowDxfId="95"/>
    <tableColumn id="3" xr3:uid="{582F920E-0380-4D29-B965-C2B03F35EAD1}" name="ケアレスミス" totalsRowFunction="sum" dataDxfId="94" totalsRowDxfId="93"/>
    <tableColumn id="5" xr3:uid="{40684A3D-5DD3-47AD-AA11-49D31B8D4249}" name="解釈" totalsRowFunction="sum" dataDxfId="92" totalsRowDxfId="91"/>
    <tableColumn id="10" xr3:uid="{5BF5E3D0-816E-4DD4-A05F-7BC8E9028EDF}" name="マニュアル" totalsRowFunction="sum" dataDxfId="90" totalsRowDxfId="89"/>
    <tableColumn id="8" xr3:uid="{7344E395-DC5A-48A9-8F3E-6CCD25CFFDC8}" name="その他" totalsRowFunction="sum" dataDxfId="88" totalsRowDxfId="87"/>
    <tableColumn id="6" xr3:uid="{0804D17B-59EF-4302-AEFE-3D9227A0B709}" name="合計" totalsRowFunction="sum" dataDxfId="86" totalsRowDxfId="85">
      <calculatedColumnFormula>SUM(テーブル1[[#This Row],[ケアレスミス]:[解釈]])</calculatedColumnFormula>
    </tableColumn>
    <tableColumn id="9" xr3:uid="{9037BD0B-01C9-4366-8C7E-F7B7CCFB8DBB}" name="インシデント" totalsRowFunction="sum" dataDxfId="84" totalsRowDxfId="8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06FF7E-9989-4FE4-994E-46A75FD7E093}" name="テーブル13" displayName="テーブル13" ref="A3:I70" totalsRowCount="1" headerRowDxfId="82" dataDxfId="80" headerRowBorderDxfId="81" tableBorderDxfId="79" totalsRowBorderDxfId="78">
  <autoFilter ref="A3:I69" xr:uid="{5A01C656-1144-422A-BFF1-BD4AE42E7E92}"/>
  <tableColumns count="9">
    <tableColumn id="1" xr3:uid="{ECFBB2E5-AD1A-4FD9-BC28-9790C02FE316}" name="対象" totalsRowLabel="集計" dataDxfId="77" totalsRowDxfId="76"/>
    <tableColumn id="7" xr3:uid="{AC27F45D-1570-4B1B-A41B-CD66A02C4941}" name="工程" dataDxfId="75" totalsRowDxfId="74"/>
    <tableColumn id="2" xr3:uid="{66C425BE-2190-479E-825A-026C299024FC}" name="担当者" dataDxfId="73" totalsRowDxfId="72"/>
    <tableColumn id="3" xr3:uid="{56B37C07-0B1F-4B7F-9541-1CA6054D97AE}" name="ケアレスミス" totalsRowFunction="sum" dataDxfId="71" totalsRowDxfId="70"/>
    <tableColumn id="5" xr3:uid="{AAED3D22-5FF2-43FE-B073-9C4109D03D15}" name="解釈" totalsRowFunction="sum" dataDxfId="69" totalsRowDxfId="68"/>
    <tableColumn id="4" xr3:uid="{A5FCC73D-4068-4699-B04E-155C83FF5C37}" name="マニュアル" totalsRowFunction="sum" dataDxfId="67" totalsRowDxfId="66"/>
    <tableColumn id="8" xr3:uid="{30FE81D5-4DC0-4D9F-8A49-E76D5F532017}" name="その他" totalsRowFunction="sum" dataDxfId="65" totalsRowDxfId="64"/>
    <tableColumn id="6" xr3:uid="{C57C404D-CBDC-429D-B660-4B81290BB9D8}" name="FB数合計" totalsRowFunction="sum" dataDxfId="63" totalsRowDxfId="62">
      <calculatedColumnFormula>SUM(テーブル13[[#This Row],[ケアレスミス]:[解釈]])</calculatedColumnFormula>
    </tableColumn>
    <tableColumn id="9" xr3:uid="{884E11A1-B21D-474A-A2EF-C6D7A659C355}" name="インシデント" totalsRowFunction="sum" dataDxfId="61" totalsRowDxfId="6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D9A1D-2F71-49EC-9B33-D210A7845F8D}" name="テーブル134" displayName="テーブル134" ref="A3:J115" totalsRowCount="1" headerRowDxfId="59" dataDxfId="57" totalsRowDxfId="55" headerRowBorderDxfId="58" tableBorderDxfId="56" totalsRowBorderDxfId="54">
  <autoFilter ref="A3:J114" xr:uid="{5A01C656-1144-422A-BFF1-BD4AE42E7E92}"/>
  <tableColumns count="10">
    <tableColumn id="1" xr3:uid="{1965FFF3-1CD8-4E7D-B143-731B4DE78647}" name="対象" totalsRowLabel="集計" dataDxfId="53" totalsRowDxfId="9"/>
    <tableColumn id="2" xr3:uid="{BD1C64E0-42CA-497A-B445-DC8C89B554F4}" name="担当者" dataDxfId="52" totalsRowDxfId="8"/>
    <tableColumn id="3" xr3:uid="{16D7DD4F-5220-4AC7-B368-7AC4FCFC4ACC}" name="ケアレスミス" totalsRowFunction="sum" dataDxfId="51" totalsRowDxfId="7"/>
    <tableColumn id="5" xr3:uid="{A20A1B08-EA95-4752-B76C-314C13CC3236}" name="解釈" totalsRowFunction="sum" dataDxfId="50" totalsRowDxfId="6"/>
    <tableColumn id="10" xr3:uid="{9007C162-C615-4B27-91D9-16962DB31D3A}" name="マニュアル" totalsRowFunction="sum" dataDxfId="49" totalsRowDxfId="5"/>
    <tableColumn id="9" xr3:uid="{EB177906-F18B-4157-A3AC-D5A7FFD4AA85}" name="その他" totalsRowFunction="sum" dataDxfId="48" totalsRowDxfId="4"/>
    <tableColumn id="6" xr3:uid="{B338046B-D664-45E7-9A28-41DA6A12648E}" name="FB数合計" totalsRowFunction="sum" dataDxfId="47" totalsRowDxfId="3">
      <calculatedColumnFormula>SUM(テーブル134[[#This Row],[ケアレスミス]:[解釈]])</calculatedColumnFormula>
    </tableColumn>
    <tableColumn id="7" xr3:uid="{254391EC-7CD7-4B3A-892F-8502C854455E}" name="件数" totalsRowFunction="sum" dataDxfId="46" totalsRowDxfId="2"/>
    <tableColumn id="8" xr3:uid="{182FF3F1-59EE-4315-B964-806656838358}" name="FB率" totalsRowFunction="average" dataDxfId="45" totalsRowDxfId="1">
      <calculatedColumnFormula>IF(AND(テーブル134[[#This Row],[FB数合計]]=0,テーブル134[[#This Row],[件数]]=0),0,テーブル134[[#This Row],[FB数合計]]/テーブル134[[#This Row],[件数]])</calculatedColumnFormula>
    </tableColumn>
    <tableColumn id="11" xr3:uid="{00766B1B-4B7E-47D9-A888-BCB8F6182B10}" name="インシデント" totalsRowFunction="sum" dataDxfId="44" totalsRow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3A6502-8ACE-46F7-9D42-E1D30DAC89BF}" name="テーブル135" displayName="テーブル135" ref="A3:F58" totalsRowCount="1" headerRowDxfId="43" dataDxfId="41" headerRowBorderDxfId="42" tableBorderDxfId="40" totalsRowBorderDxfId="39">
  <autoFilter ref="A3:F57" xr:uid="{5A01C656-1144-422A-BFF1-BD4AE42E7E92}"/>
  <tableColumns count="6">
    <tableColumn id="1" xr3:uid="{AD30D251-6551-4740-8032-94498904527A}" name="案件番号" totalsRowLabel="集計" dataDxfId="38" totalsRowDxfId="37"/>
    <tableColumn id="2" xr3:uid="{B2CB558C-8412-456E-AB33-209A6C233149}" name="担当者" dataDxfId="36" totalsRowDxfId="35"/>
    <tableColumn id="3" xr3:uid="{5D373622-E7BD-4C4E-8437-9D91F069D011}" name="ケアレスミス" totalsRowFunction="sum" dataDxfId="34" totalsRowDxfId="33"/>
    <tableColumn id="4" xr3:uid="{41222DBE-A105-48F0-9696-CE86F74D566D}" name="インシデント" totalsRowFunction="sum" dataDxfId="32" totalsRowDxfId="31"/>
    <tableColumn id="5" xr3:uid="{52AFEF6F-EDEE-4CCE-8971-3BD4CA2B91A8}" name="解釈" totalsRowFunction="sum" dataDxfId="30" totalsRowDxfId="29"/>
    <tableColumn id="6" xr3:uid="{9427F2DE-6DD8-4543-B718-35DCFC0373FF}" name="FB数合計" totalsRowFunction="sum" dataDxfId="28" totalsRowDxfId="27">
      <calculatedColumnFormula>SUM(テーブル135[[#This Row],[ケアレスミス]:[解釈]])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4B77E3-3702-4C0F-A266-438969403B2D}" name="テーブル1356" displayName="テーブル1356" ref="A3:F58" totalsRowCount="1" headerRowDxfId="26" dataDxfId="24" headerRowBorderDxfId="25" tableBorderDxfId="23" totalsRowBorderDxfId="22">
  <autoFilter ref="A3:F57" xr:uid="{5A01C656-1144-422A-BFF1-BD4AE42E7E92}"/>
  <tableColumns count="6">
    <tableColumn id="1" xr3:uid="{D21DF01B-7C46-40CD-B439-40B3C8AB61A5}" name="対象月" totalsRowLabel="集計" dataDxfId="21" totalsRowDxfId="20"/>
    <tableColumn id="2" xr3:uid="{EF401576-8755-45A9-860D-B730A1FBD7CA}" name="担当者" dataDxfId="19" totalsRowDxfId="18"/>
    <tableColumn id="3" xr3:uid="{49FE98E4-EBF4-4297-BB22-B4528C54597A}" name="ケアレスミス" totalsRowFunction="sum" dataDxfId="17" totalsRowDxfId="16"/>
    <tableColumn id="4" xr3:uid="{05D4F532-A71A-4D90-9BC4-DA31344CF759}" name="インシデント" totalsRowFunction="sum" dataDxfId="15" totalsRowDxfId="14"/>
    <tableColumn id="5" xr3:uid="{C808A17B-9E6F-4685-8C44-32F947752E12}" name="解釈" totalsRowFunction="sum" dataDxfId="13" totalsRowDxfId="12"/>
    <tableColumn id="6" xr3:uid="{B2F9D348-8CAD-4138-BE24-47F6561B4D31}" name="FB数合計" totalsRowFunction="sum" dataDxfId="11" totalsRowDxfId="10">
      <calculatedColumnFormula>SUM(テーブル1356[[#This Row],[ケアレスミス]:[解釈]])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F27C-2F2B-41CC-AA11-D4DF60447B1B}">
  <sheetPr codeName="Sheet1"/>
  <dimension ref="A1:L49"/>
  <sheetViews>
    <sheetView workbookViewId="0">
      <pane ySplit="3" topLeftCell="A40" activePane="bottomLeft" state="frozen"/>
      <selection pane="bottomLeft" activeCell="C52" sqref="C52"/>
    </sheetView>
  </sheetViews>
  <sheetFormatPr defaultRowHeight="18" x14ac:dyDescent="0.55000000000000004"/>
  <cols>
    <col min="1" max="1" width="9.58203125" customWidth="1"/>
    <col min="2" max="2" width="6.83203125" customWidth="1"/>
    <col min="3" max="3" width="11.75" customWidth="1"/>
    <col min="4" max="4" width="13.58203125" customWidth="1"/>
    <col min="5" max="5" width="8.6640625" customWidth="1"/>
    <col min="6" max="6" width="11.33203125" customWidth="1"/>
    <col min="7" max="7" width="8.6640625" customWidth="1"/>
    <col min="8" max="8" width="7.83203125" customWidth="1"/>
    <col min="9" max="9" width="13.4140625" customWidth="1"/>
    <col min="10" max="15" width="9.5" bestFit="1" customWidth="1"/>
  </cols>
  <sheetData>
    <row r="1" spans="1:12" x14ac:dyDescent="0.55000000000000004">
      <c r="A1" s="12" t="s">
        <v>337</v>
      </c>
      <c r="B1" s="12"/>
      <c r="C1" s="8"/>
      <c r="D1" s="5"/>
      <c r="E1" s="5"/>
      <c r="F1" s="5"/>
      <c r="G1" s="5"/>
      <c r="H1" s="5"/>
      <c r="I1" s="5"/>
      <c r="J1" s="5"/>
      <c r="K1" s="5"/>
      <c r="L1" s="5"/>
    </row>
    <row r="3" spans="1:12" x14ac:dyDescent="0.55000000000000004">
      <c r="A3" s="49" t="s">
        <v>325</v>
      </c>
      <c r="B3" s="49" t="s">
        <v>282</v>
      </c>
      <c r="C3" s="46" t="s">
        <v>1</v>
      </c>
      <c r="D3" s="46" t="s">
        <v>10</v>
      </c>
      <c r="E3" s="46" t="s">
        <v>50</v>
      </c>
      <c r="F3" s="47" t="s">
        <v>373</v>
      </c>
      <c r="G3" s="47" t="s">
        <v>362</v>
      </c>
      <c r="H3" s="47" t="s">
        <v>94</v>
      </c>
      <c r="I3" s="46" t="s">
        <v>372</v>
      </c>
    </row>
    <row r="4" spans="1:12" x14ac:dyDescent="0.55000000000000004">
      <c r="A4" s="48" t="s">
        <v>286</v>
      </c>
      <c r="B4" s="33" t="s">
        <v>283</v>
      </c>
      <c r="C4" s="2" t="s">
        <v>27</v>
      </c>
      <c r="D4" s="36">
        <v>0</v>
      </c>
      <c r="E4" s="36">
        <v>0</v>
      </c>
      <c r="F4" s="64">
        <v>0</v>
      </c>
      <c r="G4" s="64">
        <v>0</v>
      </c>
      <c r="H4" s="37">
        <f>SUM(テーブル1[[#This Row],[ケアレスミス]:[解釈]])</f>
        <v>0</v>
      </c>
      <c r="I4" s="35">
        <v>0</v>
      </c>
    </row>
    <row r="5" spans="1:12" x14ac:dyDescent="0.55000000000000004">
      <c r="A5" s="48" t="s">
        <v>287</v>
      </c>
      <c r="B5" s="33" t="s">
        <v>284</v>
      </c>
      <c r="C5" s="2" t="s">
        <v>29</v>
      </c>
      <c r="D5" s="36">
        <v>0</v>
      </c>
      <c r="E5" s="36">
        <v>0</v>
      </c>
      <c r="F5" s="64">
        <v>0</v>
      </c>
      <c r="G5" s="64">
        <v>0</v>
      </c>
      <c r="H5" s="37">
        <f>SUM(テーブル1[[#This Row],[ケアレスミス]:[解釈]])</f>
        <v>0</v>
      </c>
      <c r="I5" s="35">
        <v>0</v>
      </c>
    </row>
    <row r="6" spans="1:12" x14ac:dyDescent="0.55000000000000004">
      <c r="A6" s="48" t="s">
        <v>288</v>
      </c>
      <c r="B6" s="33" t="s">
        <v>285</v>
      </c>
      <c r="C6" s="2" t="s">
        <v>28</v>
      </c>
      <c r="D6" s="36">
        <v>1</v>
      </c>
      <c r="E6" s="36">
        <v>0</v>
      </c>
      <c r="F6" s="64">
        <v>0</v>
      </c>
      <c r="G6" s="64">
        <v>0</v>
      </c>
      <c r="H6" s="37">
        <f>SUM(テーブル1[[#This Row],[ケアレスミス]:[解釈]])</f>
        <v>1</v>
      </c>
      <c r="I6" s="35">
        <v>0</v>
      </c>
    </row>
    <row r="7" spans="1:12" x14ac:dyDescent="0.55000000000000004">
      <c r="A7" s="48" t="s">
        <v>289</v>
      </c>
      <c r="B7" s="33" t="s">
        <v>283</v>
      </c>
      <c r="C7" s="2" t="s">
        <v>28</v>
      </c>
      <c r="D7" s="36">
        <v>0</v>
      </c>
      <c r="E7" s="36">
        <v>0</v>
      </c>
      <c r="F7" s="64">
        <v>0</v>
      </c>
      <c r="G7" s="64">
        <v>0</v>
      </c>
      <c r="H7" s="37">
        <f>SUM(テーブル1[[#This Row],[ケアレスミス]:[解釈]])</f>
        <v>0</v>
      </c>
      <c r="I7" s="35">
        <v>0</v>
      </c>
    </row>
    <row r="8" spans="1:12" x14ac:dyDescent="0.55000000000000004">
      <c r="A8" s="48" t="s">
        <v>290</v>
      </c>
      <c r="B8" s="33" t="s">
        <v>284</v>
      </c>
      <c r="C8" s="2" t="s">
        <v>27</v>
      </c>
      <c r="D8" s="36">
        <v>0</v>
      </c>
      <c r="E8" s="36">
        <v>0</v>
      </c>
      <c r="F8" s="64">
        <v>0</v>
      </c>
      <c r="G8" s="64">
        <v>0</v>
      </c>
      <c r="H8" s="37">
        <f>SUM(テーブル1[[#This Row],[ケアレスミス]:[解釈]])</f>
        <v>0</v>
      </c>
      <c r="I8" s="35">
        <v>0</v>
      </c>
    </row>
    <row r="9" spans="1:12" x14ac:dyDescent="0.55000000000000004">
      <c r="A9" s="48" t="s">
        <v>291</v>
      </c>
      <c r="B9" s="33" t="s">
        <v>285</v>
      </c>
      <c r="C9" s="2" t="s">
        <v>29</v>
      </c>
      <c r="D9" s="36">
        <v>1</v>
      </c>
      <c r="E9" s="36">
        <v>0</v>
      </c>
      <c r="F9" s="64">
        <v>0</v>
      </c>
      <c r="G9" s="64">
        <v>0</v>
      </c>
      <c r="H9" s="37">
        <f>SUM(テーブル1[[#This Row],[ケアレスミス]:[解釈]])</f>
        <v>1</v>
      </c>
      <c r="I9" s="35">
        <v>0</v>
      </c>
    </row>
    <row r="10" spans="1:12" x14ac:dyDescent="0.55000000000000004">
      <c r="A10" s="48" t="s">
        <v>292</v>
      </c>
      <c r="B10" s="33" t="s">
        <v>283</v>
      </c>
      <c r="C10" s="2" t="s">
        <v>29</v>
      </c>
      <c r="D10" s="1">
        <v>0</v>
      </c>
      <c r="E10" s="1">
        <v>0</v>
      </c>
      <c r="F10" s="37">
        <v>0</v>
      </c>
      <c r="G10" s="64">
        <v>0</v>
      </c>
      <c r="H10" s="37">
        <f>SUM(テーブル1[[#This Row],[ケアレスミス]:[解釈]])</f>
        <v>0</v>
      </c>
      <c r="I10" s="35">
        <v>0</v>
      </c>
    </row>
    <row r="11" spans="1:12" x14ac:dyDescent="0.55000000000000004">
      <c r="A11" s="48" t="s">
        <v>293</v>
      </c>
      <c r="B11" s="33" t="s">
        <v>284</v>
      </c>
      <c r="C11" s="2" t="s">
        <v>28</v>
      </c>
      <c r="D11" s="1">
        <v>4</v>
      </c>
      <c r="E11" s="1">
        <v>0</v>
      </c>
      <c r="F11" s="37">
        <v>0</v>
      </c>
      <c r="G11" s="64">
        <v>0</v>
      </c>
      <c r="H11" s="37">
        <f>SUM(テーブル1[[#This Row],[ケアレスミス]:[解釈]])</f>
        <v>4</v>
      </c>
      <c r="I11" s="35">
        <v>0</v>
      </c>
    </row>
    <row r="12" spans="1:12" x14ac:dyDescent="0.55000000000000004">
      <c r="A12" s="48" t="s">
        <v>294</v>
      </c>
      <c r="B12" s="33" t="s">
        <v>285</v>
      </c>
      <c r="C12" s="2" t="s">
        <v>27</v>
      </c>
      <c r="D12" s="1">
        <v>0</v>
      </c>
      <c r="E12" s="1">
        <v>0</v>
      </c>
      <c r="F12" s="37">
        <v>0</v>
      </c>
      <c r="G12" s="64">
        <v>0</v>
      </c>
      <c r="H12" s="37">
        <f>SUM(テーブル1[[#This Row],[ケアレスミス]:[解釈]])</f>
        <v>0</v>
      </c>
      <c r="I12" s="35">
        <v>0</v>
      </c>
    </row>
    <row r="13" spans="1:12" x14ac:dyDescent="0.55000000000000004">
      <c r="A13" s="48" t="s">
        <v>295</v>
      </c>
      <c r="B13" s="33" t="s">
        <v>283</v>
      </c>
      <c r="C13" s="2" t="s">
        <v>27</v>
      </c>
      <c r="D13" s="1">
        <v>0</v>
      </c>
      <c r="E13" s="1">
        <v>0</v>
      </c>
      <c r="F13" s="37">
        <v>0</v>
      </c>
      <c r="G13" s="64">
        <v>0</v>
      </c>
      <c r="H13" s="37">
        <f>SUM(テーブル1[[#This Row],[ケアレスミス]:[解釈]])</f>
        <v>0</v>
      </c>
      <c r="I13" s="35">
        <v>0</v>
      </c>
    </row>
    <row r="14" spans="1:12" x14ac:dyDescent="0.55000000000000004">
      <c r="A14" s="48" t="s">
        <v>296</v>
      </c>
      <c r="B14" s="33" t="s">
        <v>284</v>
      </c>
      <c r="C14" s="2" t="s">
        <v>29</v>
      </c>
      <c r="D14" s="1">
        <v>0</v>
      </c>
      <c r="E14" s="1">
        <v>0</v>
      </c>
      <c r="F14" s="37">
        <v>0</v>
      </c>
      <c r="G14" s="64">
        <v>0</v>
      </c>
      <c r="H14" s="37">
        <f>SUM(テーブル1[[#This Row],[ケアレスミス]:[解釈]])</f>
        <v>0</v>
      </c>
      <c r="I14" s="35">
        <v>0</v>
      </c>
    </row>
    <row r="15" spans="1:12" x14ac:dyDescent="0.55000000000000004">
      <c r="A15" s="48" t="s">
        <v>297</v>
      </c>
      <c r="B15" s="33" t="s">
        <v>285</v>
      </c>
      <c r="C15" s="2" t="s">
        <v>28</v>
      </c>
      <c r="D15" s="1">
        <v>2</v>
      </c>
      <c r="E15" s="1">
        <v>0</v>
      </c>
      <c r="F15" s="37">
        <v>0</v>
      </c>
      <c r="G15" s="64">
        <v>0</v>
      </c>
      <c r="H15" s="37">
        <f>SUM(テーブル1[[#This Row],[ケアレスミス]:[解釈]])</f>
        <v>2</v>
      </c>
      <c r="I15" s="35">
        <v>0</v>
      </c>
    </row>
    <row r="16" spans="1:12" x14ac:dyDescent="0.55000000000000004">
      <c r="A16" s="48" t="s">
        <v>298</v>
      </c>
      <c r="B16" s="33" t="s">
        <v>283</v>
      </c>
      <c r="C16" s="2" t="s">
        <v>28</v>
      </c>
      <c r="D16" s="36">
        <v>0</v>
      </c>
      <c r="E16" s="36">
        <v>0</v>
      </c>
      <c r="F16" s="37">
        <v>0</v>
      </c>
      <c r="G16" s="64">
        <v>0</v>
      </c>
      <c r="H16" s="37">
        <f>SUM(テーブル1[[#This Row],[ケアレスミス]:[解釈]])</f>
        <v>0</v>
      </c>
      <c r="I16" s="35">
        <v>0</v>
      </c>
    </row>
    <row r="17" spans="1:10" x14ac:dyDescent="0.55000000000000004">
      <c r="A17" s="48" t="s">
        <v>299</v>
      </c>
      <c r="B17" s="33" t="s">
        <v>284</v>
      </c>
      <c r="C17" s="2" t="s">
        <v>27</v>
      </c>
      <c r="D17" s="36">
        <v>0</v>
      </c>
      <c r="E17" s="36">
        <v>0</v>
      </c>
      <c r="F17" s="37">
        <v>0</v>
      </c>
      <c r="G17" s="64">
        <v>0</v>
      </c>
      <c r="H17" s="37">
        <f>SUM(テーブル1[[#This Row],[ケアレスミス]:[解釈]])</f>
        <v>0</v>
      </c>
      <c r="I17" s="35">
        <v>0</v>
      </c>
    </row>
    <row r="18" spans="1:10" x14ac:dyDescent="0.55000000000000004">
      <c r="A18" s="48" t="s">
        <v>300</v>
      </c>
      <c r="B18" s="33" t="s">
        <v>285</v>
      </c>
      <c r="C18" s="2" t="s">
        <v>29</v>
      </c>
      <c r="D18" s="36">
        <v>0</v>
      </c>
      <c r="E18" s="36">
        <v>0</v>
      </c>
      <c r="F18" s="37">
        <v>0</v>
      </c>
      <c r="G18" s="64">
        <v>0</v>
      </c>
      <c r="H18" s="37">
        <f>SUM(テーブル1[[#This Row],[ケアレスミス]:[解釈]])</f>
        <v>0</v>
      </c>
      <c r="I18" s="35">
        <v>0</v>
      </c>
    </row>
    <row r="19" spans="1:10" x14ac:dyDescent="0.55000000000000004">
      <c r="A19" s="48" t="s">
        <v>301</v>
      </c>
      <c r="B19" s="33" t="s">
        <v>283</v>
      </c>
      <c r="C19" s="2" t="s">
        <v>29</v>
      </c>
      <c r="D19" s="36">
        <v>0</v>
      </c>
      <c r="E19" s="36">
        <v>0</v>
      </c>
      <c r="F19" s="37">
        <v>0</v>
      </c>
      <c r="G19" s="64">
        <v>0</v>
      </c>
      <c r="H19" s="37">
        <f>SUM(テーブル1[[#This Row],[ケアレスミス]:[解釈]])</f>
        <v>0</v>
      </c>
      <c r="I19" s="35">
        <v>0</v>
      </c>
    </row>
    <row r="20" spans="1:10" x14ac:dyDescent="0.55000000000000004">
      <c r="A20" s="48" t="s">
        <v>302</v>
      </c>
      <c r="B20" s="33" t="s">
        <v>284</v>
      </c>
      <c r="C20" s="2" t="s">
        <v>28</v>
      </c>
      <c r="D20" s="36">
        <v>2</v>
      </c>
      <c r="E20" s="36">
        <v>0</v>
      </c>
      <c r="F20" s="37">
        <v>0</v>
      </c>
      <c r="G20" s="64">
        <v>0</v>
      </c>
      <c r="H20" s="37">
        <f>SUM(テーブル1[[#This Row],[ケアレスミス]:[解釈]])</f>
        <v>2</v>
      </c>
      <c r="I20" s="35">
        <v>0</v>
      </c>
    </row>
    <row r="21" spans="1:10" x14ac:dyDescent="0.55000000000000004">
      <c r="A21" s="48" t="s">
        <v>303</v>
      </c>
      <c r="B21" s="33" t="s">
        <v>285</v>
      </c>
      <c r="C21" s="2" t="s">
        <v>27</v>
      </c>
      <c r="D21" s="36">
        <v>0</v>
      </c>
      <c r="E21" s="36">
        <v>0</v>
      </c>
      <c r="F21" s="37">
        <v>0</v>
      </c>
      <c r="G21" s="64">
        <v>0</v>
      </c>
      <c r="H21" s="37">
        <f>SUM(テーブル1[[#This Row],[ケアレスミス]:[解釈]])</f>
        <v>0</v>
      </c>
      <c r="I21" s="35">
        <v>0</v>
      </c>
      <c r="J21" t="s">
        <v>374</v>
      </c>
    </row>
    <row r="22" spans="1:10" x14ac:dyDescent="0.55000000000000004">
      <c r="A22" s="48" t="s">
        <v>323</v>
      </c>
      <c r="B22" s="33" t="s">
        <v>283</v>
      </c>
      <c r="C22" s="2" t="s">
        <v>36</v>
      </c>
      <c r="D22" s="1">
        <v>2</v>
      </c>
      <c r="E22" s="1">
        <v>2</v>
      </c>
      <c r="F22" s="37">
        <v>0</v>
      </c>
      <c r="G22" s="64">
        <v>0</v>
      </c>
      <c r="H22" s="37">
        <f>SUM(テーブル1[[#This Row],[ケアレスミス]:[解釈]])</f>
        <v>4</v>
      </c>
      <c r="I22" s="35">
        <v>0</v>
      </c>
    </row>
    <row r="23" spans="1:10" x14ac:dyDescent="0.55000000000000004">
      <c r="A23" s="48" t="s">
        <v>304</v>
      </c>
      <c r="B23" s="33" t="s">
        <v>284</v>
      </c>
      <c r="C23" s="2" t="s">
        <v>40</v>
      </c>
      <c r="D23" s="1">
        <v>0</v>
      </c>
      <c r="E23" s="1">
        <v>0</v>
      </c>
      <c r="F23" s="37">
        <v>0</v>
      </c>
      <c r="G23" s="64">
        <v>0</v>
      </c>
      <c r="H23" s="37">
        <f>SUM(テーブル1[[#This Row],[ケアレスミス]:[解釈]])</f>
        <v>0</v>
      </c>
      <c r="I23" s="35">
        <v>0</v>
      </c>
    </row>
    <row r="24" spans="1:10" x14ac:dyDescent="0.55000000000000004">
      <c r="A24" s="48" t="s">
        <v>305</v>
      </c>
      <c r="B24" s="33" t="s">
        <v>285</v>
      </c>
      <c r="C24" s="2" t="s">
        <v>27</v>
      </c>
      <c r="D24" s="1">
        <v>1</v>
      </c>
      <c r="E24" s="1">
        <v>0</v>
      </c>
      <c r="F24" s="37">
        <v>0</v>
      </c>
      <c r="G24" s="64">
        <v>0</v>
      </c>
      <c r="H24" s="37">
        <f>SUM(テーブル1[[#This Row],[ケアレスミス]:[解釈]])</f>
        <v>1</v>
      </c>
      <c r="I24" s="35">
        <v>0</v>
      </c>
    </row>
    <row r="25" spans="1:10" x14ac:dyDescent="0.55000000000000004">
      <c r="A25" s="48" t="s">
        <v>306</v>
      </c>
      <c r="B25" s="33" t="s">
        <v>283</v>
      </c>
      <c r="C25" s="2" t="s">
        <v>29</v>
      </c>
      <c r="D25" s="1">
        <v>0</v>
      </c>
      <c r="E25" s="1">
        <v>0</v>
      </c>
      <c r="F25" s="37">
        <v>0</v>
      </c>
      <c r="G25" s="64">
        <v>0</v>
      </c>
      <c r="H25" s="37">
        <f>SUM(テーブル1[[#This Row],[ケアレスミス]:[解釈]])</f>
        <v>0</v>
      </c>
      <c r="I25" s="35">
        <v>0</v>
      </c>
    </row>
    <row r="26" spans="1:10" x14ac:dyDescent="0.55000000000000004">
      <c r="A26" s="48" t="s">
        <v>307</v>
      </c>
      <c r="B26" s="33" t="s">
        <v>284</v>
      </c>
      <c r="C26" s="2" t="s">
        <v>36</v>
      </c>
      <c r="D26" s="1">
        <v>3</v>
      </c>
      <c r="E26" s="1">
        <v>0</v>
      </c>
      <c r="F26" s="37">
        <v>0</v>
      </c>
      <c r="G26" s="64">
        <v>0</v>
      </c>
      <c r="H26" s="37">
        <f>SUM(テーブル1[[#This Row],[ケアレスミス]:[解釈]])</f>
        <v>3</v>
      </c>
      <c r="I26" s="35">
        <v>0</v>
      </c>
    </row>
    <row r="27" spans="1:10" x14ac:dyDescent="0.55000000000000004">
      <c r="A27" s="48" t="s">
        <v>308</v>
      </c>
      <c r="B27" s="33" t="s">
        <v>285</v>
      </c>
      <c r="C27" s="38" t="s">
        <v>40</v>
      </c>
      <c r="D27" s="39">
        <v>3</v>
      </c>
      <c r="E27" s="39">
        <v>0</v>
      </c>
      <c r="F27" s="37">
        <v>0</v>
      </c>
      <c r="G27" s="64">
        <v>0</v>
      </c>
      <c r="H27" s="40">
        <f>SUM(テーブル1[[#This Row],[ケアレスミス]:[解釈]])</f>
        <v>3</v>
      </c>
      <c r="I27" s="35">
        <v>0</v>
      </c>
    </row>
    <row r="28" spans="1:10" x14ac:dyDescent="0.55000000000000004">
      <c r="A28" s="48" t="s">
        <v>309</v>
      </c>
      <c r="B28" s="33" t="s">
        <v>283</v>
      </c>
      <c r="C28" s="38" t="s">
        <v>29</v>
      </c>
      <c r="D28" s="39">
        <v>1</v>
      </c>
      <c r="E28" s="39">
        <v>0</v>
      </c>
      <c r="F28" s="37">
        <v>0</v>
      </c>
      <c r="G28" s="64">
        <v>0</v>
      </c>
      <c r="H28" s="40">
        <f>SUM(テーブル1[[#This Row],[ケアレスミス]:[解釈]])</f>
        <v>1</v>
      </c>
      <c r="I28" s="1">
        <v>1</v>
      </c>
    </row>
    <row r="29" spans="1:10" x14ac:dyDescent="0.55000000000000004">
      <c r="A29" s="48" t="s">
        <v>310</v>
      </c>
      <c r="B29" s="33" t="s">
        <v>284</v>
      </c>
      <c r="C29" s="38" t="s">
        <v>28</v>
      </c>
      <c r="D29" s="39">
        <v>1</v>
      </c>
      <c r="E29" s="39">
        <v>0</v>
      </c>
      <c r="F29" s="37">
        <v>0</v>
      </c>
      <c r="G29" s="64">
        <v>0</v>
      </c>
      <c r="H29" s="40">
        <f>SUM(テーブル1[[#This Row],[ケアレスミス]:[解釈]])</f>
        <v>1</v>
      </c>
      <c r="I29" s="1">
        <v>0</v>
      </c>
    </row>
    <row r="30" spans="1:10" x14ac:dyDescent="0.55000000000000004">
      <c r="A30" s="48" t="s">
        <v>311</v>
      </c>
      <c r="B30" s="33" t="s">
        <v>285</v>
      </c>
      <c r="C30" s="38" t="s">
        <v>36</v>
      </c>
      <c r="D30" s="39">
        <v>4</v>
      </c>
      <c r="E30" s="39">
        <v>0</v>
      </c>
      <c r="F30" s="37">
        <v>0</v>
      </c>
      <c r="G30" s="64">
        <v>0</v>
      </c>
      <c r="H30" s="40">
        <f>SUM(テーブル1[[#This Row],[ケアレスミス]:[解釈]])</f>
        <v>4</v>
      </c>
      <c r="I30" s="1">
        <v>0</v>
      </c>
    </row>
    <row r="31" spans="1:10" x14ac:dyDescent="0.55000000000000004">
      <c r="A31" s="48" t="s">
        <v>312</v>
      </c>
      <c r="B31" s="33" t="s">
        <v>283</v>
      </c>
      <c r="C31" s="38" t="s">
        <v>36</v>
      </c>
      <c r="D31" s="39">
        <v>0</v>
      </c>
      <c r="E31" s="39">
        <v>0</v>
      </c>
      <c r="F31" s="37">
        <v>0</v>
      </c>
      <c r="G31" s="64">
        <v>0</v>
      </c>
      <c r="H31" s="40">
        <f>SUM(テーブル1[[#This Row],[ケアレスミス]:[解釈]])</f>
        <v>0</v>
      </c>
      <c r="I31" s="1">
        <v>0</v>
      </c>
    </row>
    <row r="32" spans="1:10" x14ac:dyDescent="0.55000000000000004">
      <c r="A32" s="48" t="s">
        <v>313</v>
      </c>
      <c r="B32" s="33" t="s">
        <v>284</v>
      </c>
      <c r="C32" s="38" t="s">
        <v>29</v>
      </c>
      <c r="D32" s="39">
        <v>1</v>
      </c>
      <c r="E32" s="39">
        <v>0</v>
      </c>
      <c r="F32" s="37">
        <v>0</v>
      </c>
      <c r="G32" s="64">
        <v>0</v>
      </c>
      <c r="H32" s="40">
        <f>SUM(テーブル1[[#This Row],[ケアレスミス]:[解釈]])</f>
        <v>1</v>
      </c>
      <c r="I32" s="1">
        <v>0</v>
      </c>
    </row>
    <row r="33" spans="1:9" x14ac:dyDescent="0.55000000000000004">
      <c r="A33" s="48" t="s">
        <v>314</v>
      </c>
      <c r="B33" s="33" t="s">
        <v>285</v>
      </c>
      <c r="C33" s="38" t="s">
        <v>28</v>
      </c>
      <c r="D33" s="39">
        <v>18</v>
      </c>
      <c r="E33" s="39">
        <v>0</v>
      </c>
      <c r="F33" s="37">
        <v>0</v>
      </c>
      <c r="G33" s="64">
        <v>0</v>
      </c>
      <c r="H33" s="40">
        <f>SUM(テーブル1[[#This Row],[ケアレスミス]:[解釈]])</f>
        <v>18</v>
      </c>
      <c r="I33" s="1">
        <v>0</v>
      </c>
    </row>
    <row r="34" spans="1:9" x14ac:dyDescent="0.55000000000000004">
      <c r="A34" s="48" t="s">
        <v>315</v>
      </c>
      <c r="B34" s="33" t="s">
        <v>283</v>
      </c>
      <c r="C34" s="38" t="s">
        <v>28</v>
      </c>
      <c r="D34" s="39">
        <v>4</v>
      </c>
      <c r="E34" s="39">
        <v>0</v>
      </c>
      <c r="F34" s="37">
        <v>0</v>
      </c>
      <c r="G34" s="64">
        <v>0</v>
      </c>
      <c r="H34" s="40">
        <f>SUM(テーブル1[[#This Row],[ケアレスミス]:[解釈]])</f>
        <v>4</v>
      </c>
      <c r="I34" s="1">
        <v>0</v>
      </c>
    </row>
    <row r="35" spans="1:9" x14ac:dyDescent="0.55000000000000004">
      <c r="A35" s="48" t="s">
        <v>316</v>
      </c>
      <c r="B35" s="33" t="s">
        <v>284</v>
      </c>
      <c r="C35" s="38" t="s">
        <v>36</v>
      </c>
      <c r="D35" s="39">
        <v>4</v>
      </c>
      <c r="E35" s="39">
        <v>0</v>
      </c>
      <c r="F35" s="37">
        <v>0</v>
      </c>
      <c r="G35" s="64">
        <v>0</v>
      </c>
      <c r="H35" s="40">
        <f>SUM(テーブル1[[#This Row],[ケアレスミス]:[解釈]])</f>
        <v>4</v>
      </c>
      <c r="I35" s="1">
        <v>0</v>
      </c>
    </row>
    <row r="36" spans="1:9" x14ac:dyDescent="0.55000000000000004">
      <c r="A36" s="48" t="s">
        <v>317</v>
      </c>
      <c r="B36" s="33" t="s">
        <v>285</v>
      </c>
      <c r="C36" s="38" t="s">
        <v>29</v>
      </c>
      <c r="D36" s="39">
        <v>0</v>
      </c>
      <c r="E36" s="39">
        <v>0</v>
      </c>
      <c r="F36" s="37">
        <v>0</v>
      </c>
      <c r="G36" s="64">
        <v>0</v>
      </c>
      <c r="H36" s="40">
        <f>SUM(テーブル1[[#This Row],[ケアレスミス]:[解釈]])</f>
        <v>0</v>
      </c>
      <c r="I36" s="1">
        <v>0</v>
      </c>
    </row>
    <row r="37" spans="1:9" x14ac:dyDescent="0.55000000000000004">
      <c r="A37" s="48" t="s">
        <v>318</v>
      </c>
      <c r="B37" s="33" t="s">
        <v>283</v>
      </c>
      <c r="C37" s="2" t="s">
        <v>68</v>
      </c>
      <c r="D37" s="1">
        <v>1</v>
      </c>
      <c r="E37" s="1">
        <v>0</v>
      </c>
      <c r="F37" s="37">
        <v>0</v>
      </c>
      <c r="G37" s="64">
        <v>0</v>
      </c>
      <c r="H37" s="37">
        <f>SUM(テーブル1[[#This Row],[ケアレスミス]:[解釈]])</f>
        <v>1</v>
      </c>
      <c r="I37" s="1">
        <v>0</v>
      </c>
    </row>
    <row r="38" spans="1:9" x14ac:dyDescent="0.55000000000000004">
      <c r="A38" s="48" t="s">
        <v>319</v>
      </c>
      <c r="B38" s="33" t="s">
        <v>284</v>
      </c>
      <c r="C38" s="2" t="s">
        <v>28</v>
      </c>
      <c r="D38" s="1">
        <v>1</v>
      </c>
      <c r="E38" s="1">
        <v>0</v>
      </c>
      <c r="F38" s="37">
        <v>0</v>
      </c>
      <c r="G38" s="64">
        <v>0</v>
      </c>
      <c r="H38" s="37">
        <f>SUM(テーブル1[[#This Row],[ケアレスミス]:[解釈]])</f>
        <v>1</v>
      </c>
      <c r="I38" s="1">
        <v>0</v>
      </c>
    </row>
    <row r="39" spans="1:9" x14ac:dyDescent="0.55000000000000004">
      <c r="A39" s="48" t="s">
        <v>320</v>
      </c>
      <c r="B39" s="33" t="s">
        <v>285</v>
      </c>
      <c r="C39" s="2" t="s">
        <v>29</v>
      </c>
      <c r="D39" s="1">
        <v>0</v>
      </c>
      <c r="E39" s="1">
        <v>0</v>
      </c>
      <c r="F39" s="37">
        <v>0</v>
      </c>
      <c r="G39" s="64">
        <v>0</v>
      </c>
      <c r="H39" s="37">
        <f>SUM(テーブル1[[#This Row],[ケアレスミス]:[解釈]])</f>
        <v>0</v>
      </c>
      <c r="I39" s="1">
        <v>0</v>
      </c>
    </row>
    <row r="40" spans="1:9" x14ac:dyDescent="0.55000000000000004">
      <c r="A40" s="48" t="s">
        <v>321</v>
      </c>
      <c r="B40" s="33" t="s">
        <v>283</v>
      </c>
      <c r="C40" s="2" t="s">
        <v>216</v>
      </c>
      <c r="D40" s="1">
        <v>0</v>
      </c>
      <c r="E40" s="1">
        <v>0</v>
      </c>
      <c r="F40" s="37">
        <v>0</v>
      </c>
      <c r="G40" s="64">
        <v>0</v>
      </c>
      <c r="H40" s="37">
        <f>SUM(テーブル1[[#This Row],[ケアレスミス]:[解釈]])</f>
        <v>0</v>
      </c>
      <c r="I40" s="1">
        <v>0</v>
      </c>
    </row>
    <row r="41" spans="1:9" x14ac:dyDescent="0.55000000000000004">
      <c r="A41" s="48" t="s">
        <v>322</v>
      </c>
      <c r="B41" s="33" t="s">
        <v>284</v>
      </c>
      <c r="C41" s="2" t="s">
        <v>68</v>
      </c>
      <c r="D41" s="1">
        <v>0</v>
      </c>
      <c r="E41" s="1">
        <v>0</v>
      </c>
      <c r="F41" s="37">
        <v>0</v>
      </c>
      <c r="G41" s="64">
        <v>0</v>
      </c>
      <c r="H41" s="37">
        <f>SUM(テーブル1[[#This Row],[ケアレスミス]:[解釈]])</f>
        <v>0</v>
      </c>
      <c r="I41" s="1">
        <v>0</v>
      </c>
    </row>
    <row r="42" spans="1:9" x14ac:dyDescent="0.55000000000000004">
      <c r="A42" s="48" t="s">
        <v>324</v>
      </c>
      <c r="B42" s="33" t="s">
        <v>285</v>
      </c>
      <c r="C42" s="2" t="s">
        <v>68</v>
      </c>
      <c r="D42" s="1">
        <v>5</v>
      </c>
      <c r="E42" s="1">
        <v>1</v>
      </c>
      <c r="F42" s="37">
        <v>0</v>
      </c>
      <c r="G42" s="64">
        <v>0</v>
      </c>
      <c r="H42" s="37">
        <f>SUM(テーブル1[[#This Row],[ケアレスミス]:[解釈]])</f>
        <v>6</v>
      </c>
      <c r="I42" s="1">
        <v>0</v>
      </c>
    </row>
    <row r="43" spans="1:9" x14ac:dyDescent="0.55000000000000004">
      <c r="A43" s="48" t="s">
        <v>342</v>
      </c>
      <c r="B43" s="34" t="s">
        <v>345</v>
      </c>
      <c r="C43" s="2" t="s">
        <v>68</v>
      </c>
      <c r="D43" s="1">
        <v>2</v>
      </c>
      <c r="E43" s="1">
        <v>0</v>
      </c>
      <c r="F43" s="37">
        <v>0</v>
      </c>
      <c r="G43" s="37">
        <v>0</v>
      </c>
      <c r="H43" s="37">
        <f>SUM(テーブル1[[#This Row],[ケアレスミス]:[解釈]])</f>
        <v>2</v>
      </c>
      <c r="I43" s="1">
        <v>0</v>
      </c>
    </row>
    <row r="44" spans="1:9" x14ac:dyDescent="0.55000000000000004">
      <c r="A44" s="48" t="s">
        <v>343</v>
      </c>
      <c r="B44" s="34" t="s">
        <v>346</v>
      </c>
      <c r="C44" s="2" t="s">
        <v>36</v>
      </c>
      <c r="D44" s="1">
        <v>1</v>
      </c>
      <c r="E44" s="1">
        <v>0</v>
      </c>
      <c r="F44" s="37">
        <v>0</v>
      </c>
      <c r="G44" s="37">
        <v>0</v>
      </c>
      <c r="H44" s="37">
        <f>SUM(テーブル1[[#This Row],[ケアレスミス]:[解釈]])</f>
        <v>1</v>
      </c>
      <c r="I44" s="1">
        <v>0</v>
      </c>
    </row>
    <row r="45" spans="1:9" x14ac:dyDescent="0.55000000000000004">
      <c r="A45" s="48" t="s">
        <v>344</v>
      </c>
      <c r="B45" s="34" t="s">
        <v>347</v>
      </c>
      <c r="C45" s="2" t="s">
        <v>28</v>
      </c>
      <c r="D45" s="1">
        <v>2</v>
      </c>
      <c r="E45" s="1">
        <v>0</v>
      </c>
      <c r="F45" s="37">
        <v>0</v>
      </c>
      <c r="G45" s="37">
        <v>0</v>
      </c>
      <c r="H45" s="37">
        <f>SUM(テーブル1[[#This Row],[ケアレスミス]:[解釈]])</f>
        <v>2</v>
      </c>
      <c r="I45" s="39">
        <v>0</v>
      </c>
    </row>
    <row r="46" spans="1:9" x14ac:dyDescent="0.55000000000000004">
      <c r="A46" s="48" t="s">
        <v>381</v>
      </c>
      <c r="B46" s="34" t="s">
        <v>384</v>
      </c>
      <c r="C46" s="2" t="s">
        <v>68</v>
      </c>
      <c r="D46" s="1">
        <v>0</v>
      </c>
      <c r="E46" s="1">
        <v>0</v>
      </c>
      <c r="F46" s="37">
        <v>0</v>
      </c>
      <c r="G46" s="37">
        <v>0</v>
      </c>
      <c r="H46" s="37">
        <f>SUM(テーブル1[[#This Row],[ケアレスミス]:[解釈]])</f>
        <v>0</v>
      </c>
      <c r="I46" s="1">
        <v>0</v>
      </c>
    </row>
    <row r="47" spans="1:9" x14ac:dyDescent="0.55000000000000004">
      <c r="A47" s="48" t="s">
        <v>382</v>
      </c>
      <c r="B47" s="34"/>
      <c r="C47" s="2"/>
      <c r="D47" s="1"/>
      <c r="E47" s="1"/>
      <c r="F47" s="37"/>
      <c r="G47" s="37"/>
      <c r="H47" s="37">
        <f>SUM(テーブル1[[#This Row],[ケアレスミス]:[解釈]])</f>
        <v>0</v>
      </c>
      <c r="I47" s="1"/>
    </row>
    <row r="48" spans="1:9" x14ac:dyDescent="0.55000000000000004">
      <c r="A48" s="48" t="s">
        <v>383</v>
      </c>
      <c r="B48" s="34"/>
      <c r="C48" s="2"/>
      <c r="D48" s="1"/>
      <c r="E48" s="1"/>
      <c r="F48" s="37"/>
      <c r="G48" s="37"/>
      <c r="H48" s="37">
        <f>SUM(テーブル1[[#This Row],[ケアレスミス]:[解釈]])</f>
        <v>0</v>
      </c>
      <c r="I48" s="1"/>
    </row>
    <row r="49" spans="1:9" x14ac:dyDescent="0.55000000000000004">
      <c r="A49" s="41" t="s">
        <v>86</v>
      </c>
      <c r="B49" s="41"/>
      <c r="C49" s="38"/>
      <c r="D49" s="39">
        <f>SUBTOTAL(109,テーブル1[ケアレスミス])</f>
        <v>64</v>
      </c>
      <c r="E49" s="39">
        <f>SUBTOTAL(109,テーブル1[解釈])</f>
        <v>3</v>
      </c>
      <c r="F49" s="39">
        <f>SUBTOTAL(109,テーブル1[マニュアル])</f>
        <v>0</v>
      </c>
      <c r="G49" s="39">
        <f>SUBTOTAL(109,テーブル1[その他])</f>
        <v>0</v>
      </c>
      <c r="H49" s="40">
        <f>SUBTOTAL(109,テーブル1[合計])</f>
        <v>67</v>
      </c>
      <c r="I49" s="39">
        <f>SUBTOTAL(109,テーブル1[インシデント])</f>
        <v>1</v>
      </c>
    </row>
  </sheetData>
  <phoneticPr fontId="1"/>
  <pageMargins left="0.7" right="0.7" top="0.75" bottom="0.75" header="0.3" footer="0.3"/>
  <ignoredErrors>
    <ignoredError sqref="A4:A45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28AE98-ACD1-4109-8C5C-41C994E8EED8}">
          <x14:formula1>
            <xm:f>メンバー!$B$3:$B$20</xm:f>
          </x14:formula1>
          <xm:sqref>C4:C48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86AC-51F5-4E4C-BBB0-5821E3E41F7D}">
  <sheetPr codeName="Sheet2"/>
  <dimension ref="B3:W169"/>
  <sheetViews>
    <sheetView topLeftCell="B75" workbookViewId="0">
      <selection activeCell="G159" sqref="G159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457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330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329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40" spans="2:18" x14ac:dyDescent="0.55000000000000004">
      <c r="B40" s="43" t="s">
        <v>456</v>
      </c>
    </row>
    <row r="60" spans="2:23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  <c r="S60" s="44">
        <v>45870</v>
      </c>
      <c r="T60" s="44">
        <v>45536</v>
      </c>
      <c r="U60" s="44">
        <v>45566</v>
      </c>
      <c r="V60" s="44">
        <v>45597</v>
      </c>
      <c r="W60" s="44">
        <v>45627</v>
      </c>
    </row>
    <row r="61" spans="2:23" x14ac:dyDescent="0.55000000000000004">
      <c r="B61" s="1" t="s">
        <v>39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55000000000000004">
      <c r="B62" s="1" t="s">
        <v>28</v>
      </c>
      <c r="C62" s="1">
        <v>0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55000000000000004">
      <c r="B63" s="1" t="s">
        <v>66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55000000000000004">
      <c r="B64" s="1" t="s">
        <v>68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55000000000000004">
      <c r="B65" s="1" t="s">
        <v>27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55000000000000004">
      <c r="B66" s="1" t="s">
        <v>330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55000000000000004">
      <c r="B67" s="1" t="s">
        <v>329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72" spans="2:23" x14ac:dyDescent="0.55000000000000004">
      <c r="B72" s="43" t="s">
        <v>458</v>
      </c>
    </row>
    <row r="73" spans="2:23" x14ac:dyDescent="0.55000000000000004">
      <c r="B73" s="43"/>
    </row>
    <row r="74" spans="2:23" x14ac:dyDescent="0.55000000000000004">
      <c r="B74" s="43"/>
    </row>
    <row r="75" spans="2:23" x14ac:dyDescent="0.55000000000000004">
      <c r="B75" s="43"/>
    </row>
    <row r="76" spans="2:23" x14ac:dyDescent="0.55000000000000004">
      <c r="B76" s="43"/>
    </row>
    <row r="77" spans="2:23" x14ac:dyDescent="0.55000000000000004">
      <c r="B77" s="43"/>
    </row>
    <row r="78" spans="2:23" x14ac:dyDescent="0.55000000000000004">
      <c r="B78" s="43"/>
    </row>
    <row r="79" spans="2:23" x14ac:dyDescent="0.55000000000000004">
      <c r="B79" s="43"/>
    </row>
    <row r="80" spans="2:23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>
        <v>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>
        <v>0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>
        <v>0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330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329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6" spans="2:18" x14ac:dyDescent="0.55000000000000004">
      <c r="B106" s="43" t="s">
        <v>459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>
        <v>0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330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329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40" spans="2:18" x14ac:dyDescent="0.55000000000000004">
      <c r="B140" s="43" t="s">
        <v>460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>
        <v>0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>
        <v>0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330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329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2DEC-9116-4499-A38A-83400A966D43}">
  <sheetPr codeName="Sheet29"/>
  <dimension ref="B3:J92"/>
  <sheetViews>
    <sheetView topLeftCell="B24" workbookViewId="0">
      <selection activeCell="N43" sqref="N43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489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44">
        <v>45352</v>
      </c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0</v>
      </c>
      <c r="F28" s="1">
        <v>0</v>
      </c>
      <c r="G28" s="1">
        <v>2</v>
      </c>
      <c r="H28" s="1">
        <v>0</v>
      </c>
      <c r="I28" s="1">
        <v>0</v>
      </c>
      <c r="J28" s="1"/>
    </row>
    <row r="29" spans="2:10" x14ac:dyDescent="0.55000000000000004">
      <c r="B29" s="1" t="s">
        <v>28</v>
      </c>
      <c r="C29" s="1">
        <v>1</v>
      </c>
      <c r="D29" s="1">
        <v>6</v>
      </c>
      <c r="E29" s="1">
        <v>2</v>
      </c>
      <c r="F29" s="1">
        <v>0</v>
      </c>
      <c r="G29" s="1">
        <v>19</v>
      </c>
      <c r="H29" s="1">
        <v>5</v>
      </c>
      <c r="I29" s="1">
        <v>2</v>
      </c>
      <c r="J29" s="1"/>
    </row>
    <row r="30" spans="2:10" x14ac:dyDescent="0.55000000000000004">
      <c r="B30" s="1" t="s">
        <v>66</v>
      </c>
      <c r="C30" s="1">
        <v>0</v>
      </c>
      <c r="D30" s="1">
        <v>0</v>
      </c>
      <c r="E30" s="1">
        <v>0</v>
      </c>
      <c r="F30" s="1">
        <v>5</v>
      </c>
      <c r="G30" s="1">
        <v>2</v>
      </c>
      <c r="H30" s="1">
        <v>2</v>
      </c>
      <c r="I30" s="1">
        <v>1</v>
      </c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1</v>
      </c>
      <c r="I31" s="1">
        <v>7</v>
      </c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>
        <v>0</v>
      </c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3</v>
      </c>
      <c r="G33" s="1">
        <v>0</v>
      </c>
      <c r="H33" s="1">
        <v>0</v>
      </c>
      <c r="I33" s="1">
        <v>0</v>
      </c>
      <c r="J33" s="1"/>
    </row>
    <row r="36" spans="2:10" x14ac:dyDescent="0.55000000000000004">
      <c r="B36" s="43" t="s">
        <v>490</v>
      </c>
    </row>
    <row r="56" spans="2:10" x14ac:dyDescent="0.55000000000000004">
      <c r="B56" s="1" t="s">
        <v>67</v>
      </c>
      <c r="C56" s="44">
        <v>45170</v>
      </c>
      <c r="D56" s="44">
        <v>45200</v>
      </c>
      <c r="E56" s="44">
        <v>45231</v>
      </c>
      <c r="F56" s="44">
        <v>45261</v>
      </c>
      <c r="G56" s="44">
        <v>45292</v>
      </c>
      <c r="H56" s="44">
        <v>45323</v>
      </c>
      <c r="I56" s="44">
        <v>45352</v>
      </c>
      <c r="J56" s="1"/>
    </row>
    <row r="57" spans="2:10" x14ac:dyDescent="0.55000000000000004">
      <c r="B57" s="1" t="s">
        <v>39</v>
      </c>
      <c r="C57" s="1">
        <v>0</v>
      </c>
      <c r="D57" s="1">
        <v>0</v>
      </c>
      <c r="E57" s="1">
        <v>0</v>
      </c>
      <c r="F57" s="1">
        <v>0</v>
      </c>
      <c r="G57" s="1">
        <v>1</v>
      </c>
      <c r="H57" s="1">
        <v>0</v>
      </c>
      <c r="I57" s="1">
        <v>0</v>
      </c>
      <c r="J57" s="1"/>
    </row>
    <row r="58" spans="2:10" x14ac:dyDescent="0.55000000000000004">
      <c r="B58" s="1" t="s">
        <v>28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/>
    </row>
    <row r="59" spans="2:10" x14ac:dyDescent="0.55000000000000004">
      <c r="B59" s="1" t="s">
        <v>66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</row>
    <row r="61" spans="2:10" x14ac:dyDescent="0.55000000000000004">
      <c r="B61" s="1" t="s">
        <v>27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</row>
    <row r="62" spans="2:10" x14ac:dyDescent="0.55000000000000004">
      <c r="B62" s="1" t="s">
        <v>40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</row>
    <row r="66" spans="2:2" x14ac:dyDescent="0.55000000000000004">
      <c r="B66" s="43" t="s">
        <v>72</v>
      </c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76" spans="2:2" x14ac:dyDescent="0.55000000000000004">
      <c r="B76" s="43"/>
    </row>
    <row r="77" spans="2:2" x14ac:dyDescent="0.55000000000000004">
      <c r="B77" s="43"/>
    </row>
    <row r="78" spans="2:2" x14ac:dyDescent="0.55000000000000004">
      <c r="B78" s="43"/>
    </row>
    <row r="86" spans="2:10" x14ac:dyDescent="0.55000000000000004">
      <c r="B86" s="1" t="s">
        <v>67</v>
      </c>
      <c r="C86" s="44">
        <v>45170</v>
      </c>
      <c r="D86" s="44">
        <v>45200</v>
      </c>
      <c r="E86" s="44">
        <v>45231</v>
      </c>
      <c r="F86" s="44">
        <v>45261</v>
      </c>
      <c r="G86" s="44">
        <v>45292</v>
      </c>
      <c r="H86" s="44">
        <v>45323</v>
      </c>
      <c r="I86" s="44">
        <v>45352</v>
      </c>
      <c r="J86" s="1"/>
    </row>
    <row r="87" spans="2:10" x14ac:dyDescent="0.55000000000000004">
      <c r="B87" s="1" t="s">
        <v>39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/>
    </row>
    <row r="88" spans="2:10" x14ac:dyDescent="0.55000000000000004">
      <c r="B88" s="1" t="s">
        <v>28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/>
    </row>
    <row r="89" spans="2:10" x14ac:dyDescent="0.55000000000000004">
      <c r="B89" s="1" t="s">
        <v>66</v>
      </c>
      <c r="C89" s="1">
        <v>0</v>
      </c>
      <c r="D89" s="1">
        <v>0</v>
      </c>
      <c r="E89" s="1">
        <v>0</v>
      </c>
      <c r="F89" s="1">
        <v>2</v>
      </c>
      <c r="G89" s="1">
        <v>2</v>
      </c>
      <c r="H89" s="1">
        <v>2</v>
      </c>
      <c r="I89" s="1">
        <v>0</v>
      </c>
      <c r="J89" s="1"/>
    </row>
    <row r="90" spans="2:10" x14ac:dyDescent="0.55000000000000004">
      <c r="B90" s="1" t="s">
        <v>68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1</v>
      </c>
      <c r="J90" s="1"/>
    </row>
    <row r="91" spans="2:10" x14ac:dyDescent="0.55000000000000004">
      <c r="B91" s="1" t="s">
        <v>27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</row>
    <row r="92" spans="2:10" x14ac:dyDescent="0.55000000000000004">
      <c r="B92" s="1" t="s">
        <v>40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7F3AE-17E2-4A53-AF5A-BFFFFFF4F10A}">
  <sheetPr codeName="Sheet24"/>
  <dimension ref="B3:R169"/>
  <sheetViews>
    <sheetView topLeftCell="A12" workbookViewId="0">
      <selection activeCell="A20" sqref="A20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457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330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329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40" spans="2:18" x14ac:dyDescent="0.55000000000000004">
      <c r="B40" s="43" t="s">
        <v>456</v>
      </c>
    </row>
    <row r="60" spans="2:18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8" x14ac:dyDescent="0.55000000000000004">
      <c r="B61" s="1" t="s">
        <v>39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2:18" x14ac:dyDescent="0.55000000000000004">
      <c r="B62" s="1" t="s">
        <v>28</v>
      </c>
      <c r="C62" s="1">
        <v>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2:18" x14ac:dyDescent="0.55000000000000004">
      <c r="B63" s="1" t="s">
        <v>66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2:18" x14ac:dyDescent="0.55000000000000004">
      <c r="B64" s="1" t="s">
        <v>68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2:18" x14ac:dyDescent="0.55000000000000004">
      <c r="B65" s="1" t="s">
        <v>27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x14ac:dyDescent="0.55000000000000004">
      <c r="B66" s="1" t="s">
        <v>330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2:18" x14ac:dyDescent="0.55000000000000004">
      <c r="B67" s="1" t="s">
        <v>329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72" spans="2:18" x14ac:dyDescent="0.55000000000000004">
      <c r="B72" s="43" t="s">
        <v>458</v>
      </c>
    </row>
    <row r="73" spans="2:18" x14ac:dyDescent="0.55000000000000004">
      <c r="B73" s="43"/>
    </row>
    <row r="74" spans="2:18" x14ac:dyDescent="0.55000000000000004">
      <c r="B74" s="43"/>
    </row>
    <row r="75" spans="2:18" x14ac:dyDescent="0.55000000000000004">
      <c r="B75" s="43"/>
    </row>
    <row r="76" spans="2:18" x14ac:dyDescent="0.55000000000000004">
      <c r="B76" s="43"/>
    </row>
    <row r="77" spans="2:18" x14ac:dyDescent="0.55000000000000004">
      <c r="B77" s="43"/>
    </row>
    <row r="78" spans="2:18" x14ac:dyDescent="0.55000000000000004">
      <c r="B78" s="43"/>
    </row>
    <row r="79" spans="2:18" x14ac:dyDescent="0.55000000000000004">
      <c r="B79" s="43"/>
    </row>
    <row r="80" spans="2:18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>
        <v>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>
        <v>1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>
        <v>1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330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329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6" spans="2:18" x14ac:dyDescent="0.55000000000000004">
      <c r="B106" s="43" t="s">
        <v>459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>
        <v>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330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329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40" spans="2:18" x14ac:dyDescent="0.55000000000000004">
      <c r="B140" s="43" t="s">
        <v>460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>
        <v>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>
        <v>1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330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329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B1A44-600A-4B0A-9DB5-564E635EDCA9}">
  <sheetPr codeName="Sheet3"/>
  <dimension ref="A1:M70"/>
  <sheetViews>
    <sheetView workbookViewId="0">
      <pane ySplit="3" topLeftCell="A61" activePane="bottomLeft" state="frozen"/>
      <selection pane="bottomLeft" activeCell="E79" sqref="E79"/>
    </sheetView>
  </sheetViews>
  <sheetFormatPr defaultRowHeight="18" x14ac:dyDescent="0.55000000000000004"/>
  <cols>
    <col min="1" max="1" width="9.5" customWidth="1"/>
    <col min="2" max="2" width="6.6640625" style="3" customWidth="1"/>
    <col min="3" max="3" width="10.58203125" customWidth="1"/>
    <col min="4" max="4" width="13.58203125" customWidth="1"/>
    <col min="5" max="5" width="7" customWidth="1"/>
    <col min="6" max="6" width="12.1640625" customWidth="1"/>
    <col min="7" max="7" width="9.5" customWidth="1"/>
    <col min="8" max="9" width="10.58203125" customWidth="1"/>
    <col min="10" max="10" width="8.83203125" bestFit="1" customWidth="1"/>
    <col min="11" max="16" width="9.5" bestFit="1" customWidth="1"/>
  </cols>
  <sheetData>
    <row r="1" spans="1:13" x14ac:dyDescent="0.55000000000000004">
      <c r="A1" s="12" t="s">
        <v>338</v>
      </c>
      <c r="B1" s="63"/>
      <c r="C1" s="8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55000000000000004">
      <c r="J2" t="s">
        <v>93</v>
      </c>
    </row>
    <row r="3" spans="1:13" x14ac:dyDescent="0.55000000000000004">
      <c r="A3" s="49" t="s">
        <v>325</v>
      </c>
      <c r="B3" s="49" t="s">
        <v>281</v>
      </c>
      <c r="C3" s="46" t="s">
        <v>1</v>
      </c>
      <c r="D3" s="35" t="s">
        <v>10</v>
      </c>
      <c r="E3" s="65" t="s">
        <v>50</v>
      </c>
      <c r="F3" s="66" t="s">
        <v>373</v>
      </c>
      <c r="G3" s="66" t="s">
        <v>361</v>
      </c>
      <c r="H3" s="66" t="s">
        <v>51</v>
      </c>
      <c r="I3" s="65" t="s">
        <v>372</v>
      </c>
    </row>
    <row r="4" spans="1:13" x14ac:dyDescent="0.55000000000000004">
      <c r="A4" s="48" t="s">
        <v>223</v>
      </c>
      <c r="B4" s="48" t="s">
        <v>224</v>
      </c>
      <c r="C4" s="2" t="s">
        <v>29</v>
      </c>
      <c r="D4" s="36">
        <v>0</v>
      </c>
      <c r="E4" s="36">
        <v>0</v>
      </c>
      <c r="F4" s="36">
        <v>0</v>
      </c>
      <c r="G4" s="36">
        <v>0</v>
      </c>
      <c r="H4" s="1">
        <f>SUM(テーブル13[[#This Row],[ケアレスミス]:[解釈]])</f>
        <v>0</v>
      </c>
      <c r="I4" s="1">
        <v>0</v>
      </c>
    </row>
    <row r="5" spans="1:13" x14ac:dyDescent="0.55000000000000004">
      <c r="A5" s="48" t="s">
        <v>227</v>
      </c>
      <c r="B5" s="48" t="s">
        <v>225</v>
      </c>
      <c r="C5" s="2" t="s">
        <v>27</v>
      </c>
      <c r="D5" s="36">
        <v>0</v>
      </c>
      <c r="E5" s="36">
        <v>0</v>
      </c>
      <c r="F5" s="36">
        <v>0</v>
      </c>
      <c r="G5" s="36">
        <v>0</v>
      </c>
      <c r="H5" s="1">
        <f>SUM(テーブル13[[#This Row],[ケアレスミス]:[解釈]])</f>
        <v>0</v>
      </c>
      <c r="I5" s="1">
        <v>0</v>
      </c>
    </row>
    <row r="6" spans="1:13" x14ac:dyDescent="0.55000000000000004">
      <c r="A6" s="48" t="s">
        <v>228</v>
      </c>
      <c r="B6" s="48" t="s">
        <v>226</v>
      </c>
      <c r="C6" s="2" t="s">
        <v>28</v>
      </c>
      <c r="D6" s="36">
        <v>3</v>
      </c>
      <c r="E6" s="36">
        <v>2</v>
      </c>
      <c r="F6" s="36">
        <v>0</v>
      </c>
      <c r="G6" s="36">
        <v>0</v>
      </c>
      <c r="H6" s="1">
        <f>SUM(テーブル13[[#This Row],[ケアレスミス]:[解釈]])</f>
        <v>5</v>
      </c>
      <c r="I6" s="1">
        <v>1</v>
      </c>
      <c r="J6" t="s">
        <v>92</v>
      </c>
    </row>
    <row r="7" spans="1:13" x14ac:dyDescent="0.55000000000000004">
      <c r="A7" s="48" t="s">
        <v>229</v>
      </c>
      <c r="B7" s="48" t="s">
        <v>224</v>
      </c>
      <c r="C7" s="2" t="s">
        <v>29</v>
      </c>
      <c r="D7" s="36">
        <v>1</v>
      </c>
      <c r="E7" s="36">
        <v>0</v>
      </c>
      <c r="F7" s="36">
        <v>0</v>
      </c>
      <c r="G7" s="36">
        <v>0</v>
      </c>
      <c r="H7" s="1">
        <f>SUM(テーブル13[[#This Row],[ケアレスミス]:[解釈]])</f>
        <v>1</v>
      </c>
      <c r="I7" s="1">
        <v>0</v>
      </c>
      <c r="J7" t="s">
        <v>91</v>
      </c>
    </row>
    <row r="8" spans="1:13" x14ac:dyDescent="0.55000000000000004">
      <c r="A8" s="48" t="s">
        <v>230</v>
      </c>
      <c r="B8" s="48" t="s">
        <v>225</v>
      </c>
      <c r="C8" s="2" t="s">
        <v>27</v>
      </c>
      <c r="D8" s="36">
        <v>0</v>
      </c>
      <c r="E8" s="36">
        <v>0</v>
      </c>
      <c r="F8" s="36">
        <v>0</v>
      </c>
      <c r="G8" s="36">
        <v>0</v>
      </c>
      <c r="H8" s="1">
        <f>SUM(テーブル13[[#This Row],[ケアレスミス]:[解釈]])</f>
        <v>0</v>
      </c>
      <c r="I8" s="1">
        <v>0</v>
      </c>
    </row>
    <row r="9" spans="1:13" x14ac:dyDescent="0.55000000000000004">
      <c r="A9" s="48" t="s">
        <v>231</v>
      </c>
      <c r="B9" s="48" t="s">
        <v>226</v>
      </c>
      <c r="C9" s="2" t="s">
        <v>28</v>
      </c>
      <c r="D9" s="1">
        <v>1</v>
      </c>
      <c r="E9" s="1">
        <v>0</v>
      </c>
      <c r="F9" s="1">
        <v>0</v>
      </c>
      <c r="G9" s="1">
        <v>0</v>
      </c>
      <c r="H9" s="1">
        <f>SUM(テーブル13[[#This Row],[ケアレスミス]:[解釈]])</f>
        <v>1</v>
      </c>
      <c r="I9" s="1">
        <v>0</v>
      </c>
    </row>
    <row r="10" spans="1:13" x14ac:dyDescent="0.55000000000000004">
      <c r="A10" s="48" t="s">
        <v>232</v>
      </c>
      <c r="B10" s="48" t="s">
        <v>224</v>
      </c>
      <c r="C10" s="2" t="s">
        <v>36</v>
      </c>
      <c r="D10" s="1">
        <v>3</v>
      </c>
      <c r="E10" s="1">
        <v>0</v>
      </c>
      <c r="F10" s="1">
        <v>0</v>
      </c>
      <c r="G10" s="1">
        <v>0</v>
      </c>
      <c r="H10" s="1">
        <f>SUM(テーブル13[[#This Row],[ケアレスミス]:[解釈]])</f>
        <v>3</v>
      </c>
      <c r="I10" s="1">
        <v>0</v>
      </c>
    </row>
    <row r="11" spans="1:13" x14ac:dyDescent="0.55000000000000004">
      <c r="A11" s="48" t="s">
        <v>233</v>
      </c>
      <c r="B11" s="48" t="s">
        <v>225</v>
      </c>
      <c r="C11" s="2" t="s">
        <v>29</v>
      </c>
      <c r="D11" s="1">
        <v>0</v>
      </c>
      <c r="E11" s="1">
        <v>0</v>
      </c>
      <c r="F11" s="1">
        <v>0</v>
      </c>
      <c r="G11" s="1">
        <v>0</v>
      </c>
      <c r="H11" s="1">
        <f>SUM(テーブル13[[#This Row],[ケアレスミス]:[解釈]])</f>
        <v>0</v>
      </c>
      <c r="I11" s="1">
        <v>0</v>
      </c>
    </row>
    <row r="12" spans="1:13" x14ac:dyDescent="0.55000000000000004">
      <c r="A12" s="48" t="s">
        <v>234</v>
      </c>
      <c r="B12" s="48" t="s">
        <v>226</v>
      </c>
      <c r="C12" s="2" t="s">
        <v>27</v>
      </c>
      <c r="D12" s="1">
        <v>0</v>
      </c>
      <c r="E12" s="1">
        <v>0</v>
      </c>
      <c r="F12" s="1">
        <v>0</v>
      </c>
      <c r="G12" s="1">
        <v>0</v>
      </c>
      <c r="H12" s="1">
        <f>SUM(テーブル13[[#This Row],[ケアレスミス]:[解釈]])</f>
        <v>0</v>
      </c>
      <c r="I12" s="1">
        <v>0</v>
      </c>
    </row>
    <row r="13" spans="1:13" x14ac:dyDescent="0.55000000000000004">
      <c r="A13" s="48" t="s">
        <v>235</v>
      </c>
      <c r="B13" s="48" t="s">
        <v>224</v>
      </c>
      <c r="C13" s="2" t="s">
        <v>27</v>
      </c>
      <c r="D13" s="1">
        <v>0</v>
      </c>
      <c r="E13" s="1">
        <v>0</v>
      </c>
      <c r="F13" s="1">
        <v>0</v>
      </c>
      <c r="G13" s="1">
        <v>0</v>
      </c>
      <c r="H13" s="1">
        <f>SUM(テーブル13[[#This Row],[ケアレスミス]:[解釈]])</f>
        <v>0</v>
      </c>
      <c r="I13" s="1">
        <v>0</v>
      </c>
    </row>
    <row r="14" spans="1:13" x14ac:dyDescent="0.55000000000000004">
      <c r="A14" s="48" t="s">
        <v>236</v>
      </c>
      <c r="B14" s="48" t="s">
        <v>225</v>
      </c>
      <c r="C14" s="2" t="s">
        <v>28</v>
      </c>
      <c r="D14" s="1">
        <v>6</v>
      </c>
      <c r="E14" s="1">
        <v>0</v>
      </c>
      <c r="F14" s="1">
        <v>0</v>
      </c>
      <c r="G14" s="1">
        <v>0</v>
      </c>
      <c r="H14" s="1">
        <f>SUM(テーブル13[[#This Row],[ケアレスミス]:[解釈]])</f>
        <v>6</v>
      </c>
      <c r="I14" s="1">
        <v>0</v>
      </c>
    </row>
    <row r="15" spans="1:13" x14ac:dyDescent="0.55000000000000004">
      <c r="A15" s="48" t="s">
        <v>237</v>
      </c>
      <c r="B15" s="48" t="s">
        <v>226</v>
      </c>
      <c r="C15" s="2" t="s">
        <v>27</v>
      </c>
      <c r="D15" s="36">
        <v>0</v>
      </c>
      <c r="E15" s="36">
        <v>0</v>
      </c>
      <c r="F15" s="36">
        <v>0</v>
      </c>
      <c r="G15" s="36">
        <v>0</v>
      </c>
      <c r="H15" s="1">
        <f>SUM(テーブル13[[#This Row],[ケアレスミス]:[解釈]])</f>
        <v>0</v>
      </c>
      <c r="I15" s="1">
        <v>0</v>
      </c>
    </row>
    <row r="16" spans="1:13" x14ac:dyDescent="0.55000000000000004">
      <c r="A16" s="48" t="s">
        <v>238</v>
      </c>
      <c r="B16" s="48" t="s">
        <v>224</v>
      </c>
      <c r="C16" s="2" t="s">
        <v>36</v>
      </c>
      <c r="D16" s="36">
        <v>1</v>
      </c>
      <c r="E16" s="36">
        <v>0</v>
      </c>
      <c r="F16" s="36">
        <v>0</v>
      </c>
      <c r="G16" s="36">
        <v>0</v>
      </c>
      <c r="H16" s="1">
        <f>SUM(テーブル13[[#This Row],[ケアレスミス]:[解釈]])</f>
        <v>1</v>
      </c>
      <c r="I16" s="1">
        <v>0</v>
      </c>
    </row>
    <row r="17" spans="1:9" x14ac:dyDescent="0.55000000000000004">
      <c r="A17" s="48" t="s">
        <v>239</v>
      </c>
      <c r="B17" s="48" t="s">
        <v>225</v>
      </c>
      <c r="C17" s="2" t="s">
        <v>27</v>
      </c>
      <c r="D17" s="36">
        <v>0</v>
      </c>
      <c r="E17" s="36">
        <v>0</v>
      </c>
      <c r="F17" s="36">
        <v>0</v>
      </c>
      <c r="G17" s="36">
        <v>0</v>
      </c>
      <c r="H17" s="1">
        <f>SUM(テーブル13[[#This Row],[ケアレスミス]:[解釈]])</f>
        <v>0</v>
      </c>
      <c r="I17" s="1">
        <v>0</v>
      </c>
    </row>
    <row r="18" spans="1:9" x14ac:dyDescent="0.55000000000000004">
      <c r="A18" s="48" t="s">
        <v>240</v>
      </c>
      <c r="B18" s="48" t="s">
        <v>226</v>
      </c>
      <c r="C18" s="2" t="s">
        <v>27</v>
      </c>
      <c r="D18" s="36">
        <v>0</v>
      </c>
      <c r="E18" s="36">
        <v>0</v>
      </c>
      <c r="F18" s="36">
        <v>0</v>
      </c>
      <c r="G18" s="36">
        <v>0</v>
      </c>
      <c r="H18" s="1">
        <f>SUM(テーブル13[[#This Row],[ケアレスミス]:[解釈]])</f>
        <v>0</v>
      </c>
      <c r="I18" s="1">
        <v>0</v>
      </c>
    </row>
    <row r="19" spans="1:9" x14ac:dyDescent="0.55000000000000004">
      <c r="A19" s="48" t="s">
        <v>241</v>
      </c>
      <c r="B19" s="48" t="s">
        <v>224</v>
      </c>
      <c r="C19" s="2" t="s">
        <v>29</v>
      </c>
      <c r="D19" s="36">
        <v>0</v>
      </c>
      <c r="E19" s="36">
        <v>0</v>
      </c>
      <c r="F19" s="36">
        <v>0</v>
      </c>
      <c r="G19" s="36">
        <v>0</v>
      </c>
      <c r="H19" s="1">
        <f>SUM(テーブル13[[#This Row],[ケアレスミス]:[解釈]])</f>
        <v>0</v>
      </c>
      <c r="I19" s="1">
        <v>0</v>
      </c>
    </row>
    <row r="20" spans="1:9" x14ac:dyDescent="0.55000000000000004">
      <c r="A20" s="48" t="s">
        <v>242</v>
      </c>
      <c r="B20" s="48" t="s">
        <v>224</v>
      </c>
      <c r="C20" s="2" t="s">
        <v>36</v>
      </c>
      <c r="D20" s="36">
        <v>0</v>
      </c>
      <c r="E20" s="36">
        <v>0</v>
      </c>
      <c r="F20" s="36">
        <v>0</v>
      </c>
      <c r="G20" s="36">
        <v>0</v>
      </c>
      <c r="H20" s="1">
        <f>SUM(テーブル13[[#This Row],[ケアレスミス]:[解釈]])</f>
        <v>0</v>
      </c>
      <c r="I20" s="1">
        <v>0</v>
      </c>
    </row>
    <row r="21" spans="1:9" x14ac:dyDescent="0.55000000000000004">
      <c r="A21" s="48" t="s">
        <v>243</v>
      </c>
      <c r="B21" s="48" t="s">
        <v>225</v>
      </c>
      <c r="C21" s="2" t="s">
        <v>29</v>
      </c>
      <c r="D21" s="1">
        <v>0</v>
      </c>
      <c r="E21" s="1">
        <v>0</v>
      </c>
      <c r="F21" s="1">
        <v>0</v>
      </c>
      <c r="G21" s="1">
        <v>0</v>
      </c>
      <c r="H21" s="1">
        <f>SUM(テーブル13[[#This Row],[ケアレスミス]:[解釈]])</f>
        <v>0</v>
      </c>
      <c r="I21" s="1">
        <v>0</v>
      </c>
    </row>
    <row r="22" spans="1:9" x14ac:dyDescent="0.55000000000000004">
      <c r="A22" s="48" t="s">
        <v>244</v>
      </c>
      <c r="B22" s="48" t="s">
        <v>226</v>
      </c>
      <c r="C22" s="2" t="s">
        <v>27</v>
      </c>
      <c r="D22" s="1">
        <v>0</v>
      </c>
      <c r="E22" s="1">
        <v>0</v>
      </c>
      <c r="F22" s="1">
        <v>0</v>
      </c>
      <c r="G22" s="1">
        <v>0</v>
      </c>
      <c r="H22" s="1">
        <f>SUM(テーブル13[[#This Row],[ケアレスミス]:[解釈]])</f>
        <v>0</v>
      </c>
      <c r="I22" s="1">
        <v>0</v>
      </c>
    </row>
    <row r="23" spans="1:9" x14ac:dyDescent="0.55000000000000004">
      <c r="A23" s="48" t="s">
        <v>245</v>
      </c>
      <c r="B23" s="48" t="s">
        <v>224</v>
      </c>
      <c r="C23" s="2" t="s">
        <v>36</v>
      </c>
      <c r="D23" s="1">
        <v>0</v>
      </c>
      <c r="E23" s="1">
        <v>0</v>
      </c>
      <c r="F23" s="1">
        <v>0</v>
      </c>
      <c r="G23" s="1">
        <v>0</v>
      </c>
      <c r="H23" s="1">
        <f>SUM(テーブル13[[#This Row],[ケアレスミス]:[解釈]])</f>
        <v>0</v>
      </c>
      <c r="I23" s="1">
        <v>0</v>
      </c>
    </row>
    <row r="24" spans="1:9" x14ac:dyDescent="0.55000000000000004">
      <c r="A24" s="48" t="s">
        <v>246</v>
      </c>
      <c r="B24" s="48" t="s">
        <v>225</v>
      </c>
      <c r="C24" s="2" t="s">
        <v>28</v>
      </c>
      <c r="D24" s="1">
        <v>1</v>
      </c>
      <c r="E24" s="1">
        <v>0</v>
      </c>
      <c r="F24" s="1">
        <v>0</v>
      </c>
      <c r="G24" s="1">
        <v>0</v>
      </c>
      <c r="H24" s="1">
        <f>SUM(テーブル13[[#This Row],[ケアレスミス]:[解釈]])</f>
        <v>1</v>
      </c>
      <c r="I24" s="1">
        <v>0</v>
      </c>
    </row>
    <row r="25" spans="1:9" x14ac:dyDescent="0.55000000000000004">
      <c r="A25" s="48" t="s">
        <v>247</v>
      </c>
      <c r="B25" s="48" t="s">
        <v>226</v>
      </c>
      <c r="C25" s="2" t="s">
        <v>29</v>
      </c>
      <c r="D25" s="1">
        <v>0</v>
      </c>
      <c r="E25" s="1">
        <v>0</v>
      </c>
      <c r="F25" s="1">
        <v>0</v>
      </c>
      <c r="G25" s="1">
        <v>0</v>
      </c>
      <c r="H25" s="1">
        <f>SUM(テーブル13[[#This Row],[ケアレスミス]:[解釈]])</f>
        <v>0</v>
      </c>
      <c r="I25" s="1">
        <v>0</v>
      </c>
    </row>
    <row r="26" spans="1:9" x14ac:dyDescent="0.55000000000000004">
      <c r="A26" s="48" t="s">
        <v>248</v>
      </c>
      <c r="B26" s="62" t="s">
        <v>224</v>
      </c>
      <c r="C26" s="38" t="s">
        <v>27</v>
      </c>
      <c r="D26" s="39">
        <v>0</v>
      </c>
      <c r="E26" s="1">
        <v>0</v>
      </c>
      <c r="F26" s="1">
        <v>0</v>
      </c>
      <c r="G26" s="1">
        <v>0</v>
      </c>
      <c r="H26" s="1">
        <f>SUM(テーブル13[[#This Row],[ケアレスミス]:[解釈]])</f>
        <v>0</v>
      </c>
      <c r="I26" s="1">
        <v>0</v>
      </c>
    </row>
    <row r="27" spans="1:9" x14ac:dyDescent="0.55000000000000004">
      <c r="A27" s="48" t="s">
        <v>249</v>
      </c>
      <c r="B27" s="62" t="s">
        <v>224</v>
      </c>
      <c r="C27" s="38" t="s">
        <v>29</v>
      </c>
      <c r="D27" s="39">
        <v>1</v>
      </c>
      <c r="E27" s="1">
        <v>1</v>
      </c>
      <c r="F27" s="1">
        <v>0</v>
      </c>
      <c r="G27" s="1">
        <v>0</v>
      </c>
      <c r="H27" s="1">
        <f>SUM(テーブル13[[#This Row],[ケアレスミス]:[解釈]])</f>
        <v>2</v>
      </c>
      <c r="I27" s="1">
        <v>0</v>
      </c>
    </row>
    <row r="28" spans="1:9" x14ac:dyDescent="0.55000000000000004">
      <c r="A28" s="48" t="s">
        <v>250</v>
      </c>
      <c r="B28" s="62" t="s">
        <v>224</v>
      </c>
      <c r="C28" s="38" t="s">
        <v>29</v>
      </c>
      <c r="D28" s="39">
        <v>2</v>
      </c>
      <c r="E28" s="1">
        <v>0</v>
      </c>
      <c r="F28" s="1">
        <v>0</v>
      </c>
      <c r="G28" s="1">
        <v>0</v>
      </c>
      <c r="H28" s="1">
        <f>SUM(テーブル13[[#This Row],[ケアレスミス]:[解釈]])</f>
        <v>2</v>
      </c>
      <c r="I28" s="1">
        <v>0</v>
      </c>
    </row>
    <row r="29" spans="1:9" x14ac:dyDescent="0.55000000000000004">
      <c r="A29" s="48" t="s">
        <v>251</v>
      </c>
      <c r="B29" s="62" t="s">
        <v>225</v>
      </c>
      <c r="C29" s="38" t="s">
        <v>28</v>
      </c>
      <c r="D29" s="39">
        <v>0</v>
      </c>
      <c r="E29" s="1">
        <v>0</v>
      </c>
      <c r="F29" s="1">
        <v>0</v>
      </c>
      <c r="G29" s="1">
        <v>0</v>
      </c>
      <c r="H29" s="1">
        <f>SUM(テーブル13[[#This Row],[ケアレスミス]:[解釈]])</f>
        <v>0</v>
      </c>
      <c r="I29" s="1">
        <v>0</v>
      </c>
    </row>
    <row r="30" spans="1:9" x14ac:dyDescent="0.55000000000000004">
      <c r="A30" s="48" t="s">
        <v>252</v>
      </c>
      <c r="B30" s="62" t="s">
        <v>226</v>
      </c>
      <c r="C30" s="38" t="s">
        <v>27</v>
      </c>
      <c r="D30" s="39">
        <v>0</v>
      </c>
      <c r="E30" s="1">
        <v>0</v>
      </c>
      <c r="F30" s="1">
        <v>0</v>
      </c>
      <c r="G30" s="1">
        <v>0</v>
      </c>
      <c r="H30" s="1">
        <f>SUM(テーブル13[[#This Row],[ケアレスミス]:[解釈]])</f>
        <v>0</v>
      </c>
      <c r="I30" s="1">
        <v>0</v>
      </c>
    </row>
    <row r="31" spans="1:9" x14ac:dyDescent="0.55000000000000004">
      <c r="A31" s="48" t="s">
        <v>253</v>
      </c>
      <c r="B31" s="62" t="s">
        <v>224</v>
      </c>
      <c r="C31" s="38" t="s">
        <v>36</v>
      </c>
      <c r="D31" s="39">
        <v>3</v>
      </c>
      <c r="E31" s="1">
        <v>0</v>
      </c>
      <c r="F31" s="1">
        <v>0</v>
      </c>
      <c r="G31" s="1">
        <v>0</v>
      </c>
      <c r="H31" s="1">
        <f>SUM(テーブル13[[#This Row],[ケアレスミス]:[解釈]])</f>
        <v>3</v>
      </c>
      <c r="I31" s="1">
        <v>0</v>
      </c>
    </row>
    <row r="32" spans="1:9" x14ac:dyDescent="0.55000000000000004">
      <c r="A32" s="48" t="s">
        <v>254</v>
      </c>
      <c r="B32" s="62" t="s">
        <v>225</v>
      </c>
      <c r="C32" s="38" t="s">
        <v>29</v>
      </c>
      <c r="D32" s="39">
        <v>0</v>
      </c>
      <c r="E32" s="1">
        <v>0</v>
      </c>
      <c r="F32" s="1">
        <v>0</v>
      </c>
      <c r="G32" s="1">
        <v>0</v>
      </c>
      <c r="H32" s="1">
        <f>SUM(テーブル13[[#This Row],[ケアレスミス]:[解釈]])</f>
        <v>0</v>
      </c>
      <c r="I32" s="1">
        <v>0</v>
      </c>
    </row>
    <row r="33" spans="1:10" x14ac:dyDescent="0.55000000000000004">
      <c r="A33" s="48" t="s">
        <v>255</v>
      </c>
      <c r="B33" s="48" t="s">
        <v>226</v>
      </c>
      <c r="C33" s="2" t="s">
        <v>28</v>
      </c>
      <c r="D33" s="1">
        <v>5</v>
      </c>
      <c r="E33" s="1">
        <v>0</v>
      </c>
      <c r="F33" s="1">
        <v>0</v>
      </c>
      <c r="G33" s="1">
        <v>0</v>
      </c>
      <c r="H33" s="1">
        <f>SUM(テーブル13[[#This Row],[ケアレスミス]:[解釈]])</f>
        <v>5</v>
      </c>
      <c r="I33" s="1">
        <v>0</v>
      </c>
    </row>
    <row r="34" spans="1:10" x14ac:dyDescent="0.55000000000000004">
      <c r="A34" s="48" t="s">
        <v>256</v>
      </c>
      <c r="B34" s="48" t="s">
        <v>224</v>
      </c>
      <c r="C34" s="2" t="s">
        <v>27</v>
      </c>
      <c r="D34" s="1">
        <v>0</v>
      </c>
      <c r="E34" s="1">
        <v>0</v>
      </c>
      <c r="F34" s="1">
        <v>0</v>
      </c>
      <c r="G34" s="1">
        <v>0</v>
      </c>
      <c r="H34" s="1">
        <f>SUM(テーブル13[[#This Row],[ケアレスミス]:[解釈]])</f>
        <v>0</v>
      </c>
      <c r="I34" s="1">
        <v>0</v>
      </c>
    </row>
    <row r="35" spans="1:10" x14ac:dyDescent="0.55000000000000004">
      <c r="A35" s="48" t="s">
        <v>257</v>
      </c>
      <c r="B35" s="48" t="s">
        <v>225</v>
      </c>
      <c r="C35" s="2" t="s">
        <v>28</v>
      </c>
      <c r="D35" s="1">
        <v>0</v>
      </c>
      <c r="E35" s="1">
        <v>0</v>
      </c>
      <c r="F35" s="1">
        <v>0</v>
      </c>
      <c r="G35" s="1">
        <v>0</v>
      </c>
      <c r="H35" s="1">
        <f>SUM(テーブル13[[#This Row],[ケアレスミス]:[解釈]])</f>
        <v>0</v>
      </c>
      <c r="I35" s="1">
        <v>0</v>
      </c>
    </row>
    <row r="36" spans="1:10" x14ac:dyDescent="0.55000000000000004">
      <c r="A36" s="48" t="s">
        <v>258</v>
      </c>
      <c r="B36" s="48" t="s">
        <v>226</v>
      </c>
      <c r="C36" s="2" t="s">
        <v>29</v>
      </c>
      <c r="D36" s="1">
        <v>2</v>
      </c>
      <c r="E36" s="1">
        <v>0</v>
      </c>
      <c r="F36" s="1">
        <v>0</v>
      </c>
      <c r="G36" s="1">
        <v>0</v>
      </c>
      <c r="H36" s="1">
        <f>SUM(テーブル13[[#This Row],[ケアレスミス]:[解釈]])</f>
        <v>2</v>
      </c>
      <c r="I36" s="1">
        <v>0</v>
      </c>
      <c r="J36" t="s">
        <v>340</v>
      </c>
    </row>
    <row r="37" spans="1:10" x14ac:dyDescent="0.55000000000000004">
      <c r="A37" s="48" t="s">
        <v>259</v>
      </c>
      <c r="B37" s="48" t="s">
        <v>224</v>
      </c>
      <c r="C37" s="2" t="s">
        <v>29</v>
      </c>
      <c r="D37" s="1">
        <v>0</v>
      </c>
      <c r="E37" s="1">
        <v>0</v>
      </c>
      <c r="F37" s="1">
        <v>0</v>
      </c>
      <c r="G37" s="1">
        <v>0</v>
      </c>
      <c r="H37" s="1">
        <f>SUM(テーブル13[[#This Row],[ケアレスミス]:[解釈]])</f>
        <v>0</v>
      </c>
      <c r="I37" s="1">
        <v>0</v>
      </c>
    </row>
    <row r="38" spans="1:10" x14ac:dyDescent="0.55000000000000004">
      <c r="A38" s="48" t="s">
        <v>260</v>
      </c>
      <c r="B38" s="48" t="s">
        <v>224</v>
      </c>
      <c r="C38" s="2" t="s">
        <v>36</v>
      </c>
      <c r="D38" s="1">
        <v>2</v>
      </c>
      <c r="E38" s="1">
        <v>0</v>
      </c>
      <c r="F38" s="1">
        <v>0</v>
      </c>
      <c r="G38" s="1">
        <v>0</v>
      </c>
      <c r="H38" s="1">
        <f>SUM(テーブル13[[#This Row],[ケアレスミス]:[解釈]])</f>
        <v>2</v>
      </c>
      <c r="I38" s="1">
        <v>0</v>
      </c>
      <c r="J38" t="s">
        <v>91</v>
      </c>
    </row>
    <row r="39" spans="1:10" x14ac:dyDescent="0.55000000000000004">
      <c r="A39" s="48" t="s">
        <v>261</v>
      </c>
      <c r="B39" s="48" t="s">
        <v>225</v>
      </c>
      <c r="C39" s="2" t="s">
        <v>27</v>
      </c>
      <c r="D39" s="1">
        <v>0</v>
      </c>
      <c r="E39" s="1">
        <v>0</v>
      </c>
      <c r="F39" s="1">
        <v>0</v>
      </c>
      <c r="G39" s="1">
        <v>0</v>
      </c>
      <c r="H39" s="1">
        <f>SUM(テーブル13[[#This Row],[ケアレスミス]:[解釈]])</f>
        <v>0</v>
      </c>
      <c r="I39" s="1">
        <v>0</v>
      </c>
    </row>
    <row r="40" spans="1:10" x14ac:dyDescent="0.55000000000000004">
      <c r="A40" s="48" t="s">
        <v>262</v>
      </c>
      <c r="B40" s="48" t="s">
        <v>226</v>
      </c>
      <c r="C40" s="2" t="s">
        <v>28</v>
      </c>
      <c r="D40" s="1">
        <v>7</v>
      </c>
      <c r="E40" s="1">
        <v>0</v>
      </c>
      <c r="F40" s="1">
        <v>0</v>
      </c>
      <c r="G40" s="1">
        <v>0</v>
      </c>
      <c r="H40" s="1">
        <f>SUM(テーブル13[[#This Row],[ケアレスミス]:[解釈]])</f>
        <v>7</v>
      </c>
      <c r="I40" s="1">
        <v>0</v>
      </c>
    </row>
    <row r="41" spans="1:10" x14ac:dyDescent="0.55000000000000004">
      <c r="A41" s="48" t="s">
        <v>263</v>
      </c>
      <c r="B41" s="48" t="s">
        <v>224</v>
      </c>
      <c r="C41" s="2" t="s">
        <v>28</v>
      </c>
      <c r="D41" s="1">
        <v>2</v>
      </c>
      <c r="E41" s="1">
        <v>0</v>
      </c>
      <c r="F41" s="1">
        <v>0</v>
      </c>
      <c r="G41" s="1">
        <v>0</v>
      </c>
      <c r="H41" s="1">
        <f>SUM(テーブル13[[#This Row],[ケアレスミス]:[解釈]])</f>
        <v>2</v>
      </c>
      <c r="I41" s="1">
        <v>0</v>
      </c>
      <c r="J41" t="s">
        <v>91</v>
      </c>
    </row>
    <row r="42" spans="1:10" x14ac:dyDescent="0.55000000000000004">
      <c r="A42" s="48" t="s">
        <v>264</v>
      </c>
      <c r="B42" s="48" t="s">
        <v>225</v>
      </c>
      <c r="C42" s="2" t="s">
        <v>29</v>
      </c>
      <c r="D42" s="1">
        <v>0</v>
      </c>
      <c r="E42" s="1">
        <v>0</v>
      </c>
      <c r="F42" s="1">
        <v>0</v>
      </c>
      <c r="G42" s="1">
        <v>0</v>
      </c>
      <c r="H42" s="1">
        <f>SUM(テーブル13[[#This Row],[ケアレスミス]:[解釈]])</f>
        <v>0</v>
      </c>
      <c r="I42" s="1">
        <v>0</v>
      </c>
    </row>
    <row r="43" spans="1:10" x14ac:dyDescent="0.55000000000000004">
      <c r="A43" s="48" t="s">
        <v>265</v>
      </c>
      <c r="B43" s="48" t="s">
        <v>226</v>
      </c>
      <c r="C43" s="2" t="s">
        <v>27</v>
      </c>
      <c r="D43" s="1">
        <v>0</v>
      </c>
      <c r="E43" s="1">
        <v>0</v>
      </c>
      <c r="F43" s="1">
        <v>0</v>
      </c>
      <c r="G43" s="1">
        <v>0</v>
      </c>
      <c r="H43" s="1">
        <f>SUM(テーブル13[[#This Row],[ケアレスミス]:[解釈]])</f>
        <v>0</v>
      </c>
      <c r="I43" s="1">
        <v>0</v>
      </c>
    </row>
    <row r="44" spans="1:10" x14ac:dyDescent="0.55000000000000004">
      <c r="A44" s="48" t="s">
        <v>266</v>
      </c>
      <c r="B44" s="48" t="s">
        <v>224</v>
      </c>
      <c r="C44" s="2" t="s">
        <v>29</v>
      </c>
      <c r="D44" s="1">
        <v>1</v>
      </c>
      <c r="E44" s="1">
        <v>0</v>
      </c>
      <c r="F44" s="1">
        <v>0</v>
      </c>
      <c r="G44" s="1">
        <v>0</v>
      </c>
      <c r="H44" s="1">
        <f>SUM(テーブル13[[#This Row],[ケアレスミス]:[解釈]])</f>
        <v>1</v>
      </c>
      <c r="I44" s="1">
        <v>0</v>
      </c>
    </row>
    <row r="45" spans="1:10" x14ac:dyDescent="0.55000000000000004">
      <c r="A45" s="48" t="s">
        <v>267</v>
      </c>
      <c r="B45" s="48" t="s">
        <v>224</v>
      </c>
      <c r="C45" s="2" t="s">
        <v>36</v>
      </c>
      <c r="D45" s="1">
        <v>0</v>
      </c>
      <c r="E45" s="1">
        <v>0</v>
      </c>
      <c r="F45" s="1">
        <v>0</v>
      </c>
      <c r="G45" s="1">
        <v>0</v>
      </c>
      <c r="H45" s="1">
        <f>SUM(テーブル13[[#This Row],[ケアレスミス]:[解釈]])</f>
        <v>0</v>
      </c>
      <c r="I45" s="1">
        <v>0</v>
      </c>
    </row>
    <row r="46" spans="1:10" x14ac:dyDescent="0.55000000000000004">
      <c r="A46" s="48" t="s">
        <v>268</v>
      </c>
      <c r="B46" s="62" t="s">
        <v>225</v>
      </c>
      <c r="C46" s="38" t="s">
        <v>28</v>
      </c>
      <c r="D46" s="39">
        <v>0</v>
      </c>
      <c r="E46" s="1">
        <v>0</v>
      </c>
      <c r="F46" s="1">
        <v>0</v>
      </c>
      <c r="G46" s="1">
        <v>0</v>
      </c>
      <c r="H46" s="1">
        <f>SUM(テーブル13[[#This Row],[ケアレスミス]:[解釈]])</f>
        <v>0</v>
      </c>
      <c r="I46" s="1">
        <v>0</v>
      </c>
    </row>
    <row r="47" spans="1:10" x14ac:dyDescent="0.55000000000000004">
      <c r="A47" s="48" t="s">
        <v>269</v>
      </c>
      <c r="B47" s="62" t="s">
        <v>226</v>
      </c>
      <c r="C47" s="38" t="s">
        <v>29</v>
      </c>
      <c r="D47" s="39">
        <v>0</v>
      </c>
      <c r="E47" s="1">
        <v>0</v>
      </c>
      <c r="F47" s="1">
        <v>0</v>
      </c>
      <c r="G47" s="1">
        <v>0</v>
      </c>
      <c r="H47" s="1">
        <f>SUM(テーブル13[[#This Row],[ケアレスミス]:[解釈]])</f>
        <v>0</v>
      </c>
      <c r="I47" s="1">
        <v>0</v>
      </c>
    </row>
    <row r="48" spans="1:10" x14ac:dyDescent="0.55000000000000004">
      <c r="A48" s="48" t="s">
        <v>270</v>
      </c>
      <c r="B48" s="62" t="s">
        <v>224</v>
      </c>
      <c r="C48" s="38" t="s">
        <v>29</v>
      </c>
      <c r="D48" s="39">
        <v>1</v>
      </c>
      <c r="E48" s="1">
        <v>0</v>
      </c>
      <c r="F48" s="1">
        <v>0</v>
      </c>
      <c r="G48" s="1">
        <v>0</v>
      </c>
      <c r="H48" s="1">
        <f>SUM(テーブル13[[#This Row],[ケアレスミス]:[解釈]])</f>
        <v>1</v>
      </c>
      <c r="I48" s="1">
        <v>0</v>
      </c>
    </row>
    <row r="49" spans="1:10" x14ac:dyDescent="0.55000000000000004">
      <c r="A49" s="48" t="s">
        <v>271</v>
      </c>
      <c r="B49" s="48" t="s">
        <v>225</v>
      </c>
      <c r="C49" s="2" t="s">
        <v>36</v>
      </c>
      <c r="D49" s="1">
        <v>2</v>
      </c>
      <c r="E49" s="1">
        <v>0</v>
      </c>
      <c r="F49" s="1">
        <v>0</v>
      </c>
      <c r="G49" s="1">
        <v>0</v>
      </c>
      <c r="H49" s="1">
        <f>SUM(テーブル13[[#This Row],[ケアレスミス]:[解釈]])</f>
        <v>2</v>
      </c>
      <c r="I49" s="1">
        <v>0</v>
      </c>
      <c r="J49" t="s">
        <v>91</v>
      </c>
    </row>
    <row r="50" spans="1:10" x14ac:dyDescent="0.55000000000000004">
      <c r="A50" s="48" t="s">
        <v>272</v>
      </c>
      <c r="B50" s="48" t="s">
        <v>226</v>
      </c>
      <c r="C50" s="2" t="s">
        <v>28</v>
      </c>
      <c r="D50" s="1">
        <v>0</v>
      </c>
      <c r="E50" s="1">
        <v>2</v>
      </c>
      <c r="F50" s="1">
        <v>0</v>
      </c>
      <c r="G50" s="1">
        <v>0</v>
      </c>
      <c r="H50" s="1">
        <f>SUM(テーブル13[[#This Row],[ケアレスミス]:[解釈]])</f>
        <v>2</v>
      </c>
      <c r="I50" s="1">
        <v>0</v>
      </c>
    </row>
    <row r="51" spans="1:10" x14ac:dyDescent="0.55000000000000004">
      <c r="A51" s="48" t="s">
        <v>273</v>
      </c>
      <c r="B51" s="48" t="s">
        <v>224</v>
      </c>
      <c r="C51" s="2" t="s">
        <v>29</v>
      </c>
      <c r="D51" s="1">
        <v>0</v>
      </c>
      <c r="E51" s="1">
        <v>0</v>
      </c>
      <c r="F51" s="1">
        <v>0</v>
      </c>
      <c r="G51" s="1">
        <v>0</v>
      </c>
      <c r="H51" s="1">
        <f>SUM(テーブル13[[#This Row],[ケアレスミス]:[解釈]])</f>
        <v>0</v>
      </c>
      <c r="I51" s="1">
        <v>0</v>
      </c>
    </row>
    <row r="52" spans="1:10" x14ac:dyDescent="0.55000000000000004">
      <c r="A52" s="48" t="s">
        <v>274</v>
      </c>
      <c r="B52" s="48" t="s">
        <v>225</v>
      </c>
      <c r="C52" s="2" t="s">
        <v>36</v>
      </c>
      <c r="D52" s="1">
        <v>2</v>
      </c>
      <c r="E52" s="1">
        <v>0</v>
      </c>
      <c r="F52" s="1">
        <v>0</v>
      </c>
      <c r="G52" s="1">
        <v>0</v>
      </c>
      <c r="H52" s="1">
        <f>SUM(テーブル13[[#This Row],[ケアレスミス]:[解釈]])</f>
        <v>2</v>
      </c>
      <c r="I52" s="1">
        <v>0</v>
      </c>
    </row>
    <row r="53" spans="1:10" x14ac:dyDescent="0.55000000000000004">
      <c r="A53" s="48" t="s">
        <v>275</v>
      </c>
      <c r="B53" s="48" t="s">
        <v>226</v>
      </c>
      <c r="C53" s="2" t="s">
        <v>28</v>
      </c>
      <c r="D53" s="1">
        <v>2</v>
      </c>
      <c r="E53" s="1">
        <v>0</v>
      </c>
      <c r="F53" s="1">
        <v>0</v>
      </c>
      <c r="G53" s="1">
        <v>0</v>
      </c>
      <c r="H53" s="1">
        <f>SUM(テーブル13[[#This Row],[ケアレスミス]:[解釈]])</f>
        <v>2</v>
      </c>
      <c r="I53" s="1">
        <v>0</v>
      </c>
    </row>
    <row r="54" spans="1:10" x14ac:dyDescent="0.55000000000000004">
      <c r="A54" s="48" t="s">
        <v>276</v>
      </c>
      <c r="B54" s="48" t="s">
        <v>224</v>
      </c>
      <c r="C54" s="2" t="s">
        <v>29</v>
      </c>
      <c r="D54" s="1">
        <v>0</v>
      </c>
      <c r="E54" s="1">
        <v>0</v>
      </c>
      <c r="F54" s="1">
        <v>0</v>
      </c>
      <c r="G54" s="1">
        <v>0</v>
      </c>
      <c r="H54" s="1">
        <f>SUM(テーブル13[[#This Row],[ケアレスミス]:[解釈]])</f>
        <v>0</v>
      </c>
      <c r="I54" s="1">
        <v>0</v>
      </c>
    </row>
    <row r="55" spans="1:10" x14ac:dyDescent="0.55000000000000004">
      <c r="A55" s="48" t="s">
        <v>277</v>
      </c>
      <c r="B55" s="34" t="s">
        <v>224</v>
      </c>
      <c r="C55" s="2" t="s">
        <v>27</v>
      </c>
      <c r="D55" s="1">
        <v>0</v>
      </c>
      <c r="E55" s="1">
        <v>0</v>
      </c>
      <c r="F55" s="1">
        <v>0</v>
      </c>
      <c r="G55" s="1">
        <v>0</v>
      </c>
      <c r="H55" s="1">
        <f>SUM(テーブル13[[#This Row],[ケアレスミス]:[解釈]])</f>
        <v>0</v>
      </c>
      <c r="I55" s="1">
        <v>0</v>
      </c>
    </row>
    <row r="56" spans="1:10" x14ac:dyDescent="0.55000000000000004">
      <c r="A56" s="48" t="s">
        <v>278</v>
      </c>
      <c r="B56" s="34" t="s">
        <v>225</v>
      </c>
      <c r="C56" s="2" t="s">
        <v>36</v>
      </c>
      <c r="D56" s="1">
        <v>2</v>
      </c>
      <c r="E56" s="1">
        <v>0</v>
      </c>
      <c r="F56" s="1">
        <v>0</v>
      </c>
      <c r="G56" s="1">
        <v>0</v>
      </c>
      <c r="H56" s="1">
        <f>SUM(テーブル13[[#This Row],[ケアレスミス]:[解釈]])</f>
        <v>2</v>
      </c>
      <c r="I56" s="1">
        <v>0</v>
      </c>
    </row>
    <row r="57" spans="1:10" x14ac:dyDescent="0.55000000000000004">
      <c r="A57" s="48" t="s">
        <v>279</v>
      </c>
      <c r="B57" s="34" t="s">
        <v>226</v>
      </c>
      <c r="C57" s="2" t="s">
        <v>29</v>
      </c>
      <c r="D57" s="1">
        <v>4</v>
      </c>
      <c r="E57" s="1">
        <v>0</v>
      </c>
      <c r="F57" s="1">
        <v>0</v>
      </c>
      <c r="G57" s="1">
        <v>0</v>
      </c>
      <c r="H57" s="1">
        <f>SUM(テーブル13[[#This Row],[ケアレスミス]:[解釈]])</f>
        <v>4</v>
      </c>
      <c r="I57" s="1">
        <v>0</v>
      </c>
    </row>
    <row r="58" spans="1:10" x14ac:dyDescent="0.55000000000000004">
      <c r="A58" s="48" t="s">
        <v>280</v>
      </c>
      <c r="B58" s="34" t="s">
        <v>224</v>
      </c>
      <c r="C58" s="2" t="s">
        <v>27</v>
      </c>
      <c r="D58" s="1">
        <v>0</v>
      </c>
      <c r="E58" s="1">
        <v>0</v>
      </c>
      <c r="F58" s="1">
        <v>0</v>
      </c>
      <c r="G58" s="1">
        <v>0</v>
      </c>
      <c r="H58" s="1">
        <f>SUM(テーブル13[[#This Row],[ケアレスミス]:[解釈]])</f>
        <v>0</v>
      </c>
      <c r="I58" s="1">
        <v>0</v>
      </c>
    </row>
    <row r="59" spans="1:10" x14ac:dyDescent="0.55000000000000004">
      <c r="A59" s="48" t="s">
        <v>341</v>
      </c>
      <c r="B59" s="34" t="s">
        <v>224</v>
      </c>
      <c r="C59" s="2" t="s">
        <v>27</v>
      </c>
      <c r="D59" s="1">
        <v>0</v>
      </c>
      <c r="E59" s="1">
        <v>0</v>
      </c>
      <c r="F59" s="1">
        <v>0</v>
      </c>
      <c r="G59" s="1">
        <v>0</v>
      </c>
      <c r="H59" s="1">
        <f>SUM(テーブル13[[#This Row],[ケアレスミス]:[解釈]])</f>
        <v>0</v>
      </c>
      <c r="I59" s="1">
        <v>0</v>
      </c>
    </row>
    <row r="60" spans="1:10" x14ac:dyDescent="0.55000000000000004">
      <c r="A60" s="48" t="s">
        <v>375</v>
      </c>
      <c r="B60" s="70" t="s">
        <v>378</v>
      </c>
      <c r="C60" s="2" t="s">
        <v>29</v>
      </c>
      <c r="D60" s="1">
        <v>0</v>
      </c>
      <c r="E60" s="1">
        <v>0</v>
      </c>
      <c r="F60" s="1">
        <v>0</v>
      </c>
      <c r="G60" s="1">
        <v>0</v>
      </c>
      <c r="H60" s="1">
        <f>SUM(テーブル13[[#This Row],[ケアレスミス]:[解釈]])</f>
        <v>0</v>
      </c>
      <c r="I60" s="1">
        <v>0</v>
      </c>
    </row>
    <row r="61" spans="1:10" x14ac:dyDescent="0.55000000000000004">
      <c r="A61" s="48" t="s">
        <v>376</v>
      </c>
      <c r="B61" s="70" t="s">
        <v>379</v>
      </c>
      <c r="C61" s="2" t="s">
        <v>28</v>
      </c>
      <c r="D61" s="1">
        <v>1</v>
      </c>
      <c r="E61" s="1">
        <v>0</v>
      </c>
      <c r="F61" s="1">
        <v>0</v>
      </c>
      <c r="G61" s="1">
        <v>0</v>
      </c>
      <c r="H61" s="1">
        <f>SUM(テーブル13[[#This Row],[ケアレスミス]:[解釈]])</f>
        <v>1</v>
      </c>
      <c r="I61" s="1">
        <v>0</v>
      </c>
    </row>
    <row r="62" spans="1:10" x14ac:dyDescent="0.55000000000000004">
      <c r="A62" s="48" t="s">
        <v>377</v>
      </c>
      <c r="B62" s="70" t="s">
        <v>380</v>
      </c>
      <c r="C62" s="2" t="s">
        <v>36</v>
      </c>
      <c r="D62" s="1">
        <v>1</v>
      </c>
      <c r="E62" s="1">
        <v>0</v>
      </c>
      <c r="F62" s="1">
        <v>0</v>
      </c>
      <c r="G62" s="1">
        <v>0</v>
      </c>
      <c r="H62" s="1">
        <f>SUM(テーブル13[[#This Row],[ケアレスミス]:[解釈]])</f>
        <v>1</v>
      </c>
      <c r="I62" s="1">
        <v>0</v>
      </c>
    </row>
    <row r="63" spans="1:10" x14ac:dyDescent="0.55000000000000004">
      <c r="A63" s="48" t="s">
        <v>385</v>
      </c>
      <c r="B63" s="70" t="s">
        <v>384</v>
      </c>
      <c r="C63" s="2" t="s">
        <v>27</v>
      </c>
      <c r="D63" s="1">
        <v>0</v>
      </c>
      <c r="E63" s="1">
        <v>0</v>
      </c>
      <c r="F63" s="1">
        <v>0</v>
      </c>
      <c r="G63" s="1">
        <v>0</v>
      </c>
      <c r="H63" s="1">
        <f>SUM(テーブル13[[#This Row],[ケアレスミス]:[解釈]])</f>
        <v>0</v>
      </c>
      <c r="I63" s="1">
        <v>0</v>
      </c>
    </row>
    <row r="64" spans="1:10" x14ac:dyDescent="0.55000000000000004">
      <c r="A64" s="48" t="s">
        <v>386</v>
      </c>
      <c r="B64" s="70" t="s">
        <v>388</v>
      </c>
      <c r="C64" s="2" t="s">
        <v>29</v>
      </c>
      <c r="D64" s="1">
        <v>0</v>
      </c>
      <c r="E64" s="1">
        <v>1</v>
      </c>
      <c r="F64" s="1">
        <v>0</v>
      </c>
      <c r="G64" s="1">
        <v>0</v>
      </c>
      <c r="H64" s="1">
        <f>SUM(テーブル13[[#This Row],[ケアレスミス]:[解釈]])</f>
        <v>1</v>
      </c>
      <c r="I64" s="1">
        <v>0</v>
      </c>
    </row>
    <row r="65" spans="1:9" x14ac:dyDescent="0.55000000000000004">
      <c r="A65" s="48" t="s">
        <v>387</v>
      </c>
      <c r="B65" s="70" t="s">
        <v>226</v>
      </c>
      <c r="C65" s="2" t="s">
        <v>36</v>
      </c>
      <c r="D65" s="1">
        <v>1</v>
      </c>
      <c r="E65" s="1">
        <v>0</v>
      </c>
      <c r="F65" s="1">
        <v>0</v>
      </c>
      <c r="G65" s="1">
        <v>0</v>
      </c>
      <c r="H65" s="1">
        <f>SUM(テーブル13[[#This Row],[ケアレスミス]:[解釈]])</f>
        <v>1</v>
      </c>
      <c r="I65" s="1">
        <v>0</v>
      </c>
    </row>
    <row r="66" spans="1:9" x14ac:dyDescent="0.55000000000000004">
      <c r="A66" s="48" t="s">
        <v>437</v>
      </c>
      <c r="B66" s="70" t="s">
        <v>224</v>
      </c>
      <c r="C66" s="2" t="s">
        <v>330</v>
      </c>
      <c r="D66" s="1"/>
      <c r="E66" s="1"/>
      <c r="F66" s="1"/>
      <c r="G66" s="1"/>
      <c r="H66" s="1">
        <f>SUM(テーブル13[[#This Row],[ケアレスミス]:[解釈]])</f>
        <v>0</v>
      </c>
      <c r="I66" s="1"/>
    </row>
    <row r="67" spans="1:9" x14ac:dyDescent="0.55000000000000004">
      <c r="A67" s="48" t="s">
        <v>438</v>
      </c>
      <c r="B67" s="70"/>
      <c r="C67" s="2"/>
      <c r="D67" s="1"/>
      <c r="E67" s="1"/>
      <c r="F67" s="1"/>
      <c r="G67" s="1"/>
      <c r="H67" s="1">
        <f>SUM(テーブル13[[#This Row],[ケアレスミス]:[解釈]])</f>
        <v>0</v>
      </c>
      <c r="I67" s="1"/>
    </row>
    <row r="68" spans="1:9" x14ac:dyDescent="0.55000000000000004">
      <c r="A68" s="48" t="s">
        <v>439</v>
      </c>
      <c r="B68" s="70"/>
      <c r="C68" s="2"/>
      <c r="D68" s="1"/>
      <c r="E68" s="1"/>
      <c r="F68" s="1"/>
      <c r="G68" s="1"/>
      <c r="H68" s="1">
        <f>SUM(テーブル13[[#This Row],[ケアレスミス]:[解釈]])</f>
        <v>0</v>
      </c>
      <c r="I68" s="1"/>
    </row>
    <row r="69" spans="1:9" x14ac:dyDescent="0.55000000000000004">
      <c r="A69" s="48"/>
      <c r="B69" s="70"/>
      <c r="C69" s="2"/>
      <c r="D69" s="1"/>
      <c r="E69" s="1"/>
      <c r="F69" s="1"/>
      <c r="G69" s="1"/>
      <c r="H69" s="1">
        <f>SUM(テーブル13[[#This Row],[ケアレスミス]:[解釈]])</f>
        <v>0</v>
      </c>
      <c r="I69" s="1"/>
    </row>
    <row r="70" spans="1:9" x14ac:dyDescent="0.55000000000000004">
      <c r="A70" s="41" t="s">
        <v>86</v>
      </c>
      <c r="B70" s="41"/>
      <c r="C70" s="38"/>
      <c r="D70" s="39">
        <f>SUBTOTAL(109,テーブル13[ケアレスミス])</f>
        <v>57</v>
      </c>
      <c r="E70" s="1">
        <f>SUBTOTAL(109,テーブル13[解釈])</f>
        <v>6</v>
      </c>
      <c r="F70" s="1">
        <f>SUBTOTAL(109,テーブル13[マニュアル])</f>
        <v>0</v>
      </c>
      <c r="G70" s="1">
        <f>SUBTOTAL(109,テーブル13[その他])</f>
        <v>0</v>
      </c>
      <c r="H70" s="1">
        <f>SUBTOTAL(109,テーブル13[FB数合計])</f>
        <v>63</v>
      </c>
      <c r="I70" s="1">
        <f>SUBTOTAL(109,テーブル13[インシデント])</f>
        <v>1</v>
      </c>
    </row>
  </sheetData>
  <phoneticPr fontId="1"/>
  <pageMargins left="0.7" right="0.7" top="0.75" bottom="0.75" header="0.3" footer="0.3"/>
  <ignoredErrors>
    <ignoredError sqref="A4:A65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C1F250-D7AF-490D-A556-F9799B1218AA}">
          <x14:formula1>
            <xm:f>メンバー!$B$3:$B$20</xm:f>
          </x14:formula1>
          <xm:sqref>C4:C69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094D2-7ED2-4278-A577-21CB36F46966}">
  <sheetPr codeName="Sheet26"/>
  <dimension ref="B3:W169"/>
  <sheetViews>
    <sheetView topLeftCell="B18" workbookViewId="0">
      <selection activeCell="G4" sqref="G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471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330</v>
      </c>
      <c r="C33" s="1">
        <v>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329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40" spans="2:18" x14ac:dyDescent="0.55000000000000004">
      <c r="B40" s="43" t="s">
        <v>472</v>
      </c>
    </row>
    <row r="60" spans="2:23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  <c r="S60" s="44">
        <v>45870</v>
      </c>
      <c r="T60" s="44">
        <v>45536</v>
      </c>
      <c r="U60" s="44">
        <v>45566</v>
      </c>
      <c r="V60" s="44">
        <v>45597</v>
      </c>
      <c r="W60" s="44">
        <v>45627</v>
      </c>
    </row>
    <row r="61" spans="2:23" x14ac:dyDescent="0.55000000000000004">
      <c r="B61" s="1" t="s">
        <v>39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55000000000000004">
      <c r="B62" s="1" t="s">
        <v>28</v>
      </c>
      <c r="C62" s="1">
        <v>0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55000000000000004">
      <c r="B63" s="1" t="s">
        <v>66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55000000000000004">
      <c r="B64" s="1" t="s">
        <v>68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55000000000000004">
      <c r="B65" s="1" t="s">
        <v>27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55000000000000004">
      <c r="B66" s="1" t="s">
        <v>330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55000000000000004">
      <c r="B67" s="1" t="s">
        <v>329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72" spans="2:23" x14ac:dyDescent="0.55000000000000004">
      <c r="B72" s="43" t="s">
        <v>473</v>
      </c>
    </row>
    <row r="73" spans="2:23" x14ac:dyDescent="0.55000000000000004">
      <c r="B73" s="43"/>
    </row>
    <row r="74" spans="2:23" x14ac:dyDescent="0.55000000000000004">
      <c r="B74" s="43"/>
    </row>
    <row r="75" spans="2:23" x14ac:dyDescent="0.55000000000000004">
      <c r="B75" s="43"/>
    </row>
    <row r="76" spans="2:23" x14ac:dyDescent="0.55000000000000004">
      <c r="B76" s="43"/>
    </row>
    <row r="77" spans="2:23" x14ac:dyDescent="0.55000000000000004">
      <c r="B77" s="43"/>
    </row>
    <row r="78" spans="2:23" x14ac:dyDescent="0.55000000000000004">
      <c r="B78" s="43"/>
    </row>
    <row r="79" spans="2:23" x14ac:dyDescent="0.55000000000000004">
      <c r="B79" s="43"/>
    </row>
    <row r="80" spans="2:23" x14ac:dyDescent="0.55000000000000004">
      <c r="B80" s="43"/>
    </row>
    <row r="81" spans="2:19" x14ac:dyDescent="0.55000000000000004">
      <c r="B81" s="43"/>
    </row>
    <row r="82" spans="2:19" x14ac:dyDescent="0.55000000000000004">
      <c r="B82" s="43"/>
    </row>
    <row r="83" spans="2:19" x14ac:dyDescent="0.55000000000000004">
      <c r="B83" s="43"/>
    </row>
    <row r="84" spans="2:19" x14ac:dyDescent="0.55000000000000004">
      <c r="B84" s="43"/>
    </row>
    <row r="94" spans="2:19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9" x14ac:dyDescent="0.55000000000000004">
      <c r="B95" s="1" t="s">
        <v>39</v>
      </c>
      <c r="C95" s="1">
        <v>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>
        <v>0</v>
      </c>
    </row>
    <row r="96" spans="2:19" x14ac:dyDescent="0.55000000000000004">
      <c r="B96" s="1" t="s">
        <v>28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>
        <v>0</v>
      </c>
    </row>
    <row r="97" spans="2:19" x14ac:dyDescent="0.55000000000000004">
      <c r="B97" s="1" t="s">
        <v>66</v>
      </c>
      <c r="C97" s="1">
        <v>0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>
        <v>0</v>
      </c>
    </row>
    <row r="98" spans="2:19" x14ac:dyDescent="0.55000000000000004">
      <c r="B98" s="1" t="s">
        <v>68</v>
      </c>
      <c r="C98" s="1">
        <v>0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>
        <v>0</v>
      </c>
    </row>
    <row r="99" spans="2:19" x14ac:dyDescent="0.55000000000000004">
      <c r="B99" s="1" t="s">
        <v>27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>
        <v>0</v>
      </c>
    </row>
    <row r="100" spans="2:19" x14ac:dyDescent="0.55000000000000004">
      <c r="B100" s="1" t="s">
        <v>330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>
        <v>0</v>
      </c>
    </row>
    <row r="101" spans="2:19" x14ac:dyDescent="0.55000000000000004">
      <c r="B101" s="1" t="s">
        <v>329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>
        <v>0</v>
      </c>
    </row>
    <row r="106" spans="2:19" x14ac:dyDescent="0.55000000000000004">
      <c r="B106" s="43" t="s">
        <v>474</v>
      </c>
    </row>
    <row r="107" spans="2:19" x14ac:dyDescent="0.55000000000000004">
      <c r="B107" s="43"/>
    </row>
    <row r="108" spans="2:19" x14ac:dyDescent="0.55000000000000004">
      <c r="B108" s="43"/>
    </row>
    <row r="109" spans="2:19" x14ac:dyDescent="0.55000000000000004">
      <c r="B109" s="43"/>
    </row>
    <row r="110" spans="2:19" x14ac:dyDescent="0.55000000000000004">
      <c r="B110" s="43"/>
    </row>
    <row r="111" spans="2:19" x14ac:dyDescent="0.55000000000000004">
      <c r="B111" s="43"/>
    </row>
    <row r="112" spans="2:19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9" x14ac:dyDescent="0.55000000000000004">
      <c r="B129" s="1" t="s">
        <v>39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>
        <v>0</v>
      </c>
    </row>
    <row r="130" spans="2:19" x14ac:dyDescent="0.55000000000000004">
      <c r="B130" s="1" t="s">
        <v>28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>
        <v>0</v>
      </c>
    </row>
    <row r="131" spans="2:19" x14ac:dyDescent="0.55000000000000004">
      <c r="B131" s="1" t="s">
        <v>66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>
        <v>0</v>
      </c>
    </row>
    <row r="132" spans="2:19" x14ac:dyDescent="0.55000000000000004">
      <c r="B132" s="1" t="s">
        <v>68</v>
      </c>
      <c r="C132" s="1">
        <v>0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>
        <v>0</v>
      </c>
    </row>
    <row r="133" spans="2:19" x14ac:dyDescent="0.55000000000000004">
      <c r="B133" s="1" t="s">
        <v>27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>
        <v>0</v>
      </c>
    </row>
    <row r="134" spans="2:19" x14ac:dyDescent="0.55000000000000004">
      <c r="B134" s="1" t="s">
        <v>330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>
        <v>0</v>
      </c>
    </row>
    <row r="135" spans="2:19" x14ac:dyDescent="0.55000000000000004">
      <c r="B135" s="1" t="s">
        <v>329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>
        <v>0</v>
      </c>
    </row>
    <row r="140" spans="2:19" x14ac:dyDescent="0.55000000000000004">
      <c r="B140" s="43" t="s">
        <v>475</v>
      </c>
    </row>
    <row r="141" spans="2:19" x14ac:dyDescent="0.55000000000000004">
      <c r="B141" s="43"/>
    </row>
    <row r="142" spans="2:19" x14ac:dyDescent="0.55000000000000004">
      <c r="B142" s="43"/>
    </row>
    <row r="143" spans="2:19" x14ac:dyDescent="0.55000000000000004">
      <c r="B143" s="43"/>
    </row>
    <row r="144" spans="2:19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9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9" x14ac:dyDescent="0.55000000000000004">
      <c r="B163" s="1" t="s">
        <v>39</v>
      </c>
      <c r="C163" s="1">
        <v>0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>
        <v>0</v>
      </c>
    </row>
    <row r="164" spans="2:19" x14ac:dyDescent="0.55000000000000004">
      <c r="B164" s="1" t="s">
        <v>28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>
        <v>0</v>
      </c>
    </row>
    <row r="165" spans="2:19" x14ac:dyDescent="0.55000000000000004">
      <c r="B165" s="1" t="s">
        <v>66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>
        <v>0</v>
      </c>
    </row>
    <row r="166" spans="2:19" x14ac:dyDescent="0.55000000000000004">
      <c r="B166" s="1" t="s">
        <v>68</v>
      </c>
      <c r="C166" s="1">
        <v>0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>
        <v>0</v>
      </c>
    </row>
    <row r="167" spans="2:19" x14ac:dyDescent="0.55000000000000004">
      <c r="B167" s="1" t="s">
        <v>27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>
        <v>0</v>
      </c>
    </row>
    <row r="168" spans="2:19" x14ac:dyDescent="0.55000000000000004">
      <c r="B168" s="1" t="s">
        <v>330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>
        <v>0</v>
      </c>
    </row>
    <row r="169" spans="2:19" x14ac:dyDescent="0.55000000000000004">
      <c r="B169" s="1" t="s">
        <v>329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>
        <v>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E1A9D-024D-493D-A111-418855827F80}">
  <sheetPr codeName="Sheet4"/>
  <dimension ref="B3:J92"/>
  <sheetViews>
    <sheetView topLeftCell="A78" workbookViewId="0">
      <selection activeCell="G84" sqref="G8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158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44">
        <v>45352</v>
      </c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5</v>
      </c>
      <c r="F28" s="1">
        <v>1</v>
      </c>
      <c r="G28" s="1">
        <v>1</v>
      </c>
      <c r="H28" s="1">
        <v>4</v>
      </c>
      <c r="I28" s="1">
        <v>0</v>
      </c>
      <c r="J28" s="1"/>
    </row>
    <row r="29" spans="2:10" x14ac:dyDescent="0.55000000000000004">
      <c r="B29" s="1" t="s">
        <v>28</v>
      </c>
      <c r="C29" s="1">
        <v>10</v>
      </c>
      <c r="D29" s="1">
        <v>1</v>
      </c>
      <c r="E29" s="1">
        <v>5</v>
      </c>
      <c r="F29" s="1">
        <v>9</v>
      </c>
      <c r="G29" s="1">
        <v>0</v>
      </c>
      <c r="H29" s="1">
        <v>2</v>
      </c>
      <c r="I29" s="1">
        <v>1</v>
      </c>
      <c r="J29" s="1"/>
    </row>
    <row r="30" spans="2:10" x14ac:dyDescent="0.55000000000000004">
      <c r="B30" s="1" t="s">
        <v>66</v>
      </c>
      <c r="C30" s="1">
        <v>3</v>
      </c>
      <c r="D30" s="1">
        <v>1</v>
      </c>
      <c r="E30" s="1">
        <v>3</v>
      </c>
      <c r="F30" s="1">
        <v>2</v>
      </c>
      <c r="G30" s="1">
        <v>2</v>
      </c>
      <c r="H30" s="1">
        <v>4</v>
      </c>
      <c r="I30" s="1">
        <v>2</v>
      </c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/>
    </row>
    <row r="36" spans="2:10" x14ac:dyDescent="0.55000000000000004">
      <c r="B36" s="43" t="s">
        <v>159</v>
      </c>
    </row>
    <row r="56" spans="2:10" x14ac:dyDescent="0.55000000000000004">
      <c r="B56" s="1" t="s">
        <v>67</v>
      </c>
      <c r="C56" s="44">
        <v>45170</v>
      </c>
      <c r="D56" s="44">
        <v>45200</v>
      </c>
      <c r="E56" s="44">
        <v>45231</v>
      </c>
      <c r="F56" s="44">
        <v>45261</v>
      </c>
      <c r="G56" s="44">
        <v>45292</v>
      </c>
      <c r="H56" s="44">
        <v>45323</v>
      </c>
      <c r="I56" s="44">
        <v>45352</v>
      </c>
      <c r="J56" s="1"/>
    </row>
    <row r="57" spans="2:10" x14ac:dyDescent="0.55000000000000004">
      <c r="B57" s="1" t="s">
        <v>39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/>
    </row>
    <row r="58" spans="2:10" x14ac:dyDescent="0.55000000000000004">
      <c r="B58" s="1" t="s">
        <v>28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/>
    </row>
    <row r="59" spans="2:10" x14ac:dyDescent="0.55000000000000004">
      <c r="B59" s="1" t="s">
        <v>66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</row>
    <row r="61" spans="2:10" x14ac:dyDescent="0.55000000000000004">
      <c r="B61" s="1" t="s">
        <v>27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</row>
    <row r="62" spans="2:10" x14ac:dyDescent="0.55000000000000004">
      <c r="B62" s="1" t="s">
        <v>40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</row>
    <row r="66" spans="2:2" x14ac:dyDescent="0.55000000000000004">
      <c r="B66" s="43" t="s">
        <v>160</v>
      </c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76" spans="2:2" x14ac:dyDescent="0.55000000000000004">
      <c r="B76" s="43"/>
    </row>
    <row r="77" spans="2:2" x14ac:dyDescent="0.55000000000000004">
      <c r="B77" s="43"/>
    </row>
    <row r="78" spans="2:2" x14ac:dyDescent="0.55000000000000004">
      <c r="B78" s="43"/>
    </row>
    <row r="86" spans="2:10" x14ac:dyDescent="0.55000000000000004">
      <c r="B86" s="1" t="s">
        <v>67</v>
      </c>
      <c r="C86" s="44">
        <v>45170</v>
      </c>
      <c r="D86" s="44">
        <v>45200</v>
      </c>
      <c r="E86" s="44">
        <v>45231</v>
      </c>
      <c r="F86" s="44">
        <v>45261</v>
      </c>
      <c r="G86" s="44">
        <v>45292</v>
      </c>
      <c r="H86" s="44">
        <v>45323</v>
      </c>
      <c r="I86" s="44">
        <v>45352</v>
      </c>
      <c r="J86" s="1"/>
    </row>
    <row r="87" spans="2:10" x14ac:dyDescent="0.55000000000000004">
      <c r="B87" s="1" t="s">
        <v>39</v>
      </c>
      <c r="C87" s="1">
        <v>0</v>
      </c>
      <c r="D87" s="1">
        <v>0</v>
      </c>
      <c r="E87" s="1">
        <v>1</v>
      </c>
      <c r="F87" s="1">
        <v>0</v>
      </c>
      <c r="G87" s="1">
        <v>0</v>
      </c>
      <c r="H87" s="1">
        <v>0</v>
      </c>
      <c r="I87" s="1">
        <v>1</v>
      </c>
      <c r="J87" s="1"/>
    </row>
    <row r="88" spans="2:10" x14ac:dyDescent="0.55000000000000004">
      <c r="B88" s="1" t="s">
        <v>28</v>
      </c>
      <c r="C88" s="1">
        <v>2</v>
      </c>
      <c r="D88" s="1">
        <v>0</v>
      </c>
      <c r="E88" s="1">
        <v>0</v>
      </c>
      <c r="F88" s="1">
        <v>0</v>
      </c>
      <c r="G88" s="1">
        <v>2</v>
      </c>
      <c r="H88" s="1">
        <v>0</v>
      </c>
      <c r="I88" s="1">
        <v>0</v>
      </c>
      <c r="J88" s="1"/>
    </row>
    <row r="89" spans="2:10" x14ac:dyDescent="0.55000000000000004">
      <c r="B89" s="1" t="s">
        <v>66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/>
    </row>
    <row r="90" spans="2:10" x14ac:dyDescent="0.55000000000000004">
      <c r="B90" s="1" t="s">
        <v>68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/>
    </row>
    <row r="91" spans="2:10" x14ac:dyDescent="0.55000000000000004">
      <c r="B91" s="1" t="s">
        <v>27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</row>
    <row r="92" spans="2:10" x14ac:dyDescent="0.55000000000000004">
      <c r="B92" s="1" t="s">
        <v>40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E192-49F6-49BB-A27A-AA841D64B9A1}">
  <sheetPr codeName="Sheet5"/>
  <dimension ref="A1:L115"/>
  <sheetViews>
    <sheetView workbookViewId="0">
      <pane ySplit="3" topLeftCell="A102" activePane="bottomLeft" state="frozen"/>
      <selection pane="bottomLeft" activeCell="K101" sqref="K101"/>
    </sheetView>
  </sheetViews>
  <sheetFormatPr defaultRowHeight="18" x14ac:dyDescent="0.55000000000000004"/>
  <cols>
    <col min="1" max="1" width="9" customWidth="1"/>
    <col min="2" max="2" width="11" bestFit="1" customWidth="1"/>
    <col min="3" max="3" width="13.58203125" customWidth="1"/>
    <col min="4" max="4" width="9.5" bestFit="1" customWidth="1"/>
    <col min="5" max="5" width="12.6640625" customWidth="1"/>
    <col min="6" max="6" width="9.5" customWidth="1"/>
    <col min="7" max="7" width="10.58203125" customWidth="1"/>
    <col min="8" max="8" width="8.08203125" customWidth="1"/>
    <col min="9" max="9" width="9.5" bestFit="1" customWidth="1"/>
    <col min="10" max="10" width="12.25" bestFit="1" customWidth="1"/>
    <col min="11" max="15" width="9.5" bestFit="1" customWidth="1"/>
  </cols>
  <sheetData>
    <row r="1" spans="1:12" x14ac:dyDescent="0.55000000000000004">
      <c r="A1" s="12" t="s">
        <v>339</v>
      </c>
      <c r="B1" s="8"/>
      <c r="C1" s="5"/>
      <c r="D1" s="5"/>
      <c r="E1" s="5"/>
      <c r="F1" s="5"/>
      <c r="G1" s="5"/>
      <c r="H1" s="5"/>
      <c r="I1" s="5"/>
      <c r="J1" s="5"/>
      <c r="K1" s="5"/>
      <c r="L1" s="5"/>
    </row>
    <row r="3" spans="1:12" x14ac:dyDescent="0.55000000000000004">
      <c r="A3" s="49" t="s">
        <v>331</v>
      </c>
      <c r="B3" s="46" t="s">
        <v>96</v>
      </c>
      <c r="C3" s="46" t="s">
        <v>10</v>
      </c>
      <c r="D3" s="46" t="s">
        <v>50</v>
      </c>
      <c r="E3" s="46" t="s">
        <v>373</v>
      </c>
      <c r="F3" s="46" t="s">
        <v>363</v>
      </c>
      <c r="G3" s="46" t="s">
        <v>51</v>
      </c>
      <c r="H3" s="46" t="s">
        <v>156</v>
      </c>
      <c r="I3" s="46" t="s">
        <v>214</v>
      </c>
      <c r="J3" s="47" t="s">
        <v>372</v>
      </c>
      <c r="K3" t="s">
        <v>171</v>
      </c>
    </row>
    <row r="4" spans="1:12" x14ac:dyDescent="0.55000000000000004">
      <c r="A4" s="48" t="s">
        <v>98</v>
      </c>
      <c r="B4" s="2" t="s">
        <v>99</v>
      </c>
      <c r="C4" s="36">
        <v>0</v>
      </c>
      <c r="D4" s="36">
        <v>0</v>
      </c>
      <c r="E4" s="36">
        <v>0</v>
      </c>
      <c r="F4" s="36">
        <v>0</v>
      </c>
      <c r="G4" s="1">
        <f>SUM(テーブル134[[#This Row],[ケアレスミス]:[解釈]])</f>
        <v>0</v>
      </c>
      <c r="H4" s="1">
        <v>11</v>
      </c>
      <c r="I4" s="61">
        <f>IF(AND(テーブル134[[#This Row],[FB数合計]]=0,テーブル134[[#This Row],[件数]]=0),0,テーブル134[[#This Row],[FB数合計]]/テーブル134[[#This Row],[件数]])</f>
        <v>0</v>
      </c>
      <c r="J4" s="68">
        <v>0</v>
      </c>
    </row>
    <row r="5" spans="1:12" x14ac:dyDescent="0.55000000000000004">
      <c r="A5" s="48" t="s">
        <v>101</v>
      </c>
      <c r="B5" s="2" t="s">
        <v>100</v>
      </c>
      <c r="C5" s="36">
        <v>0</v>
      </c>
      <c r="D5" s="36">
        <v>0</v>
      </c>
      <c r="E5" s="36">
        <v>0</v>
      </c>
      <c r="F5" s="36">
        <v>0</v>
      </c>
      <c r="G5" s="1">
        <f>SUM(テーブル134[[#This Row],[ケアレスミス]:[解釈]])</f>
        <v>0</v>
      </c>
      <c r="H5" s="1">
        <v>0</v>
      </c>
      <c r="I5" s="61">
        <f>IF(AND(テーブル134[[#This Row],[FB数合計]]=0,テーブル134[[#This Row],[件数]]=0),0,テーブル134[[#This Row],[FB数合計]]/テーブル134[[#This Row],[件数]])</f>
        <v>0</v>
      </c>
      <c r="J5" s="68">
        <v>0</v>
      </c>
    </row>
    <row r="6" spans="1:12" x14ac:dyDescent="0.55000000000000004">
      <c r="A6" s="48" t="s">
        <v>102</v>
      </c>
      <c r="B6" s="2" t="s">
        <v>148</v>
      </c>
      <c r="C6" s="36">
        <v>0</v>
      </c>
      <c r="D6" s="36">
        <v>0</v>
      </c>
      <c r="E6" s="36">
        <v>0</v>
      </c>
      <c r="F6" s="36">
        <v>0</v>
      </c>
      <c r="G6" s="1">
        <f>SUM(テーブル134[[#This Row],[ケアレスミス]:[解釈]])</f>
        <v>0</v>
      </c>
      <c r="H6" s="1">
        <v>5</v>
      </c>
      <c r="I6" s="61">
        <f>IF(AND(テーブル134[[#This Row],[FB数合計]]=0,テーブル134[[#This Row],[件数]]=0),0,テーブル134[[#This Row],[FB数合計]]/テーブル134[[#This Row],[件数]])</f>
        <v>0</v>
      </c>
      <c r="J6" s="68">
        <v>0</v>
      </c>
    </row>
    <row r="7" spans="1:12" x14ac:dyDescent="0.55000000000000004">
      <c r="A7" s="48" t="s">
        <v>103</v>
      </c>
      <c r="B7" s="2" t="s">
        <v>149</v>
      </c>
      <c r="C7" s="36">
        <v>1</v>
      </c>
      <c r="D7" s="36">
        <v>0</v>
      </c>
      <c r="E7" s="36">
        <v>0</v>
      </c>
      <c r="F7" s="36">
        <v>0</v>
      </c>
      <c r="G7" s="1">
        <f>SUM(テーブル134[[#This Row],[ケアレスミス]:[解釈]])</f>
        <v>1</v>
      </c>
      <c r="H7" s="1">
        <v>5</v>
      </c>
      <c r="I7" s="61">
        <f>IF(AND(テーブル134[[#This Row],[FB数合計]]=0,テーブル134[[#This Row],[件数]]=0),0,テーブル134[[#This Row],[FB数合計]]/テーブル134[[#This Row],[件数]])</f>
        <v>0.2</v>
      </c>
      <c r="J7" s="68">
        <v>0</v>
      </c>
    </row>
    <row r="8" spans="1:12" x14ac:dyDescent="0.55000000000000004">
      <c r="A8" s="48" t="s">
        <v>104</v>
      </c>
      <c r="B8" s="2" t="s">
        <v>152</v>
      </c>
      <c r="C8" s="36">
        <v>0</v>
      </c>
      <c r="D8" s="36">
        <v>0</v>
      </c>
      <c r="E8" s="36">
        <v>0</v>
      </c>
      <c r="F8" s="36">
        <v>0</v>
      </c>
      <c r="G8" s="1">
        <f>SUM(テーブル134[[#This Row],[ケアレスミス]:[解釈]])</f>
        <v>0</v>
      </c>
      <c r="H8" s="1">
        <v>0</v>
      </c>
      <c r="I8" s="61">
        <f>IF(AND(テーブル134[[#This Row],[FB数合計]]=0,テーブル134[[#This Row],[件数]]=0),0,テーブル134[[#This Row],[FB数合計]]/テーブル134[[#This Row],[件数]])</f>
        <v>0</v>
      </c>
      <c r="J8" s="68">
        <v>0</v>
      </c>
    </row>
    <row r="9" spans="1:12" x14ac:dyDescent="0.55000000000000004">
      <c r="A9" s="48" t="s">
        <v>105</v>
      </c>
      <c r="B9" s="2" t="s">
        <v>150</v>
      </c>
      <c r="C9" s="1">
        <v>0</v>
      </c>
      <c r="D9" s="1">
        <v>0</v>
      </c>
      <c r="E9" s="1">
        <v>0</v>
      </c>
      <c r="F9" s="1">
        <v>0</v>
      </c>
      <c r="G9" s="1">
        <f>SUM(テーブル134[[#This Row],[ケアレスミス]:[解釈]])</f>
        <v>0</v>
      </c>
      <c r="H9" s="1">
        <v>207</v>
      </c>
      <c r="I9" s="61">
        <f>IF(AND(テーブル134[[#This Row],[FB数合計]]=0,テーブル134[[#This Row],[件数]]=0),0,テーブル134[[#This Row],[FB数合計]]/テーブル134[[#This Row],[件数]])</f>
        <v>0</v>
      </c>
      <c r="J9" s="68">
        <v>0</v>
      </c>
    </row>
    <row r="10" spans="1:12" x14ac:dyDescent="0.55000000000000004">
      <c r="A10" s="48" t="s">
        <v>106</v>
      </c>
      <c r="B10" s="2" t="s">
        <v>100</v>
      </c>
      <c r="C10" s="1">
        <v>2</v>
      </c>
      <c r="D10" s="1">
        <v>0</v>
      </c>
      <c r="E10" s="1">
        <v>0</v>
      </c>
      <c r="F10" s="1">
        <v>0</v>
      </c>
      <c r="G10" s="1">
        <f>SUM(テーブル134[[#This Row],[ケアレスミス]:[解釈]])</f>
        <v>2</v>
      </c>
      <c r="H10" s="1">
        <v>10</v>
      </c>
      <c r="I10" s="61">
        <f>IF(AND(テーブル134[[#This Row],[FB数合計]]=0,テーブル134[[#This Row],[件数]]=0),0,テーブル134[[#This Row],[FB数合計]]/テーブル134[[#This Row],[件数]])</f>
        <v>0.2</v>
      </c>
      <c r="J10" s="68">
        <v>0</v>
      </c>
    </row>
    <row r="11" spans="1:12" x14ac:dyDescent="0.55000000000000004">
      <c r="A11" s="48" t="s">
        <v>107</v>
      </c>
      <c r="B11" s="2" t="s">
        <v>151</v>
      </c>
      <c r="C11" s="1">
        <v>0</v>
      </c>
      <c r="D11" s="1">
        <v>0</v>
      </c>
      <c r="E11" s="1">
        <v>0</v>
      </c>
      <c r="F11" s="1">
        <v>0</v>
      </c>
      <c r="G11" s="1">
        <f>SUM(テーブル134[[#This Row],[ケアレスミス]:[解釈]])</f>
        <v>0</v>
      </c>
      <c r="H11" s="1">
        <v>47</v>
      </c>
      <c r="I11" s="61">
        <f>IF(AND(テーブル134[[#This Row],[FB数合計]]=0,テーブル134[[#This Row],[件数]]=0),0,テーブル134[[#This Row],[FB数合計]]/テーブル134[[#This Row],[件数]])</f>
        <v>0</v>
      </c>
      <c r="J11" s="68">
        <v>0</v>
      </c>
    </row>
    <row r="12" spans="1:12" x14ac:dyDescent="0.55000000000000004">
      <c r="A12" s="48" t="s">
        <v>108</v>
      </c>
      <c r="B12" s="2" t="s">
        <v>148</v>
      </c>
      <c r="C12" s="1">
        <v>0</v>
      </c>
      <c r="D12" s="1">
        <v>0</v>
      </c>
      <c r="E12" s="1">
        <v>0</v>
      </c>
      <c r="F12" s="1">
        <v>0</v>
      </c>
      <c r="G12" s="1">
        <f>SUM(テーブル134[[#This Row],[ケアレスミス]:[解釈]])</f>
        <v>0</v>
      </c>
      <c r="H12" s="1">
        <v>104</v>
      </c>
      <c r="I12" s="61">
        <f>IF(AND(テーブル134[[#This Row],[FB数合計]]=0,テーブル134[[#This Row],[件数]]=0),0,テーブル134[[#This Row],[FB数合計]]/テーブル134[[#This Row],[件数]])</f>
        <v>0</v>
      </c>
      <c r="J12" s="68">
        <v>0</v>
      </c>
    </row>
    <row r="13" spans="1:12" x14ac:dyDescent="0.55000000000000004">
      <c r="A13" s="48" t="s">
        <v>109</v>
      </c>
      <c r="B13" s="2" t="s">
        <v>149</v>
      </c>
      <c r="C13" s="1">
        <v>0</v>
      </c>
      <c r="D13" s="1">
        <v>0</v>
      </c>
      <c r="E13" s="1">
        <v>0</v>
      </c>
      <c r="F13" s="1">
        <v>0</v>
      </c>
      <c r="G13" s="1">
        <f>SUM(テーブル134[[#This Row],[ケアレスミス]:[解釈]])</f>
        <v>0</v>
      </c>
      <c r="H13" s="1">
        <v>0</v>
      </c>
      <c r="I13" s="61">
        <f>IF(AND(テーブル134[[#This Row],[FB数合計]]=0,テーブル134[[#This Row],[件数]]=0),0,テーブル134[[#This Row],[FB数合計]]/テーブル134[[#This Row],[件数]])</f>
        <v>0</v>
      </c>
      <c r="J13" s="68">
        <v>0</v>
      </c>
    </row>
    <row r="14" spans="1:12" x14ac:dyDescent="0.55000000000000004">
      <c r="A14" s="48" t="s">
        <v>110</v>
      </c>
      <c r="B14" s="2" t="s">
        <v>152</v>
      </c>
      <c r="C14" s="1">
        <v>0</v>
      </c>
      <c r="D14" s="1">
        <v>0</v>
      </c>
      <c r="E14" s="1">
        <v>0</v>
      </c>
      <c r="F14" s="1">
        <v>0</v>
      </c>
      <c r="G14" s="1">
        <f>SUM(テーブル134[[#This Row],[ケアレスミス]:[解釈]])</f>
        <v>0</v>
      </c>
      <c r="H14" s="1">
        <v>15</v>
      </c>
      <c r="I14" s="61">
        <f>IF(AND(テーブル134[[#This Row],[FB数合計]]=0,テーブル134[[#This Row],[件数]]=0),0,テーブル134[[#This Row],[FB数合計]]/テーブル134[[#This Row],[件数]])</f>
        <v>0</v>
      </c>
      <c r="J14" s="68">
        <v>0</v>
      </c>
    </row>
    <row r="15" spans="1:12" x14ac:dyDescent="0.55000000000000004">
      <c r="A15" s="48" t="s">
        <v>111</v>
      </c>
      <c r="B15" s="2" t="s">
        <v>151</v>
      </c>
      <c r="C15" s="36">
        <v>1</v>
      </c>
      <c r="D15" s="36">
        <v>0</v>
      </c>
      <c r="E15" s="36">
        <v>0</v>
      </c>
      <c r="F15" s="36">
        <v>0</v>
      </c>
      <c r="G15" s="1">
        <f>SUM(テーブル134[[#This Row],[ケアレスミス]:[解釈]])</f>
        <v>1</v>
      </c>
      <c r="H15" s="1">
        <v>161</v>
      </c>
      <c r="I15" s="61">
        <f>IF(AND(テーブル134[[#This Row],[FB数合計]]=0,テーブル134[[#This Row],[件数]]=0),0,テーブル134[[#This Row],[FB数合計]]/テーブル134[[#This Row],[件数]])</f>
        <v>6.2111801242236021E-3</v>
      </c>
      <c r="J15" s="68">
        <v>0</v>
      </c>
    </row>
    <row r="16" spans="1:12" x14ac:dyDescent="0.55000000000000004">
      <c r="A16" s="48" t="s">
        <v>112</v>
      </c>
      <c r="B16" s="2" t="s">
        <v>100</v>
      </c>
      <c r="C16" s="36">
        <v>0</v>
      </c>
      <c r="D16" s="36">
        <v>0</v>
      </c>
      <c r="E16" s="36">
        <v>0</v>
      </c>
      <c r="F16" s="36">
        <v>0</v>
      </c>
      <c r="G16" s="1">
        <f>SUM(テーブル134[[#This Row],[ケアレスミス]:[解釈]])</f>
        <v>0</v>
      </c>
      <c r="H16" s="1">
        <v>5</v>
      </c>
      <c r="I16" s="61">
        <f>IF(AND(テーブル134[[#This Row],[FB数合計]]=0,テーブル134[[#This Row],[件数]]=0),0,テーブル134[[#This Row],[FB数合計]]/テーブル134[[#This Row],[件数]])</f>
        <v>0</v>
      </c>
      <c r="J16" s="68">
        <v>0</v>
      </c>
    </row>
    <row r="17" spans="1:10" x14ac:dyDescent="0.55000000000000004">
      <c r="A17" s="48" t="s">
        <v>113</v>
      </c>
      <c r="B17" s="2" t="s">
        <v>148</v>
      </c>
      <c r="C17" s="36">
        <v>0</v>
      </c>
      <c r="D17" s="36">
        <v>0</v>
      </c>
      <c r="E17" s="36">
        <v>0</v>
      </c>
      <c r="F17" s="36">
        <v>0</v>
      </c>
      <c r="G17" s="1">
        <f>SUM(テーブル134[[#This Row],[ケアレスミス]:[解釈]])</f>
        <v>0</v>
      </c>
      <c r="H17" s="1">
        <v>0</v>
      </c>
      <c r="I17" s="61">
        <f>IF(AND(テーブル134[[#This Row],[FB数合計]]=0,テーブル134[[#This Row],[件数]]=0),0,テーブル134[[#This Row],[FB数合計]]/テーブル134[[#This Row],[件数]])</f>
        <v>0</v>
      </c>
      <c r="J17" s="68">
        <v>0</v>
      </c>
    </row>
    <row r="18" spans="1:10" x14ac:dyDescent="0.55000000000000004">
      <c r="A18" s="48" t="s">
        <v>114</v>
      </c>
      <c r="B18" s="2" t="s">
        <v>149</v>
      </c>
      <c r="C18" s="36">
        <v>0</v>
      </c>
      <c r="D18" s="36">
        <v>0</v>
      </c>
      <c r="E18" s="36">
        <v>0</v>
      </c>
      <c r="F18" s="36">
        <v>0</v>
      </c>
      <c r="G18" s="1">
        <f>SUM(テーブル134[[#This Row],[ケアレスミス]:[解釈]])</f>
        <v>0</v>
      </c>
      <c r="H18" s="1">
        <v>0</v>
      </c>
      <c r="I18" s="61">
        <f>IF(AND(テーブル134[[#This Row],[FB数合計]]=0,テーブル134[[#This Row],[件数]]=0),0,テーブル134[[#This Row],[FB数合計]]/テーブル134[[#This Row],[件数]])</f>
        <v>0</v>
      </c>
      <c r="J18" s="68">
        <v>0</v>
      </c>
    </row>
    <row r="19" spans="1:10" x14ac:dyDescent="0.55000000000000004">
      <c r="A19" s="48" t="s">
        <v>115</v>
      </c>
      <c r="B19" s="2" t="s">
        <v>155</v>
      </c>
      <c r="C19" s="36">
        <v>0</v>
      </c>
      <c r="D19" s="36">
        <v>0</v>
      </c>
      <c r="E19" s="36">
        <v>0</v>
      </c>
      <c r="F19" s="36">
        <v>0</v>
      </c>
      <c r="G19" s="1">
        <f>SUM(テーブル134[[#This Row],[ケアレスミス]:[解釈]])</f>
        <v>0</v>
      </c>
      <c r="H19" s="1">
        <v>71</v>
      </c>
      <c r="I19" s="61">
        <f>IF(AND(テーブル134[[#This Row],[FB数合計]]=0,テーブル134[[#This Row],[件数]]=0),0,テーブル134[[#This Row],[FB数合計]]/テーブル134[[#This Row],[件数]])</f>
        <v>0</v>
      </c>
      <c r="J19" s="68">
        <v>0</v>
      </c>
    </row>
    <row r="20" spans="1:10" x14ac:dyDescent="0.55000000000000004">
      <c r="A20" s="48" t="s">
        <v>116</v>
      </c>
      <c r="B20" s="2" t="s">
        <v>152</v>
      </c>
      <c r="C20" s="36">
        <v>0</v>
      </c>
      <c r="D20" s="36">
        <v>0</v>
      </c>
      <c r="E20" s="36">
        <v>0</v>
      </c>
      <c r="F20" s="36">
        <v>0</v>
      </c>
      <c r="G20" s="1">
        <f>SUM(テーブル134[[#This Row],[ケアレスミス]:[解釈]])</f>
        <v>0</v>
      </c>
      <c r="H20" s="1">
        <v>0</v>
      </c>
      <c r="I20" s="61">
        <f>IF(AND(テーブル134[[#This Row],[FB数合計]]=0,テーブル134[[#This Row],[件数]]=0),0,テーブル134[[#This Row],[FB数合計]]/テーブル134[[#This Row],[件数]])</f>
        <v>0</v>
      </c>
      <c r="J20" s="68">
        <v>0</v>
      </c>
    </row>
    <row r="21" spans="1:10" x14ac:dyDescent="0.55000000000000004">
      <c r="A21" s="48" t="s">
        <v>117</v>
      </c>
      <c r="B21" s="2" t="s">
        <v>150</v>
      </c>
      <c r="C21" s="1">
        <v>3</v>
      </c>
      <c r="D21" s="1">
        <v>0</v>
      </c>
      <c r="E21" s="1">
        <v>0</v>
      </c>
      <c r="F21" s="1">
        <v>0</v>
      </c>
      <c r="G21" s="1">
        <f>SUM(テーブル134[[#This Row],[ケアレスミス]:[解釈]])</f>
        <v>3</v>
      </c>
      <c r="H21" s="1">
        <v>233</v>
      </c>
      <c r="I21" s="61">
        <f>IF(AND(テーブル134[[#This Row],[FB数合計]]=0,テーブル134[[#This Row],[件数]]=0),0,テーブル134[[#This Row],[FB数合計]]/テーブル134[[#This Row],[件数]])</f>
        <v>1.2875536480686695E-2</v>
      </c>
      <c r="J21" s="68">
        <v>0</v>
      </c>
    </row>
    <row r="22" spans="1:10" x14ac:dyDescent="0.55000000000000004">
      <c r="A22" s="48" t="s">
        <v>118</v>
      </c>
      <c r="B22" s="2" t="s">
        <v>100</v>
      </c>
      <c r="C22" s="1">
        <v>0</v>
      </c>
      <c r="D22" s="1">
        <v>0</v>
      </c>
      <c r="E22" s="1">
        <v>0</v>
      </c>
      <c r="F22" s="1">
        <v>0</v>
      </c>
      <c r="G22" s="1">
        <f>SUM(テーブル134[[#This Row],[ケアレスミス]:[解釈]])</f>
        <v>0</v>
      </c>
      <c r="H22" s="1">
        <v>0</v>
      </c>
      <c r="I22" s="61">
        <f>IF(AND(テーブル134[[#This Row],[FB数合計]]=0,テーブル134[[#This Row],[件数]]=0),0,テーブル134[[#This Row],[FB数合計]]/テーブル134[[#This Row],[件数]])</f>
        <v>0</v>
      </c>
      <c r="J22" s="68">
        <v>0</v>
      </c>
    </row>
    <row r="23" spans="1:10" x14ac:dyDescent="0.55000000000000004">
      <c r="A23" s="48" t="s">
        <v>119</v>
      </c>
      <c r="B23" s="2" t="s">
        <v>151</v>
      </c>
      <c r="C23" s="1">
        <v>0</v>
      </c>
      <c r="D23" s="1">
        <v>0</v>
      </c>
      <c r="E23" s="1">
        <v>0</v>
      </c>
      <c r="F23" s="1">
        <v>0</v>
      </c>
      <c r="G23" s="1">
        <f>SUM(テーブル134[[#This Row],[ケアレスミス]:[解釈]])</f>
        <v>0</v>
      </c>
      <c r="H23" s="1">
        <v>67</v>
      </c>
      <c r="I23" s="61">
        <f>IF(AND(テーブル134[[#This Row],[FB数合計]]=0,テーブル134[[#This Row],[件数]]=0),0,テーブル134[[#This Row],[FB数合計]]/テーブル134[[#This Row],[件数]])</f>
        <v>0</v>
      </c>
      <c r="J23" s="68">
        <v>0</v>
      </c>
    </row>
    <row r="24" spans="1:10" x14ac:dyDescent="0.55000000000000004">
      <c r="A24" s="48" t="s">
        <v>120</v>
      </c>
      <c r="B24" s="2" t="s">
        <v>148</v>
      </c>
      <c r="C24" s="1">
        <v>0</v>
      </c>
      <c r="D24" s="1">
        <v>0</v>
      </c>
      <c r="E24" s="1">
        <v>0</v>
      </c>
      <c r="F24" s="1">
        <v>0</v>
      </c>
      <c r="G24" s="1">
        <f>SUM(テーブル134[[#This Row],[ケアレスミス]:[解釈]])</f>
        <v>0</v>
      </c>
      <c r="H24" s="1">
        <v>0</v>
      </c>
      <c r="I24" s="61">
        <f>IF(AND(テーブル134[[#This Row],[FB数合計]]=0,テーブル134[[#This Row],[件数]]=0),0,テーブル134[[#This Row],[FB数合計]]/テーブル134[[#This Row],[件数]])</f>
        <v>0</v>
      </c>
      <c r="J24" s="68">
        <v>0</v>
      </c>
    </row>
    <row r="25" spans="1:10" x14ac:dyDescent="0.55000000000000004">
      <c r="A25" s="48" t="s">
        <v>121</v>
      </c>
      <c r="B25" s="2" t="s">
        <v>149</v>
      </c>
      <c r="C25" s="1">
        <v>0</v>
      </c>
      <c r="D25" s="1">
        <v>0</v>
      </c>
      <c r="E25" s="1">
        <v>0</v>
      </c>
      <c r="F25" s="1">
        <v>0</v>
      </c>
      <c r="G25" s="1">
        <f>SUM(テーブル134[[#This Row],[ケアレスミス]:[解釈]])</f>
        <v>0</v>
      </c>
      <c r="H25" s="1">
        <v>0</v>
      </c>
      <c r="I25" s="61">
        <f>IF(AND(テーブル134[[#This Row],[FB数合計]]=0,テーブル134[[#This Row],[件数]]=0),0,テーブル134[[#This Row],[FB数合計]]/テーブル134[[#This Row],[件数]])</f>
        <v>0</v>
      </c>
      <c r="J25" s="68">
        <v>0</v>
      </c>
    </row>
    <row r="26" spans="1:10" x14ac:dyDescent="0.55000000000000004">
      <c r="A26" s="48" t="s">
        <v>122</v>
      </c>
      <c r="B26" s="2" t="s">
        <v>40</v>
      </c>
      <c r="C26" s="1">
        <v>0</v>
      </c>
      <c r="D26" s="1">
        <v>0</v>
      </c>
      <c r="E26" s="1">
        <v>0</v>
      </c>
      <c r="F26" s="1">
        <v>0</v>
      </c>
      <c r="G26" s="1">
        <f>SUM(テーブル134[[#This Row],[ケアレスミス]:[解釈]])</f>
        <v>0</v>
      </c>
      <c r="H26" s="1">
        <v>37</v>
      </c>
      <c r="I26" s="61">
        <f>IF(AND(テーブル134[[#This Row],[FB数合計]]=0,テーブル134[[#This Row],[件数]]=0),0,テーブル134[[#This Row],[FB数合計]]/テーブル134[[#This Row],[件数]])</f>
        <v>0</v>
      </c>
      <c r="J26" s="68">
        <v>0</v>
      </c>
    </row>
    <row r="27" spans="1:10" x14ac:dyDescent="0.55000000000000004">
      <c r="A27" s="48" t="s">
        <v>123</v>
      </c>
      <c r="B27" s="2" t="s">
        <v>40</v>
      </c>
      <c r="C27" s="1">
        <v>1</v>
      </c>
      <c r="D27" s="1">
        <v>0</v>
      </c>
      <c r="E27" s="1">
        <v>0</v>
      </c>
      <c r="F27" s="1">
        <v>0</v>
      </c>
      <c r="G27" s="1">
        <f>SUM(テーブル134[[#This Row],[ケアレスミス]:[解釈]])</f>
        <v>1</v>
      </c>
      <c r="H27" s="1">
        <v>278</v>
      </c>
      <c r="I27" s="61">
        <f>IF(AND(テーブル134[[#This Row],[FB数合計]]=0,テーブル134[[#This Row],[件数]]=0),0,テーブル134[[#This Row],[FB数合計]]/テーブル134[[#This Row],[件数]])</f>
        <v>3.5971223021582736E-3</v>
      </c>
      <c r="J27" s="68">
        <v>0</v>
      </c>
    </row>
    <row r="28" spans="1:10" x14ac:dyDescent="0.55000000000000004">
      <c r="A28" s="48" t="s">
        <v>124</v>
      </c>
      <c r="B28" s="2" t="s">
        <v>100</v>
      </c>
      <c r="C28" s="1">
        <v>0</v>
      </c>
      <c r="D28" s="1">
        <v>0</v>
      </c>
      <c r="E28" s="1">
        <v>0</v>
      </c>
      <c r="F28" s="1">
        <v>0</v>
      </c>
      <c r="G28" s="1">
        <f>SUM(テーブル134[[#This Row],[ケアレスミス]:[解釈]])</f>
        <v>0</v>
      </c>
      <c r="H28" s="1">
        <v>72</v>
      </c>
      <c r="I28" s="61">
        <f>IF(AND(テーブル134[[#This Row],[FB数合計]]=0,テーブル134[[#This Row],[件数]]=0),0,テーブル134[[#This Row],[FB数合計]]/テーブル134[[#This Row],[件数]])</f>
        <v>0</v>
      </c>
      <c r="J28" s="68">
        <v>0</v>
      </c>
    </row>
    <row r="29" spans="1:10" x14ac:dyDescent="0.55000000000000004">
      <c r="A29" s="48" t="s">
        <v>125</v>
      </c>
      <c r="B29" s="2" t="s">
        <v>151</v>
      </c>
      <c r="C29" s="1">
        <v>0</v>
      </c>
      <c r="D29" s="1">
        <v>0</v>
      </c>
      <c r="E29" s="1">
        <v>0</v>
      </c>
      <c r="F29" s="1">
        <v>0</v>
      </c>
      <c r="G29" s="1">
        <f>SUM(テーブル134[[#This Row],[ケアレスミス]:[解釈]])</f>
        <v>0</v>
      </c>
      <c r="H29" s="1">
        <v>242</v>
      </c>
      <c r="I29" s="61">
        <f>IF(AND(テーブル134[[#This Row],[FB数合計]]=0,テーブル134[[#This Row],[件数]]=0),0,テーブル134[[#This Row],[FB数合計]]/テーブル134[[#This Row],[件数]])</f>
        <v>0</v>
      </c>
      <c r="J29" s="68">
        <v>0</v>
      </c>
    </row>
    <row r="30" spans="1:10" x14ac:dyDescent="0.55000000000000004">
      <c r="A30" s="48" t="s">
        <v>126</v>
      </c>
      <c r="B30" s="2" t="s">
        <v>2</v>
      </c>
      <c r="C30" s="1">
        <v>0</v>
      </c>
      <c r="D30" s="1">
        <v>0</v>
      </c>
      <c r="E30" s="1">
        <v>0</v>
      </c>
      <c r="F30" s="1">
        <v>0</v>
      </c>
      <c r="G30" s="1">
        <f>SUM(テーブル134[[#This Row],[ケアレスミス]:[解釈]])</f>
        <v>0</v>
      </c>
      <c r="H30" s="1">
        <v>62</v>
      </c>
      <c r="I30" s="61">
        <f>IF(AND(テーブル134[[#This Row],[FB数合計]]=0,テーブル134[[#This Row],[件数]]=0),0,テーブル134[[#This Row],[FB数合計]]/テーブル134[[#This Row],[件数]])</f>
        <v>0</v>
      </c>
      <c r="J30" s="68">
        <v>0</v>
      </c>
    </row>
    <row r="31" spans="1:10" x14ac:dyDescent="0.55000000000000004">
      <c r="A31" s="48" t="s">
        <v>127</v>
      </c>
      <c r="B31" s="2" t="s">
        <v>152</v>
      </c>
      <c r="C31" s="1">
        <v>0</v>
      </c>
      <c r="D31" s="1">
        <v>0</v>
      </c>
      <c r="E31" s="1">
        <v>0</v>
      </c>
      <c r="F31" s="1">
        <v>0</v>
      </c>
      <c r="G31" s="1">
        <f>SUM(テーブル134[[#This Row],[ケアレスミス]:[解釈]])</f>
        <v>0</v>
      </c>
      <c r="H31" s="1">
        <v>0</v>
      </c>
      <c r="I31" s="61">
        <f>IF(AND(テーブル134[[#This Row],[FB数合計]]=0,テーブル134[[#This Row],[件数]]=0),0,テーブル134[[#This Row],[FB数合計]]/テーブル134[[#This Row],[件数]])</f>
        <v>0</v>
      </c>
      <c r="J31" s="68">
        <v>0</v>
      </c>
    </row>
    <row r="32" spans="1:10" x14ac:dyDescent="0.55000000000000004">
      <c r="A32" s="48" t="s">
        <v>128</v>
      </c>
      <c r="B32" s="2" t="s">
        <v>167</v>
      </c>
      <c r="C32" s="1">
        <v>0</v>
      </c>
      <c r="D32" s="1">
        <v>0</v>
      </c>
      <c r="E32" s="1">
        <v>0</v>
      </c>
      <c r="F32" s="1">
        <v>0</v>
      </c>
      <c r="G32" s="1">
        <f>SUM(テーブル134[[#This Row],[ケアレスミス]:[解釈]])</f>
        <v>0</v>
      </c>
      <c r="H32" s="1">
        <v>0</v>
      </c>
      <c r="I32" s="61">
        <f>IF(AND(テーブル134[[#This Row],[FB数合計]]=0,テーブル134[[#This Row],[件数]]=0),0,テーブル134[[#This Row],[FB数合計]]/テーブル134[[#This Row],[件数]])</f>
        <v>0</v>
      </c>
      <c r="J32" s="68">
        <v>0</v>
      </c>
    </row>
    <row r="33" spans="1:10" x14ac:dyDescent="0.55000000000000004">
      <c r="A33" s="48" t="s">
        <v>129</v>
      </c>
      <c r="B33" s="2" t="s">
        <v>150</v>
      </c>
      <c r="C33" s="1">
        <v>2</v>
      </c>
      <c r="D33" s="1">
        <v>0</v>
      </c>
      <c r="E33" s="1">
        <v>0</v>
      </c>
      <c r="F33" s="1">
        <v>0</v>
      </c>
      <c r="G33" s="1">
        <f>SUM(テーブル134[[#This Row],[ケアレスミス]:[解釈]])</f>
        <v>2</v>
      </c>
      <c r="H33" s="1">
        <v>292</v>
      </c>
      <c r="I33" s="61">
        <f>IF(AND(テーブル134[[#This Row],[FB数合計]]=0,テーブル134[[#This Row],[件数]]=0),0,テーブル134[[#This Row],[FB数合計]]/テーブル134[[#This Row],[件数]])</f>
        <v>6.8493150684931503E-3</v>
      </c>
      <c r="J33" s="68">
        <v>0</v>
      </c>
    </row>
    <row r="34" spans="1:10" x14ac:dyDescent="0.55000000000000004">
      <c r="A34" s="48" t="s">
        <v>130</v>
      </c>
      <c r="B34" s="2" t="s">
        <v>100</v>
      </c>
      <c r="C34" s="1">
        <v>1</v>
      </c>
      <c r="D34" s="1">
        <v>0</v>
      </c>
      <c r="E34" s="1">
        <v>0</v>
      </c>
      <c r="F34" s="1">
        <v>0</v>
      </c>
      <c r="G34" s="1">
        <f>SUM(テーブル134[[#This Row],[ケアレスミス]:[解釈]])</f>
        <v>1</v>
      </c>
      <c r="H34" s="1">
        <v>45</v>
      </c>
      <c r="I34" s="61">
        <f>IF(AND(テーブル134[[#This Row],[FB数合計]]=0,テーブル134[[#This Row],[件数]]=0),0,テーブル134[[#This Row],[FB数合計]]/テーブル134[[#This Row],[件数]])</f>
        <v>2.2222222222222223E-2</v>
      </c>
      <c r="J34" s="68">
        <v>0</v>
      </c>
    </row>
    <row r="35" spans="1:10" x14ac:dyDescent="0.55000000000000004">
      <c r="A35" s="48" t="s">
        <v>131</v>
      </c>
      <c r="B35" s="2" t="s">
        <v>40</v>
      </c>
      <c r="C35" s="1">
        <v>0</v>
      </c>
      <c r="D35" s="1">
        <v>0</v>
      </c>
      <c r="E35" s="1">
        <v>0</v>
      </c>
      <c r="F35" s="1">
        <v>0</v>
      </c>
      <c r="G35" s="1">
        <f>SUM(テーブル134[[#This Row],[ケアレスミス]:[解釈]])</f>
        <v>0</v>
      </c>
      <c r="H35" s="1">
        <v>125</v>
      </c>
      <c r="I35" s="61">
        <f>IF(AND(テーブル134[[#This Row],[FB数合計]]=0,テーブル134[[#This Row],[件数]]=0),0,テーブル134[[#This Row],[FB数合計]]/テーブル134[[#This Row],[件数]])</f>
        <v>0</v>
      </c>
      <c r="J35" s="68">
        <v>0</v>
      </c>
    </row>
    <row r="36" spans="1:10" x14ac:dyDescent="0.55000000000000004">
      <c r="A36" s="48" t="s">
        <v>132</v>
      </c>
      <c r="B36" s="2" t="s">
        <v>2</v>
      </c>
      <c r="C36" s="1">
        <v>0</v>
      </c>
      <c r="D36" s="1">
        <v>0</v>
      </c>
      <c r="E36" s="1">
        <v>0</v>
      </c>
      <c r="F36" s="1">
        <v>0</v>
      </c>
      <c r="G36" s="1">
        <f>SUM(テーブル134[[#This Row],[ケアレスミス]:[解釈]])</f>
        <v>0</v>
      </c>
      <c r="H36" s="1">
        <v>88</v>
      </c>
      <c r="I36" s="61">
        <f>IF(AND(テーブル134[[#This Row],[FB数合計]]=0,テーブル134[[#This Row],[件数]]=0),0,テーブル134[[#This Row],[FB数合計]]/テーブル134[[#This Row],[件数]])</f>
        <v>0</v>
      </c>
      <c r="J36" s="68">
        <v>0</v>
      </c>
    </row>
    <row r="37" spans="1:10" x14ac:dyDescent="0.55000000000000004">
      <c r="A37" s="48" t="s">
        <v>133</v>
      </c>
      <c r="B37" s="2" t="s">
        <v>151</v>
      </c>
      <c r="C37" s="1">
        <v>0</v>
      </c>
      <c r="D37" s="1">
        <v>0</v>
      </c>
      <c r="E37" s="1">
        <v>0</v>
      </c>
      <c r="F37" s="1">
        <v>0</v>
      </c>
      <c r="G37" s="1">
        <f>SUM(テーブル134[[#This Row],[ケアレスミス]:[解釈]])</f>
        <v>0</v>
      </c>
      <c r="H37" s="1">
        <v>35</v>
      </c>
      <c r="I37" s="61">
        <f>IF(AND(テーブル134[[#This Row],[FB数合計]]=0,テーブル134[[#This Row],[件数]]=0),0,テーブル134[[#This Row],[FB数合計]]/テーブル134[[#This Row],[件数]])</f>
        <v>0</v>
      </c>
      <c r="J37" s="68">
        <v>0</v>
      </c>
    </row>
    <row r="38" spans="1:10" x14ac:dyDescent="0.55000000000000004">
      <c r="A38" s="48" t="s">
        <v>134</v>
      </c>
      <c r="B38" s="2" t="s">
        <v>152</v>
      </c>
      <c r="C38" s="1">
        <v>0</v>
      </c>
      <c r="D38" s="1">
        <v>0</v>
      </c>
      <c r="E38" s="1">
        <v>0</v>
      </c>
      <c r="F38" s="1">
        <v>0</v>
      </c>
      <c r="G38" s="1">
        <f>SUM(テーブル134[[#This Row],[ケアレスミス]:[解釈]])</f>
        <v>0</v>
      </c>
      <c r="H38" s="1">
        <v>0</v>
      </c>
      <c r="I38" s="61">
        <f>IF(AND(テーブル134[[#This Row],[FB数合計]]=0,テーブル134[[#This Row],[件数]]=0),0,テーブル134[[#This Row],[FB数合計]]/テーブル134[[#This Row],[件数]])</f>
        <v>0</v>
      </c>
      <c r="J38" s="68">
        <v>0</v>
      </c>
    </row>
    <row r="39" spans="1:10" x14ac:dyDescent="0.55000000000000004">
      <c r="A39" s="48" t="s">
        <v>336</v>
      </c>
      <c r="B39" s="2" t="s">
        <v>40</v>
      </c>
      <c r="C39" s="1">
        <v>1</v>
      </c>
      <c r="D39" s="1">
        <v>0</v>
      </c>
      <c r="E39" s="1">
        <v>0</v>
      </c>
      <c r="F39" s="1">
        <v>0</v>
      </c>
      <c r="G39" s="1">
        <f>SUM(テーブル134[[#This Row],[ケアレスミス]:[解釈]])</f>
        <v>1</v>
      </c>
      <c r="H39" s="1">
        <v>152</v>
      </c>
      <c r="I39" s="61">
        <f>IF(AND(テーブル134[[#This Row],[FB数合計]]=0,テーブル134[[#This Row],[件数]]=0),0,テーブル134[[#This Row],[FB数合計]]/テーブル134[[#This Row],[件数]])</f>
        <v>6.5789473684210523E-3</v>
      </c>
      <c r="J39" s="68">
        <v>0</v>
      </c>
    </row>
    <row r="40" spans="1:10" x14ac:dyDescent="0.55000000000000004">
      <c r="A40" s="48" t="s">
        <v>135</v>
      </c>
      <c r="B40" s="2" t="s">
        <v>150</v>
      </c>
      <c r="C40" s="1">
        <v>0</v>
      </c>
      <c r="D40" s="1">
        <v>0</v>
      </c>
      <c r="E40" s="1">
        <v>0</v>
      </c>
      <c r="F40" s="1">
        <v>0</v>
      </c>
      <c r="G40" s="1">
        <f>SUM(テーブル134[[#This Row],[ケアレスミス]:[解釈]])</f>
        <v>0</v>
      </c>
      <c r="H40" s="1">
        <v>127</v>
      </c>
      <c r="I40" s="61">
        <f>IF(AND(テーブル134[[#This Row],[FB数合計]]=0,テーブル134[[#This Row],[件数]]=0),0,テーブル134[[#This Row],[FB数合計]]/テーブル134[[#This Row],[件数]])</f>
        <v>0</v>
      </c>
      <c r="J40" s="68">
        <v>0</v>
      </c>
    </row>
    <row r="41" spans="1:10" x14ac:dyDescent="0.55000000000000004">
      <c r="A41" s="48" t="s">
        <v>136</v>
      </c>
      <c r="B41" s="2" t="s">
        <v>151</v>
      </c>
      <c r="C41" s="1">
        <v>1</v>
      </c>
      <c r="D41" s="1">
        <v>0</v>
      </c>
      <c r="E41" s="1">
        <v>0</v>
      </c>
      <c r="F41" s="1">
        <v>0</v>
      </c>
      <c r="G41" s="1">
        <f>SUM(テーブル134[[#This Row],[ケアレスミス]:[解釈]])</f>
        <v>1</v>
      </c>
      <c r="H41" s="1">
        <v>108</v>
      </c>
      <c r="I41" s="61">
        <f>IF(AND(テーブル134[[#This Row],[FB数合計]]=0,テーブル134[[#This Row],[件数]]=0),0,テーブル134[[#This Row],[FB数合計]]/テーブル134[[#This Row],[件数]])</f>
        <v>9.2592592592592587E-3</v>
      </c>
      <c r="J41" s="68">
        <v>0</v>
      </c>
    </row>
    <row r="42" spans="1:10" x14ac:dyDescent="0.55000000000000004">
      <c r="A42" s="48" t="s">
        <v>137</v>
      </c>
      <c r="B42" s="2" t="s">
        <v>100</v>
      </c>
      <c r="C42" s="1">
        <v>2</v>
      </c>
      <c r="D42" s="1">
        <v>0</v>
      </c>
      <c r="E42" s="1">
        <v>0</v>
      </c>
      <c r="F42" s="1">
        <v>0</v>
      </c>
      <c r="G42" s="1">
        <f>SUM(テーブル134[[#This Row],[ケアレスミス]:[解釈]])</f>
        <v>2</v>
      </c>
      <c r="H42" s="1">
        <v>90</v>
      </c>
      <c r="I42" s="61">
        <f>IF(AND(テーブル134[[#This Row],[FB数合計]]=0,テーブル134[[#This Row],[件数]]=0),0,テーブル134[[#This Row],[FB数合計]]/テーブル134[[#This Row],[件数]])</f>
        <v>2.2222222222222223E-2</v>
      </c>
      <c r="J42" s="68">
        <v>0</v>
      </c>
    </row>
    <row r="43" spans="1:10" x14ac:dyDescent="0.55000000000000004">
      <c r="A43" s="48" t="s">
        <v>138</v>
      </c>
      <c r="B43" s="2" t="s">
        <v>15</v>
      </c>
      <c r="C43" s="1">
        <v>0</v>
      </c>
      <c r="D43" s="1">
        <v>0</v>
      </c>
      <c r="E43" s="1">
        <v>0</v>
      </c>
      <c r="F43" s="1">
        <v>0</v>
      </c>
      <c r="G43" s="1">
        <f>SUM(テーブル134[[#This Row],[ケアレスミス]:[解釈]])</f>
        <v>0</v>
      </c>
      <c r="H43" s="1">
        <v>82</v>
      </c>
      <c r="I43" s="61">
        <f>IF(AND(テーブル134[[#This Row],[FB数合計]]=0,テーブル134[[#This Row],[件数]]=0),0,テーブル134[[#This Row],[FB数合計]]/テーブル134[[#This Row],[件数]])</f>
        <v>0</v>
      </c>
      <c r="J43" s="68">
        <v>0</v>
      </c>
    </row>
    <row r="44" spans="1:10" x14ac:dyDescent="0.55000000000000004">
      <c r="A44" s="48" t="s">
        <v>139</v>
      </c>
      <c r="B44" s="2" t="s">
        <v>2</v>
      </c>
      <c r="C44" s="1">
        <v>0</v>
      </c>
      <c r="D44" s="1">
        <v>0</v>
      </c>
      <c r="E44" s="1">
        <v>0</v>
      </c>
      <c r="F44" s="1">
        <v>0</v>
      </c>
      <c r="G44" s="1">
        <f>SUM(テーブル134[[#This Row],[ケアレスミス]:[解釈]])</f>
        <v>0</v>
      </c>
      <c r="H44" s="1">
        <v>147</v>
      </c>
      <c r="I44" s="61">
        <f>IF(AND(テーブル134[[#This Row],[FB数合計]]=0,テーブル134[[#This Row],[件数]]=0),0,テーブル134[[#This Row],[FB数合計]]/テーブル134[[#This Row],[件数]])</f>
        <v>0</v>
      </c>
      <c r="J44" s="68">
        <v>0</v>
      </c>
    </row>
    <row r="45" spans="1:10" x14ac:dyDescent="0.55000000000000004">
      <c r="A45" s="48" t="s">
        <v>140</v>
      </c>
      <c r="B45" s="2" t="s">
        <v>151</v>
      </c>
      <c r="C45" s="1">
        <v>2</v>
      </c>
      <c r="D45" s="1">
        <v>1</v>
      </c>
      <c r="E45" s="1">
        <v>0</v>
      </c>
      <c r="F45" s="1">
        <v>0</v>
      </c>
      <c r="G45" s="1">
        <f>SUM(テーブル134[[#This Row],[ケアレスミス]:[解釈]])</f>
        <v>3</v>
      </c>
      <c r="H45" s="1">
        <v>402</v>
      </c>
      <c r="I45" s="61">
        <f>IF(AND(テーブル134[[#This Row],[FB数合計]]=0,テーブル134[[#This Row],[件数]]=0),0,テーブル134[[#This Row],[FB数合計]]/テーブル134[[#This Row],[件数]])</f>
        <v>7.462686567164179E-3</v>
      </c>
      <c r="J45" s="68">
        <v>0</v>
      </c>
    </row>
    <row r="46" spans="1:10" x14ac:dyDescent="0.55000000000000004">
      <c r="A46" s="48" t="s">
        <v>141</v>
      </c>
      <c r="B46" s="2" t="s">
        <v>100</v>
      </c>
      <c r="C46" s="1">
        <v>1</v>
      </c>
      <c r="D46" s="1">
        <v>0</v>
      </c>
      <c r="E46" s="1">
        <v>0</v>
      </c>
      <c r="F46" s="1">
        <v>0</v>
      </c>
      <c r="G46" s="1">
        <f>SUM(テーブル134[[#This Row],[ケアレスミス]:[解釈]])</f>
        <v>1</v>
      </c>
      <c r="H46" s="1">
        <v>120</v>
      </c>
      <c r="I46" s="61">
        <f>IF(AND(テーブル134[[#This Row],[FB数合計]]=0,テーブル134[[#This Row],[件数]]=0),0,テーブル134[[#This Row],[FB数合計]]/テーブル134[[#This Row],[件数]])</f>
        <v>8.3333333333333332E-3</v>
      </c>
      <c r="J46" s="68">
        <v>0</v>
      </c>
    </row>
    <row r="47" spans="1:10" x14ac:dyDescent="0.55000000000000004">
      <c r="A47" s="48" t="s">
        <v>142</v>
      </c>
      <c r="B47" s="2" t="s">
        <v>40</v>
      </c>
      <c r="C47" s="1">
        <v>0</v>
      </c>
      <c r="D47" s="1">
        <v>0</v>
      </c>
      <c r="E47" s="1">
        <v>0</v>
      </c>
      <c r="F47" s="1">
        <v>0</v>
      </c>
      <c r="G47" s="1">
        <f>SUM(テーブル134[[#This Row],[ケアレスミス]:[解釈]])</f>
        <v>0</v>
      </c>
      <c r="H47" s="1">
        <v>77</v>
      </c>
      <c r="I47" s="61">
        <f>IF(AND(テーブル134[[#This Row],[FB数合計]]=0,テーブル134[[#This Row],[件数]]=0),0,テーブル134[[#This Row],[FB数合計]]/テーブル134[[#This Row],[件数]])</f>
        <v>0</v>
      </c>
      <c r="J47" s="68">
        <v>0</v>
      </c>
    </row>
    <row r="48" spans="1:10" x14ac:dyDescent="0.55000000000000004">
      <c r="A48" s="48" t="s">
        <v>143</v>
      </c>
      <c r="B48" s="2" t="s">
        <v>150</v>
      </c>
      <c r="C48" s="1">
        <v>0</v>
      </c>
      <c r="D48" s="1">
        <v>0</v>
      </c>
      <c r="E48" s="1">
        <v>0</v>
      </c>
      <c r="F48" s="1">
        <v>0</v>
      </c>
      <c r="G48" s="1">
        <f>SUM(テーブル134[[#This Row],[ケアレスミス]:[解釈]])</f>
        <v>0</v>
      </c>
      <c r="H48" s="1">
        <v>47</v>
      </c>
      <c r="I48" s="61">
        <f>IF(AND(テーブル134[[#This Row],[FB数合計]]=0,テーブル134[[#This Row],[件数]]=0),0,テーブル134[[#This Row],[FB数合計]]/テーブル134[[#This Row],[件数]])</f>
        <v>0</v>
      </c>
      <c r="J48" s="68">
        <v>0</v>
      </c>
    </row>
    <row r="49" spans="1:10" x14ac:dyDescent="0.55000000000000004">
      <c r="A49" s="48" t="s">
        <v>144</v>
      </c>
      <c r="B49" s="2" t="s">
        <v>2</v>
      </c>
      <c r="C49" s="1">
        <v>0</v>
      </c>
      <c r="D49" s="1">
        <v>0</v>
      </c>
      <c r="E49" s="1">
        <v>0</v>
      </c>
      <c r="F49" s="1">
        <v>0</v>
      </c>
      <c r="G49" s="1">
        <f>SUM(テーブル134[[#This Row],[ケアレスミス]:[解釈]])</f>
        <v>0</v>
      </c>
      <c r="H49" s="1">
        <v>0</v>
      </c>
      <c r="I49" s="61">
        <f>IF(AND(テーブル134[[#This Row],[FB数合計]]=0,テーブル134[[#This Row],[件数]]=0),0,テーブル134[[#This Row],[FB数合計]]/テーブル134[[#This Row],[件数]])</f>
        <v>0</v>
      </c>
      <c r="J49" s="68">
        <v>0</v>
      </c>
    </row>
    <row r="50" spans="1:10" x14ac:dyDescent="0.55000000000000004">
      <c r="A50" s="48" t="s">
        <v>145</v>
      </c>
      <c r="B50" s="2" t="s">
        <v>15</v>
      </c>
      <c r="C50" s="1">
        <v>0</v>
      </c>
      <c r="D50" s="1">
        <v>0</v>
      </c>
      <c r="E50" s="1">
        <v>0</v>
      </c>
      <c r="F50" s="1">
        <v>0</v>
      </c>
      <c r="G50" s="1">
        <f>SUM(テーブル134[[#This Row],[ケアレスミス]:[解釈]])</f>
        <v>0</v>
      </c>
      <c r="H50" s="1">
        <v>0</v>
      </c>
      <c r="I50" s="61">
        <f>IF(AND(テーブル134[[#This Row],[FB数合計]]=0,テーブル134[[#This Row],[件数]]=0),0,テーブル134[[#This Row],[FB数合計]]/テーブル134[[#This Row],[件数]])</f>
        <v>0</v>
      </c>
      <c r="J50" s="68">
        <v>0</v>
      </c>
    </row>
    <row r="51" spans="1:10" x14ac:dyDescent="0.55000000000000004">
      <c r="A51" s="48" t="s">
        <v>146</v>
      </c>
      <c r="B51" s="2" t="s">
        <v>40</v>
      </c>
      <c r="C51" s="1">
        <v>0</v>
      </c>
      <c r="D51" s="1">
        <v>2</v>
      </c>
      <c r="E51" s="1">
        <v>0</v>
      </c>
      <c r="F51" s="1">
        <v>0</v>
      </c>
      <c r="G51" s="1">
        <f>SUM(テーブル134[[#This Row],[ケアレスミス]:[解釈]])</f>
        <v>2</v>
      </c>
      <c r="H51" s="1">
        <v>185</v>
      </c>
      <c r="I51" s="61">
        <f>IF(AND(テーブル134[[#This Row],[FB数合計]]=0,テーブル134[[#This Row],[件数]]=0),0,テーブル134[[#This Row],[FB数合計]]/テーブル134[[#This Row],[件数]])</f>
        <v>1.0810810810810811E-2</v>
      </c>
      <c r="J51" s="68">
        <v>0</v>
      </c>
    </row>
    <row r="52" spans="1:10" x14ac:dyDescent="0.55000000000000004">
      <c r="A52" s="48" t="s">
        <v>147</v>
      </c>
      <c r="B52" s="2" t="s">
        <v>100</v>
      </c>
      <c r="C52" s="1">
        <v>7</v>
      </c>
      <c r="D52" s="1">
        <v>0</v>
      </c>
      <c r="E52" s="1">
        <v>0</v>
      </c>
      <c r="F52" s="1">
        <v>0</v>
      </c>
      <c r="G52" s="1">
        <f>SUM(テーブル134[[#This Row],[ケアレスミス]:[解釈]])</f>
        <v>7</v>
      </c>
      <c r="H52" s="1">
        <v>138</v>
      </c>
      <c r="I52" s="61">
        <f>IF(AND(テーブル134[[#This Row],[FB数合計]]=0,テーブル134[[#This Row],[件数]]=0),0,テーブル134[[#This Row],[FB数合計]]/テーブル134[[#This Row],[件数]])</f>
        <v>5.0724637681159424E-2</v>
      </c>
      <c r="J52" s="68">
        <v>0</v>
      </c>
    </row>
    <row r="53" spans="1:10" x14ac:dyDescent="0.55000000000000004">
      <c r="A53" s="48" t="s">
        <v>168</v>
      </c>
      <c r="B53" s="2" t="s">
        <v>151</v>
      </c>
      <c r="C53" s="1">
        <v>0</v>
      </c>
      <c r="D53" s="1">
        <v>0</v>
      </c>
      <c r="E53" s="1">
        <v>0</v>
      </c>
      <c r="F53" s="1">
        <v>0</v>
      </c>
      <c r="G53" s="1">
        <f>SUM(テーブル134[[#This Row],[ケアレスミス]:[解釈]])</f>
        <v>0</v>
      </c>
      <c r="H53" s="1">
        <v>146</v>
      </c>
      <c r="I53" s="61">
        <f>IF(AND(テーブル134[[#This Row],[FB数合計]]=0,テーブル134[[#This Row],[件数]]=0),0,テーブル134[[#This Row],[FB数合計]]/テーブル134[[#This Row],[件数]])</f>
        <v>0</v>
      </c>
      <c r="J53" s="68">
        <v>0</v>
      </c>
    </row>
    <row r="54" spans="1:10" x14ac:dyDescent="0.55000000000000004">
      <c r="A54" s="48" t="s">
        <v>169</v>
      </c>
      <c r="B54" s="2" t="s">
        <v>15</v>
      </c>
      <c r="C54" s="1">
        <v>0</v>
      </c>
      <c r="D54" s="1">
        <v>0</v>
      </c>
      <c r="E54" s="1">
        <v>0</v>
      </c>
      <c r="F54" s="1">
        <v>0</v>
      </c>
      <c r="G54" s="1">
        <f>SUM(テーブル134[[#This Row],[ケアレスミス]:[解釈]])</f>
        <v>0</v>
      </c>
      <c r="H54" s="1">
        <v>125</v>
      </c>
      <c r="I54" s="61">
        <f>IF(AND(テーブル134[[#This Row],[FB数合計]]=0,テーブル134[[#This Row],[件数]]=0),0,テーブル134[[#This Row],[FB数合計]]/テーブル134[[#This Row],[件数]])</f>
        <v>0</v>
      </c>
      <c r="J54" s="68">
        <v>0</v>
      </c>
    </row>
    <row r="55" spans="1:10" x14ac:dyDescent="0.55000000000000004">
      <c r="A55" s="48" t="s">
        <v>170</v>
      </c>
      <c r="B55" s="2" t="s">
        <v>2</v>
      </c>
      <c r="C55" s="1">
        <v>0</v>
      </c>
      <c r="D55" s="1">
        <v>0</v>
      </c>
      <c r="E55" s="1">
        <v>0</v>
      </c>
      <c r="F55" s="1">
        <v>0</v>
      </c>
      <c r="G55" s="1">
        <f>SUM(テーブル134[[#This Row],[ケアレスミス]:[解釈]])</f>
        <v>0</v>
      </c>
      <c r="H55" s="1">
        <v>134</v>
      </c>
      <c r="I55" s="61">
        <f>IF(AND(テーブル134[[#This Row],[FB数合計]]=0,テーブル134[[#This Row],[件数]]=0),0,テーブル134[[#This Row],[FB数合計]]/テーブル134[[#This Row],[件数]])</f>
        <v>0</v>
      </c>
      <c r="J55" s="68">
        <v>0</v>
      </c>
    </row>
    <row r="56" spans="1:10" x14ac:dyDescent="0.55000000000000004">
      <c r="A56" s="48" t="s">
        <v>217</v>
      </c>
      <c r="B56" s="2" t="s">
        <v>150</v>
      </c>
      <c r="C56" s="1">
        <v>2</v>
      </c>
      <c r="D56" s="1">
        <v>1</v>
      </c>
      <c r="E56" s="1">
        <v>0</v>
      </c>
      <c r="F56" s="1">
        <v>0</v>
      </c>
      <c r="G56" s="1">
        <f>SUM(テーブル134[[#This Row],[ケアレスミス]:[解釈]])</f>
        <v>3</v>
      </c>
      <c r="H56" s="1">
        <v>106</v>
      </c>
      <c r="I56" s="61">
        <f>IF(AND(テーブル134[[#This Row],[FB数合計]]=0,テーブル134[[#This Row],[件数]]=0),0,テーブル134[[#This Row],[FB数合計]]/テーブル134[[#This Row],[件数]])</f>
        <v>2.8301886792452831E-2</v>
      </c>
      <c r="J56" s="68">
        <v>0</v>
      </c>
    </row>
    <row r="57" spans="1:10" x14ac:dyDescent="0.55000000000000004">
      <c r="A57" s="48" t="s">
        <v>218</v>
      </c>
      <c r="B57" s="2" t="s">
        <v>150</v>
      </c>
      <c r="C57" s="1">
        <v>1</v>
      </c>
      <c r="D57" s="1">
        <v>0</v>
      </c>
      <c r="E57" s="1">
        <v>0</v>
      </c>
      <c r="F57" s="1">
        <v>0</v>
      </c>
      <c r="G57" s="1">
        <f>SUM(テーブル134[[#This Row],[ケアレスミス]:[解釈]])</f>
        <v>1</v>
      </c>
      <c r="H57" s="1">
        <v>318</v>
      </c>
      <c r="I57" s="61">
        <f>IF(AND(テーブル134[[#This Row],[FB数合計]]=0,テーブル134[[#This Row],[件数]]=0),0,テーブル134[[#This Row],[FB数合計]]/テーブル134[[#This Row],[件数]])</f>
        <v>3.1446540880503146E-3</v>
      </c>
      <c r="J57" s="68">
        <v>0</v>
      </c>
    </row>
    <row r="58" spans="1:10" x14ac:dyDescent="0.55000000000000004">
      <c r="A58" s="48" t="s">
        <v>219</v>
      </c>
      <c r="B58" s="2" t="s">
        <v>100</v>
      </c>
      <c r="C58" s="1">
        <v>1</v>
      </c>
      <c r="D58" s="1">
        <v>0</v>
      </c>
      <c r="E58" s="1">
        <v>0</v>
      </c>
      <c r="F58" s="1">
        <v>0</v>
      </c>
      <c r="G58" s="1">
        <f>SUM(テーブル134[[#This Row],[ケアレスミス]:[解釈]])</f>
        <v>1</v>
      </c>
      <c r="H58" s="1">
        <v>32</v>
      </c>
      <c r="I58" s="61">
        <f>IF(AND(テーブル134[[#This Row],[FB数合計]]=0,テーブル134[[#This Row],[件数]]=0),0,テーブル134[[#This Row],[FB数合計]]/テーブル134[[#This Row],[件数]])</f>
        <v>3.125E-2</v>
      </c>
      <c r="J58" s="68">
        <v>0</v>
      </c>
    </row>
    <row r="59" spans="1:10" x14ac:dyDescent="0.55000000000000004">
      <c r="A59" s="48" t="s">
        <v>220</v>
      </c>
      <c r="B59" s="2" t="s">
        <v>40</v>
      </c>
      <c r="C59" s="1">
        <v>0</v>
      </c>
      <c r="D59" s="1">
        <v>0</v>
      </c>
      <c r="E59" s="1">
        <v>0</v>
      </c>
      <c r="F59" s="1">
        <v>0</v>
      </c>
      <c r="G59" s="1">
        <f>SUM(テーブル134[[#This Row],[ケアレスミス]:[解釈]])</f>
        <v>0</v>
      </c>
      <c r="H59" s="1">
        <v>314</v>
      </c>
      <c r="I59" s="61">
        <f>IF(AND(テーブル134[[#This Row],[FB数合計]]=0,テーブル134[[#This Row],[件数]]=0),0,テーブル134[[#This Row],[FB数合計]]/テーブル134[[#This Row],[件数]])</f>
        <v>0</v>
      </c>
      <c r="J59" s="68">
        <v>0</v>
      </c>
    </row>
    <row r="60" spans="1:10" x14ac:dyDescent="0.55000000000000004">
      <c r="A60" s="48" t="s">
        <v>221</v>
      </c>
      <c r="B60" s="2" t="s">
        <v>151</v>
      </c>
      <c r="C60" s="1">
        <v>1</v>
      </c>
      <c r="D60" s="1">
        <v>0</v>
      </c>
      <c r="E60" s="1">
        <v>0</v>
      </c>
      <c r="F60" s="1">
        <v>0</v>
      </c>
      <c r="G60" s="1">
        <f>SUM(テーブル134[[#This Row],[ケアレスミス]:[解釈]])</f>
        <v>1</v>
      </c>
      <c r="H60" s="1">
        <v>232</v>
      </c>
      <c r="I60" s="61">
        <f>IF(AND(テーブル134[[#This Row],[FB数合計]]=0,テーブル134[[#This Row],[件数]]=0),0,テーブル134[[#This Row],[FB数合計]]/テーブル134[[#This Row],[件数]])</f>
        <v>4.3103448275862068E-3</v>
      </c>
      <c r="J60" s="68">
        <v>0</v>
      </c>
    </row>
    <row r="61" spans="1:10" x14ac:dyDescent="0.55000000000000004">
      <c r="A61" s="48" t="s">
        <v>222</v>
      </c>
      <c r="B61" s="2" t="s">
        <v>2</v>
      </c>
      <c r="C61" s="1">
        <v>0</v>
      </c>
      <c r="D61" s="1">
        <v>0</v>
      </c>
      <c r="E61" s="1">
        <v>0</v>
      </c>
      <c r="F61" s="1">
        <v>0</v>
      </c>
      <c r="G61" s="1">
        <f>SUM(テーブル134[[#This Row],[ケアレスミス]:[解釈]])</f>
        <v>0</v>
      </c>
      <c r="H61" s="1">
        <v>350</v>
      </c>
      <c r="I61" s="61">
        <f>IF(AND(テーブル134[[#This Row],[FB数合計]]=0,テーブル134[[#This Row],[件数]]=0),0,テーブル134[[#This Row],[FB数合計]]/テーブル134[[#This Row],[件数]])</f>
        <v>0</v>
      </c>
      <c r="J61" s="68">
        <v>0</v>
      </c>
    </row>
    <row r="62" spans="1:10" x14ac:dyDescent="0.55000000000000004">
      <c r="A62" s="48" t="s">
        <v>332</v>
      </c>
      <c r="B62" s="2" t="s">
        <v>15</v>
      </c>
      <c r="C62" s="1">
        <v>0</v>
      </c>
      <c r="D62" s="1">
        <v>11</v>
      </c>
      <c r="E62" s="1">
        <v>0</v>
      </c>
      <c r="F62" s="1">
        <v>0</v>
      </c>
      <c r="G62" s="1">
        <f>SUM(テーブル134[[#This Row],[ケアレスミス]:[解釈]])</f>
        <v>11</v>
      </c>
      <c r="H62" s="1">
        <v>266</v>
      </c>
      <c r="I62" s="61">
        <f>IF(AND(テーブル134[[#This Row],[FB数合計]]=0,テーブル134[[#This Row],[件数]]=0),0,テーブル134[[#This Row],[FB数合計]]/テーブル134[[#This Row],[件数]])</f>
        <v>4.1353383458646614E-2</v>
      </c>
      <c r="J62" s="68">
        <v>0</v>
      </c>
    </row>
    <row r="63" spans="1:10" x14ac:dyDescent="0.55000000000000004">
      <c r="A63" s="48" t="s">
        <v>333</v>
      </c>
      <c r="B63" s="2" t="s">
        <v>152</v>
      </c>
      <c r="C63" s="1">
        <v>0</v>
      </c>
      <c r="D63" s="1">
        <v>0</v>
      </c>
      <c r="E63" s="1">
        <v>0</v>
      </c>
      <c r="F63" s="1">
        <v>0</v>
      </c>
      <c r="G63" s="1">
        <f>SUM(テーブル134[[#This Row],[ケアレスミス]:[解釈]])</f>
        <v>0</v>
      </c>
      <c r="H63" s="1">
        <v>143</v>
      </c>
      <c r="I63" s="61">
        <f>IF(AND(テーブル134[[#This Row],[FB数合計]]=0,テーブル134[[#This Row],[件数]]=0),0,テーブル134[[#This Row],[FB数合計]]/テーブル134[[#This Row],[件数]])</f>
        <v>0</v>
      </c>
      <c r="J63" s="68">
        <v>0</v>
      </c>
    </row>
    <row r="64" spans="1:10" x14ac:dyDescent="0.55000000000000004">
      <c r="A64" s="48" t="s">
        <v>348</v>
      </c>
      <c r="B64" s="2" t="s">
        <v>167</v>
      </c>
      <c r="C64" s="1">
        <v>0</v>
      </c>
      <c r="D64" s="1">
        <v>0</v>
      </c>
      <c r="E64" s="1">
        <v>0</v>
      </c>
      <c r="F64" s="1">
        <v>0</v>
      </c>
      <c r="G64" s="1">
        <f>SUM(テーブル134[[#This Row],[ケアレスミス]:[解釈]])</f>
        <v>0</v>
      </c>
      <c r="H64" s="1">
        <v>0</v>
      </c>
      <c r="I64" s="61">
        <f>IF(AND(テーブル134[[#This Row],[FB数合計]]=0,テーブル134[[#This Row],[件数]]=0),0,テーブル134[[#This Row],[FB数合計]]/テーブル134[[#This Row],[件数]])</f>
        <v>0</v>
      </c>
      <c r="J64" s="68">
        <v>0</v>
      </c>
    </row>
    <row r="65" spans="1:10" x14ac:dyDescent="0.55000000000000004">
      <c r="A65" s="48" t="s">
        <v>349</v>
      </c>
      <c r="B65" s="2" t="s">
        <v>40</v>
      </c>
      <c r="C65" s="1">
        <v>0</v>
      </c>
      <c r="D65" s="1">
        <v>0</v>
      </c>
      <c r="E65" s="1">
        <v>0</v>
      </c>
      <c r="F65" s="1">
        <v>0</v>
      </c>
      <c r="G65" s="1">
        <f>SUM(テーブル134[[#This Row],[ケアレスミス]:[解釈]])</f>
        <v>0</v>
      </c>
      <c r="H65" s="1">
        <v>215</v>
      </c>
      <c r="I65" s="61">
        <f>IF(AND(テーブル134[[#This Row],[FB数合計]]=0,テーブル134[[#This Row],[件数]]=0),0,テーブル134[[#This Row],[FB数合計]]/テーブル134[[#This Row],[件数]])</f>
        <v>0</v>
      </c>
      <c r="J65" s="68">
        <v>0</v>
      </c>
    </row>
    <row r="66" spans="1:10" x14ac:dyDescent="0.55000000000000004">
      <c r="A66" s="48" t="s">
        <v>350</v>
      </c>
      <c r="B66" s="2" t="s">
        <v>360</v>
      </c>
      <c r="C66" s="1">
        <v>0</v>
      </c>
      <c r="D66" s="1">
        <v>0</v>
      </c>
      <c r="E66" s="1">
        <v>0</v>
      </c>
      <c r="F66" s="1">
        <v>0</v>
      </c>
      <c r="G66" s="1">
        <f>SUM(テーブル134[[#This Row],[ケアレスミス]:[解釈]])</f>
        <v>0</v>
      </c>
      <c r="H66" s="1">
        <v>15</v>
      </c>
      <c r="I66" s="61">
        <f>IF(AND(テーブル134[[#This Row],[FB数合計]]=0,テーブル134[[#This Row],[件数]]=0),0,テーブル134[[#This Row],[FB数合計]]/テーブル134[[#This Row],[件数]])</f>
        <v>0</v>
      </c>
      <c r="J66" s="68">
        <v>0</v>
      </c>
    </row>
    <row r="67" spans="1:10" x14ac:dyDescent="0.55000000000000004">
      <c r="A67" s="48" t="s">
        <v>351</v>
      </c>
      <c r="B67" s="2" t="s">
        <v>151</v>
      </c>
      <c r="C67" s="1">
        <v>3</v>
      </c>
      <c r="D67" s="1">
        <v>0</v>
      </c>
      <c r="E67" s="1">
        <v>0</v>
      </c>
      <c r="F67" s="1">
        <v>0</v>
      </c>
      <c r="G67" s="1">
        <f>SUM(テーブル134[[#This Row],[ケアレスミス]:[解釈]])</f>
        <v>3</v>
      </c>
      <c r="H67" s="1">
        <v>408</v>
      </c>
      <c r="I67" s="61">
        <f>IF(AND(テーブル134[[#This Row],[FB数合計]]=0,テーブル134[[#This Row],[件数]]=0),0,テーブル134[[#This Row],[FB数合計]]/テーブル134[[#This Row],[件数]])</f>
        <v>7.3529411764705881E-3</v>
      </c>
      <c r="J67" s="68">
        <v>0</v>
      </c>
    </row>
    <row r="68" spans="1:10" x14ac:dyDescent="0.55000000000000004">
      <c r="A68" s="48" t="s">
        <v>352</v>
      </c>
      <c r="B68" s="2" t="s">
        <v>150</v>
      </c>
      <c r="C68" s="1">
        <v>1</v>
      </c>
      <c r="D68" s="1">
        <v>1</v>
      </c>
      <c r="E68" s="1">
        <v>0</v>
      </c>
      <c r="F68" s="1">
        <v>0</v>
      </c>
      <c r="G68" s="1">
        <f>SUM(テーブル134[[#This Row],[ケアレスミス]:[解釈]])</f>
        <v>2</v>
      </c>
      <c r="H68" s="1">
        <v>141</v>
      </c>
      <c r="I68" s="61">
        <f>IF(AND(テーブル134[[#This Row],[FB数合計]]=0,テーブル134[[#This Row],[件数]]=0),0,テーブル134[[#This Row],[FB数合計]]/テーブル134[[#This Row],[件数]])</f>
        <v>1.4184397163120567E-2</v>
      </c>
      <c r="J68" s="68">
        <v>0</v>
      </c>
    </row>
    <row r="69" spans="1:10" x14ac:dyDescent="0.55000000000000004">
      <c r="A69" s="48" t="s">
        <v>353</v>
      </c>
      <c r="B69" s="2" t="s">
        <v>15</v>
      </c>
      <c r="C69" s="1">
        <v>0</v>
      </c>
      <c r="D69" s="1">
        <v>0</v>
      </c>
      <c r="E69" s="1">
        <v>0</v>
      </c>
      <c r="F69" s="1">
        <v>0</v>
      </c>
      <c r="G69" s="1">
        <f>SUM(テーブル134[[#This Row],[ケアレスミス]:[解釈]])</f>
        <v>0</v>
      </c>
      <c r="H69" s="1">
        <v>27</v>
      </c>
      <c r="I69" s="61">
        <f>IF(AND(テーブル134[[#This Row],[FB数合計]]=0,テーブル134[[#This Row],[件数]]=0),0,テーブル134[[#This Row],[FB数合計]]/テーブル134[[#This Row],[件数]])</f>
        <v>0</v>
      </c>
      <c r="J69" s="68">
        <v>0</v>
      </c>
    </row>
    <row r="70" spans="1:10" x14ac:dyDescent="0.55000000000000004">
      <c r="A70" s="48" t="s">
        <v>354</v>
      </c>
      <c r="B70" s="2" t="s">
        <v>2</v>
      </c>
      <c r="C70" s="1">
        <v>0</v>
      </c>
      <c r="D70" s="1">
        <v>0</v>
      </c>
      <c r="E70" s="1">
        <v>0</v>
      </c>
      <c r="F70" s="1">
        <v>0</v>
      </c>
      <c r="G70" s="1">
        <f>SUM(テーブル134[[#This Row],[ケアレスミス]:[解釈]])</f>
        <v>0</v>
      </c>
      <c r="H70" s="1">
        <v>78</v>
      </c>
      <c r="I70" s="61">
        <f>IF(AND(テーブル134[[#This Row],[FB数合計]]=0,テーブル134[[#This Row],[件数]]=0),0,テーブル134[[#This Row],[FB数合計]]/テーブル134[[#This Row],[件数]])</f>
        <v>0</v>
      </c>
      <c r="J70" s="68">
        <v>0</v>
      </c>
    </row>
    <row r="71" spans="1:10" x14ac:dyDescent="0.55000000000000004">
      <c r="A71" s="48" t="s">
        <v>355</v>
      </c>
      <c r="B71" s="2" t="s">
        <v>152</v>
      </c>
      <c r="C71" s="1">
        <v>0</v>
      </c>
      <c r="D71" s="1">
        <v>0</v>
      </c>
      <c r="E71" s="1">
        <v>0</v>
      </c>
      <c r="F71" s="1">
        <v>0</v>
      </c>
      <c r="G71" s="1">
        <f>SUM(テーブル134[[#This Row],[ケアレスミス]:[解釈]])</f>
        <v>0</v>
      </c>
      <c r="H71" s="1">
        <v>0</v>
      </c>
      <c r="I71" s="61">
        <f>IF(AND(テーブル134[[#This Row],[FB数合計]]=0,テーブル134[[#This Row],[件数]]=0),0,テーブル134[[#This Row],[FB数合計]]/テーブル134[[#This Row],[件数]])</f>
        <v>0</v>
      </c>
      <c r="J71" s="68">
        <v>0</v>
      </c>
    </row>
    <row r="72" spans="1:10" x14ac:dyDescent="0.55000000000000004">
      <c r="A72" s="48" t="s">
        <v>356</v>
      </c>
      <c r="B72" s="2" t="s">
        <v>150</v>
      </c>
      <c r="C72" s="1">
        <v>1</v>
      </c>
      <c r="D72" s="1">
        <v>0</v>
      </c>
      <c r="E72" s="1">
        <v>1</v>
      </c>
      <c r="F72" s="1">
        <v>0</v>
      </c>
      <c r="G72" s="1">
        <f>SUM(テーブル134[[#This Row],[ケアレスミス]:[解釈]])</f>
        <v>1</v>
      </c>
      <c r="H72" s="1">
        <v>343</v>
      </c>
      <c r="I72" s="61">
        <f>IF(AND(テーブル134[[#This Row],[FB数合計]]=0,テーブル134[[#This Row],[件数]]=0),0,テーブル134[[#This Row],[FB数合計]]/テーブル134[[#This Row],[件数]])</f>
        <v>2.9154518950437317E-3</v>
      </c>
      <c r="J72" s="68">
        <v>0</v>
      </c>
    </row>
    <row r="73" spans="1:10" x14ac:dyDescent="0.55000000000000004">
      <c r="A73" s="48" t="s">
        <v>357</v>
      </c>
      <c r="B73" s="2" t="s">
        <v>368</v>
      </c>
      <c r="C73" s="1">
        <v>2</v>
      </c>
      <c r="D73" s="1">
        <v>0</v>
      </c>
      <c r="E73" s="1">
        <v>0</v>
      </c>
      <c r="F73" s="1">
        <v>0</v>
      </c>
      <c r="G73" s="1">
        <f>SUM(テーブル134[[#This Row],[ケアレスミス]:[解釈]])</f>
        <v>2</v>
      </c>
      <c r="H73" s="1">
        <v>96</v>
      </c>
      <c r="I73" s="61">
        <f>IF(AND(テーブル134[[#This Row],[FB数合計]]=0,テーブル134[[#This Row],[件数]]=0),0,テーブル134[[#This Row],[FB数合計]]/テーブル134[[#This Row],[件数]])</f>
        <v>2.0833333333333332E-2</v>
      </c>
      <c r="J73" s="68">
        <v>0</v>
      </c>
    </row>
    <row r="74" spans="1:10" x14ac:dyDescent="0.55000000000000004">
      <c r="A74" s="48" t="s">
        <v>358</v>
      </c>
      <c r="B74" s="2" t="s">
        <v>40</v>
      </c>
      <c r="C74" s="1">
        <v>0</v>
      </c>
      <c r="D74" s="1">
        <v>0</v>
      </c>
      <c r="E74" s="1">
        <v>0</v>
      </c>
      <c r="F74" s="1">
        <v>0</v>
      </c>
      <c r="G74" s="1">
        <f>SUM(テーブル134[[#This Row],[ケアレスミス]:[解釈]])</f>
        <v>0</v>
      </c>
      <c r="H74" s="1">
        <v>263</v>
      </c>
      <c r="I74" s="61">
        <f>IF(AND(テーブル134[[#This Row],[FB数合計]]=0,テーブル134[[#This Row],[件数]]=0),0,テーブル134[[#This Row],[FB数合計]]/テーブル134[[#This Row],[件数]])</f>
        <v>0</v>
      </c>
      <c r="J74" s="68">
        <v>0</v>
      </c>
    </row>
    <row r="75" spans="1:10" x14ac:dyDescent="0.55000000000000004">
      <c r="A75" s="48" t="s">
        <v>359</v>
      </c>
      <c r="B75" s="2" t="s">
        <v>151</v>
      </c>
      <c r="C75" s="1">
        <v>0</v>
      </c>
      <c r="D75" s="1">
        <v>0</v>
      </c>
      <c r="E75" s="1">
        <v>0</v>
      </c>
      <c r="F75" s="1">
        <v>0</v>
      </c>
      <c r="G75" s="1">
        <f>SUM(テーブル134[[#This Row],[ケアレスミス]:[解釈]])</f>
        <v>0</v>
      </c>
      <c r="H75" s="1">
        <v>181</v>
      </c>
      <c r="I75" s="61">
        <f>IF(AND(テーブル134[[#This Row],[FB数合計]]=0,テーブル134[[#This Row],[件数]]=0),0,テーブル134[[#This Row],[FB数合計]]/テーブル134[[#This Row],[件数]])</f>
        <v>0</v>
      </c>
      <c r="J75" s="68">
        <v>0</v>
      </c>
    </row>
    <row r="76" spans="1:10" x14ac:dyDescent="0.55000000000000004">
      <c r="A76" s="48" t="s">
        <v>364</v>
      </c>
      <c r="B76" s="2" t="s">
        <v>2</v>
      </c>
      <c r="C76" s="1">
        <v>0</v>
      </c>
      <c r="D76" s="1">
        <v>0</v>
      </c>
      <c r="E76" s="1">
        <v>0</v>
      </c>
      <c r="F76" s="1">
        <v>0</v>
      </c>
      <c r="G76" s="1">
        <f>SUM(テーブル134[[#This Row],[ケアレスミス]:[解釈]])</f>
        <v>0</v>
      </c>
      <c r="H76" s="1">
        <v>70</v>
      </c>
      <c r="I76" s="61">
        <f>IF(AND(テーブル134[[#This Row],[FB数合計]]=0,テーブル134[[#This Row],[件数]]=0),0,テーブル134[[#This Row],[FB数合計]]/テーブル134[[#This Row],[件数]])</f>
        <v>0</v>
      </c>
      <c r="J76" s="68">
        <v>0</v>
      </c>
    </row>
    <row r="77" spans="1:10" x14ac:dyDescent="0.55000000000000004">
      <c r="A77" s="48" t="s">
        <v>365</v>
      </c>
      <c r="B77" s="2" t="s">
        <v>15</v>
      </c>
      <c r="C77" s="1">
        <v>0</v>
      </c>
      <c r="D77" s="1">
        <v>0</v>
      </c>
      <c r="E77" s="1">
        <v>2</v>
      </c>
      <c r="F77" s="1">
        <v>0</v>
      </c>
      <c r="G77" s="1">
        <f>SUM(テーブル134[[#This Row],[ケアレスミス]:[解釈]])</f>
        <v>0</v>
      </c>
      <c r="H77" s="1">
        <v>158</v>
      </c>
      <c r="I77" s="61">
        <f>IF(AND(テーブル134[[#This Row],[FB数合計]]=0,テーブル134[[#This Row],[件数]]=0),0,テーブル134[[#This Row],[FB数合計]]/テーブル134[[#This Row],[件数]])</f>
        <v>0</v>
      </c>
      <c r="J77" s="68">
        <v>0</v>
      </c>
    </row>
    <row r="78" spans="1:10" x14ac:dyDescent="0.55000000000000004">
      <c r="A78" s="48" t="s">
        <v>366</v>
      </c>
      <c r="B78" s="2" t="s">
        <v>392</v>
      </c>
      <c r="C78" s="1">
        <v>0</v>
      </c>
      <c r="D78" s="1">
        <v>0</v>
      </c>
      <c r="E78" s="1">
        <v>0</v>
      </c>
      <c r="F78" s="1">
        <v>0</v>
      </c>
      <c r="G78" s="1">
        <f>SUM(テーブル134[[#This Row],[ケアレスミス]:[解釈]])</f>
        <v>0</v>
      </c>
      <c r="H78" s="1">
        <v>43</v>
      </c>
      <c r="I78" s="61">
        <f>IF(AND(テーブル134[[#This Row],[FB数合計]]=0,テーブル134[[#This Row],[件数]]=0),0,テーブル134[[#This Row],[FB数合計]]/テーブル134[[#This Row],[件数]])</f>
        <v>0</v>
      </c>
      <c r="J78" s="68">
        <v>0</v>
      </c>
    </row>
    <row r="79" spans="1:10" x14ac:dyDescent="0.55000000000000004">
      <c r="A79" s="48" t="s">
        <v>367</v>
      </c>
      <c r="B79" s="2" t="s">
        <v>40</v>
      </c>
      <c r="C79" s="1">
        <v>3</v>
      </c>
      <c r="D79" s="1">
        <v>0</v>
      </c>
      <c r="E79" s="1">
        <v>1</v>
      </c>
      <c r="F79" s="1">
        <v>0</v>
      </c>
      <c r="G79" s="1">
        <f>SUM(テーブル134[[#This Row],[ケアレスミス]:[解釈]])</f>
        <v>3</v>
      </c>
      <c r="H79" s="1">
        <v>552</v>
      </c>
      <c r="I79" s="61">
        <f>IF(AND(テーブル134[[#This Row],[FB数合計]]=0,テーブル134[[#This Row],[件数]]=0),0,テーブル134[[#This Row],[FB数合計]]/テーブル134[[#This Row],[件数]])</f>
        <v>5.434782608695652E-3</v>
      </c>
      <c r="J79" s="68">
        <v>0</v>
      </c>
    </row>
    <row r="80" spans="1:10" x14ac:dyDescent="0.55000000000000004">
      <c r="A80" s="48" t="s">
        <v>393</v>
      </c>
      <c r="B80" s="2" t="s">
        <v>100</v>
      </c>
      <c r="C80" s="1">
        <v>0</v>
      </c>
      <c r="D80" s="1">
        <v>0</v>
      </c>
      <c r="E80" s="1">
        <v>1</v>
      </c>
      <c r="F80" s="1">
        <v>0</v>
      </c>
      <c r="G80" s="1">
        <f>SUM(テーブル134[[#This Row],[ケアレスミス]:[解釈]])</f>
        <v>0</v>
      </c>
      <c r="H80" s="1">
        <v>45</v>
      </c>
      <c r="I80" s="61">
        <f>IF(AND(テーブル134[[#This Row],[FB数合計]]=0,テーブル134[[#This Row],[件数]]=0),0,テーブル134[[#This Row],[FB数合計]]/テーブル134[[#This Row],[件数]])</f>
        <v>0</v>
      </c>
      <c r="J80" s="68">
        <v>0</v>
      </c>
    </row>
    <row r="81" spans="1:10" x14ac:dyDescent="0.55000000000000004">
      <c r="A81" s="48" t="s">
        <v>394</v>
      </c>
      <c r="B81" s="2" t="s">
        <v>151</v>
      </c>
      <c r="C81" s="1">
        <v>0</v>
      </c>
      <c r="D81" s="1">
        <v>0</v>
      </c>
      <c r="E81" s="1">
        <v>0</v>
      </c>
      <c r="F81" s="1">
        <v>0</v>
      </c>
      <c r="G81" s="1">
        <f>SUM(テーブル134[[#This Row],[ケアレスミス]:[解釈]])</f>
        <v>0</v>
      </c>
      <c r="H81" s="1">
        <v>65</v>
      </c>
      <c r="I81" s="61">
        <f>IF(AND(テーブル134[[#This Row],[FB数合計]]=0,テーブル134[[#This Row],[件数]]=0),0,テーブル134[[#This Row],[FB数合計]]/テーブル134[[#This Row],[件数]])</f>
        <v>0</v>
      </c>
      <c r="J81" s="68">
        <v>0</v>
      </c>
    </row>
    <row r="82" spans="1:10" x14ac:dyDescent="0.55000000000000004">
      <c r="A82" s="48" t="s">
        <v>395</v>
      </c>
      <c r="B82" s="2" t="s">
        <v>150</v>
      </c>
      <c r="C82" s="1">
        <v>0</v>
      </c>
      <c r="D82" s="1">
        <v>0</v>
      </c>
      <c r="E82" s="1">
        <v>0</v>
      </c>
      <c r="F82" s="1">
        <v>0</v>
      </c>
      <c r="G82" s="1">
        <f>SUM(テーブル134[[#This Row],[ケアレスミス]:[解釈]])</f>
        <v>0</v>
      </c>
      <c r="H82" s="1">
        <v>257</v>
      </c>
      <c r="I82" s="61">
        <f>IF(AND(テーブル134[[#This Row],[FB数合計]]=0,テーブル134[[#This Row],[件数]]=0),0,テーブル134[[#This Row],[FB数合計]]/テーブル134[[#This Row],[件数]])</f>
        <v>0</v>
      </c>
      <c r="J82" s="68">
        <v>0</v>
      </c>
    </row>
    <row r="83" spans="1:10" x14ac:dyDescent="0.55000000000000004">
      <c r="A83" s="48" t="s">
        <v>396</v>
      </c>
      <c r="B83" s="2" t="s">
        <v>15</v>
      </c>
      <c r="C83" s="1">
        <v>0</v>
      </c>
      <c r="D83" s="1">
        <v>0</v>
      </c>
      <c r="E83" s="1">
        <v>0</v>
      </c>
      <c r="F83" s="1">
        <v>0</v>
      </c>
      <c r="G83" s="1">
        <f>SUM(テーブル134[[#This Row],[ケアレスミス]:[解釈]])</f>
        <v>0</v>
      </c>
      <c r="H83" s="1">
        <v>81</v>
      </c>
      <c r="I83" s="61">
        <f>IF(AND(テーブル134[[#This Row],[FB数合計]]=0,テーブル134[[#This Row],[件数]]=0),0,テーブル134[[#This Row],[FB数合計]]/テーブル134[[#This Row],[件数]])</f>
        <v>0</v>
      </c>
      <c r="J83" s="68">
        <v>0</v>
      </c>
    </row>
    <row r="84" spans="1:10" x14ac:dyDescent="0.55000000000000004">
      <c r="A84" s="48" t="s">
        <v>397</v>
      </c>
      <c r="B84" s="2" t="s">
        <v>2</v>
      </c>
      <c r="C84" s="1">
        <v>0</v>
      </c>
      <c r="D84" s="1">
        <v>0</v>
      </c>
      <c r="E84" s="1">
        <v>0</v>
      </c>
      <c r="F84" s="1">
        <v>0</v>
      </c>
      <c r="G84" s="1">
        <f>SUM(テーブル134[[#This Row],[ケアレスミス]:[解釈]])</f>
        <v>0</v>
      </c>
      <c r="H84" s="1">
        <v>13</v>
      </c>
      <c r="I84" s="61">
        <f>IF(AND(テーブル134[[#This Row],[FB数合計]]=0,テーブル134[[#This Row],[件数]]=0),0,テーブル134[[#This Row],[FB数合計]]/テーブル134[[#This Row],[件数]])</f>
        <v>0</v>
      </c>
      <c r="J84" s="68">
        <v>0</v>
      </c>
    </row>
    <row r="85" spans="1:10" x14ac:dyDescent="0.55000000000000004">
      <c r="A85" s="48" t="s">
        <v>398</v>
      </c>
      <c r="B85" s="2" t="s">
        <v>152</v>
      </c>
      <c r="C85" s="1">
        <v>0</v>
      </c>
      <c r="D85" s="1">
        <v>0</v>
      </c>
      <c r="E85" s="1">
        <v>0</v>
      </c>
      <c r="F85" s="1">
        <v>0</v>
      </c>
      <c r="G85" s="1">
        <f>SUM(テーブル134[[#This Row],[ケアレスミス]:[解釈]])</f>
        <v>0</v>
      </c>
      <c r="H85" s="1">
        <v>16</v>
      </c>
      <c r="I85" s="61">
        <f>IF(AND(テーブル134[[#This Row],[FB数合計]]=0,テーブル134[[#This Row],[件数]]=0),0,テーブル134[[#This Row],[FB数合計]]/テーブル134[[#This Row],[件数]])</f>
        <v>0</v>
      </c>
      <c r="J85" s="68">
        <v>0</v>
      </c>
    </row>
    <row r="86" spans="1:10" x14ac:dyDescent="0.55000000000000004">
      <c r="A86" s="48" t="s">
        <v>399</v>
      </c>
      <c r="B86" s="2" t="s">
        <v>150</v>
      </c>
      <c r="C86" s="1">
        <v>2</v>
      </c>
      <c r="D86" s="1">
        <v>0</v>
      </c>
      <c r="E86" s="1">
        <v>0</v>
      </c>
      <c r="F86" s="1">
        <v>0</v>
      </c>
      <c r="G86" s="1">
        <f>SUM(テーブル134[[#This Row],[ケアレスミス]:[解釈]])</f>
        <v>2</v>
      </c>
      <c r="H86" s="1">
        <v>424</v>
      </c>
      <c r="I86" s="61">
        <f>IF(AND(テーブル134[[#This Row],[FB数合計]]=0,テーブル134[[#This Row],[件数]]=0),0,テーブル134[[#This Row],[FB数合計]]/テーブル134[[#This Row],[件数]])</f>
        <v>4.7169811320754715E-3</v>
      </c>
      <c r="J86" s="68">
        <v>0</v>
      </c>
    </row>
    <row r="87" spans="1:10" x14ac:dyDescent="0.55000000000000004">
      <c r="A87" s="48" t="s">
        <v>400</v>
      </c>
      <c r="B87" s="2" t="s">
        <v>100</v>
      </c>
      <c r="C87" s="1">
        <v>0</v>
      </c>
      <c r="D87" s="1">
        <v>0</v>
      </c>
      <c r="E87" s="1">
        <v>0</v>
      </c>
      <c r="F87" s="1">
        <v>0</v>
      </c>
      <c r="G87" s="1">
        <f>SUM(テーブル134[[#This Row],[ケアレスミス]:[解釈]])</f>
        <v>0</v>
      </c>
      <c r="H87" s="1">
        <v>131</v>
      </c>
      <c r="I87" s="61">
        <f>IF(AND(テーブル134[[#This Row],[FB数合計]]=0,テーブル134[[#This Row],[件数]]=0),0,テーブル134[[#This Row],[FB数合計]]/テーブル134[[#This Row],[件数]])</f>
        <v>0</v>
      </c>
      <c r="J87" s="68">
        <v>0</v>
      </c>
    </row>
    <row r="88" spans="1:10" x14ac:dyDescent="0.55000000000000004">
      <c r="A88" s="48" t="s">
        <v>401</v>
      </c>
      <c r="B88" s="2" t="s">
        <v>40</v>
      </c>
      <c r="C88" s="1">
        <v>0</v>
      </c>
      <c r="D88" s="1">
        <v>0</v>
      </c>
      <c r="E88" s="1">
        <v>0</v>
      </c>
      <c r="F88" s="1">
        <v>0</v>
      </c>
      <c r="G88" s="1">
        <f>SUM(テーブル134[[#This Row],[ケアレスミス]:[解釈]])</f>
        <v>0</v>
      </c>
      <c r="H88" s="1">
        <v>185</v>
      </c>
      <c r="I88" s="61">
        <f>IF(AND(テーブル134[[#This Row],[FB数合計]]=0,テーブル134[[#This Row],[件数]]=0),0,テーブル134[[#This Row],[FB数合計]]/テーブル134[[#This Row],[件数]])</f>
        <v>0</v>
      </c>
      <c r="J88" s="68">
        <v>0</v>
      </c>
    </row>
    <row r="89" spans="1:10" x14ac:dyDescent="0.55000000000000004">
      <c r="A89" s="48" t="s">
        <v>402</v>
      </c>
      <c r="B89" s="2" t="s">
        <v>151</v>
      </c>
      <c r="C89" s="1">
        <v>0</v>
      </c>
      <c r="D89" s="1">
        <v>0</v>
      </c>
      <c r="E89" s="1">
        <v>0</v>
      </c>
      <c r="F89" s="1">
        <v>0</v>
      </c>
      <c r="G89" s="1">
        <f>SUM(テーブル134[[#This Row],[ケアレスミス]:[解釈]])</f>
        <v>0</v>
      </c>
      <c r="H89" s="1">
        <v>147</v>
      </c>
      <c r="I89" s="61">
        <f>IF(AND(テーブル134[[#This Row],[FB数合計]]=0,テーブル134[[#This Row],[件数]]=0),0,テーブル134[[#This Row],[FB数合計]]/テーブル134[[#This Row],[件数]])</f>
        <v>0</v>
      </c>
      <c r="J89" s="68">
        <v>0</v>
      </c>
    </row>
    <row r="90" spans="1:10" x14ac:dyDescent="0.55000000000000004">
      <c r="A90" s="48" t="s">
        <v>403</v>
      </c>
      <c r="B90" s="2" t="s">
        <v>2</v>
      </c>
      <c r="C90" s="1">
        <v>0</v>
      </c>
      <c r="D90" s="1">
        <v>0</v>
      </c>
      <c r="E90" s="1">
        <v>0</v>
      </c>
      <c r="F90" s="1">
        <v>0</v>
      </c>
      <c r="G90" s="1">
        <f>SUM(テーブル134[[#This Row],[ケアレスミス]:[解釈]])</f>
        <v>0</v>
      </c>
      <c r="H90" s="1">
        <v>86</v>
      </c>
      <c r="I90" s="61">
        <f>IF(AND(テーブル134[[#This Row],[FB数合計]]=0,テーブル134[[#This Row],[件数]]=0),0,テーブル134[[#This Row],[FB数合計]]/テーブル134[[#This Row],[件数]])</f>
        <v>0</v>
      </c>
      <c r="J90" s="68">
        <v>0</v>
      </c>
    </row>
    <row r="91" spans="1:10" x14ac:dyDescent="0.55000000000000004">
      <c r="A91" s="48" t="s">
        <v>404</v>
      </c>
      <c r="B91" s="2" t="s">
        <v>15</v>
      </c>
      <c r="C91" s="1">
        <v>0</v>
      </c>
      <c r="D91" s="1">
        <v>0</v>
      </c>
      <c r="E91" s="1">
        <v>0</v>
      </c>
      <c r="F91" s="1">
        <v>0</v>
      </c>
      <c r="G91" s="1">
        <f>SUM(テーブル134[[#This Row],[ケアレスミス]:[解釈]])</f>
        <v>0</v>
      </c>
      <c r="H91" s="1">
        <v>114</v>
      </c>
      <c r="I91" s="61">
        <f>IF(AND(テーブル134[[#This Row],[FB数合計]]=0,テーブル134[[#This Row],[件数]]=0),0,テーブル134[[#This Row],[FB数合計]]/テーブル134[[#This Row],[件数]])</f>
        <v>0</v>
      </c>
      <c r="J91" s="68">
        <v>0</v>
      </c>
    </row>
    <row r="92" spans="1:10" x14ac:dyDescent="0.55000000000000004">
      <c r="A92" s="48" t="s">
        <v>405</v>
      </c>
      <c r="B92" s="2" t="s">
        <v>152</v>
      </c>
      <c r="C92" s="1">
        <v>0</v>
      </c>
      <c r="D92" s="1">
        <v>0</v>
      </c>
      <c r="E92" s="1">
        <v>0</v>
      </c>
      <c r="F92" s="1">
        <v>0</v>
      </c>
      <c r="G92" s="1">
        <f>SUM(テーブル134[[#This Row],[ケアレスミス]:[解釈]])</f>
        <v>0</v>
      </c>
      <c r="H92" s="1">
        <v>88</v>
      </c>
      <c r="I92" s="61">
        <f>IF(AND(テーブル134[[#This Row],[FB数合計]]=0,テーブル134[[#This Row],[件数]]=0),0,テーブル134[[#This Row],[FB数合計]]/テーブル134[[#This Row],[件数]])</f>
        <v>0</v>
      </c>
      <c r="J92" s="68">
        <v>0</v>
      </c>
    </row>
    <row r="93" spans="1:10" x14ac:dyDescent="0.55000000000000004">
      <c r="A93" s="48" t="s">
        <v>406</v>
      </c>
      <c r="B93" s="2" t="s">
        <v>40</v>
      </c>
      <c r="C93" s="1">
        <v>0</v>
      </c>
      <c r="D93" s="1">
        <v>0</v>
      </c>
      <c r="E93" s="1">
        <v>0</v>
      </c>
      <c r="F93" s="1">
        <v>0</v>
      </c>
      <c r="G93" s="1">
        <f>SUM(テーブル134[[#This Row],[ケアレスミス]:[解釈]])</f>
        <v>0</v>
      </c>
      <c r="H93" s="1">
        <v>25</v>
      </c>
      <c r="I93" s="61">
        <f>IF(AND(テーブル134[[#This Row],[FB数合計]]=0,テーブル134[[#This Row],[件数]]=0),0,テーブル134[[#This Row],[FB数合計]]/テーブル134[[#This Row],[件数]])</f>
        <v>0</v>
      </c>
      <c r="J93" s="68">
        <v>0</v>
      </c>
    </row>
    <row r="94" spans="1:10" x14ac:dyDescent="0.55000000000000004">
      <c r="A94" s="48" t="s">
        <v>407</v>
      </c>
      <c r="B94" s="2" t="s">
        <v>100</v>
      </c>
      <c r="C94" s="1">
        <v>0</v>
      </c>
      <c r="D94" s="1">
        <v>0</v>
      </c>
      <c r="E94" s="1">
        <v>0</v>
      </c>
      <c r="F94" s="1">
        <v>0</v>
      </c>
      <c r="G94" s="1">
        <f>SUM(テーブル134[[#This Row],[ケアレスミス]:[解釈]])</f>
        <v>0</v>
      </c>
      <c r="H94" s="1">
        <v>7</v>
      </c>
      <c r="I94" s="61">
        <f>IF(AND(テーブル134[[#This Row],[FB数合計]]=0,テーブル134[[#This Row],[件数]]=0),0,テーブル134[[#This Row],[FB数合計]]/テーブル134[[#This Row],[件数]])</f>
        <v>0</v>
      </c>
      <c r="J94" s="68">
        <v>0</v>
      </c>
    </row>
    <row r="95" spans="1:10" x14ac:dyDescent="0.55000000000000004">
      <c r="A95" s="48" t="s">
        <v>408</v>
      </c>
      <c r="B95" s="2" t="s">
        <v>151</v>
      </c>
      <c r="C95" s="1">
        <v>0</v>
      </c>
      <c r="D95" s="1">
        <v>0</v>
      </c>
      <c r="E95" s="1">
        <v>0</v>
      </c>
      <c r="F95" s="1">
        <v>0</v>
      </c>
      <c r="G95" s="1">
        <f>SUM(テーブル134[[#This Row],[ケアレスミス]:[解釈]])</f>
        <v>0</v>
      </c>
      <c r="H95" s="1">
        <v>15</v>
      </c>
      <c r="I95" s="61">
        <f>IF(AND(テーブル134[[#This Row],[FB数合計]]=0,テーブル134[[#This Row],[件数]]=0),0,テーブル134[[#This Row],[FB数合計]]/テーブル134[[#This Row],[件数]])</f>
        <v>0</v>
      </c>
      <c r="J95" s="68">
        <v>0</v>
      </c>
    </row>
    <row r="96" spans="1:10" x14ac:dyDescent="0.55000000000000004">
      <c r="A96" s="48" t="s">
        <v>409</v>
      </c>
      <c r="B96" s="2" t="s">
        <v>150</v>
      </c>
      <c r="C96" s="1">
        <v>0</v>
      </c>
      <c r="D96" s="1">
        <v>0</v>
      </c>
      <c r="E96" s="1">
        <v>0</v>
      </c>
      <c r="F96" s="1">
        <v>0</v>
      </c>
      <c r="G96" s="1">
        <f>SUM(テーブル134[[#This Row],[ケアレスミス]:[解釈]])</f>
        <v>0</v>
      </c>
      <c r="H96" s="1">
        <v>13</v>
      </c>
      <c r="I96" s="61">
        <f>IF(AND(テーブル134[[#This Row],[FB数合計]]=0,テーブル134[[#This Row],[件数]]=0),0,テーブル134[[#This Row],[FB数合計]]/テーブル134[[#This Row],[件数]])</f>
        <v>0</v>
      </c>
      <c r="J96" s="68">
        <v>0</v>
      </c>
    </row>
    <row r="97" spans="1:10" x14ac:dyDescent="0.55000000000000004">
      <c r="A97" s="48" t="s">
        <v>410</v>
      </c>
      <c r="B97" s="2" t="s">
        <v>2</v>
      </c>
      <c r="C97" s="1">
        <v>0</v>
      </c>
      <c r="D97" s="1">
        <v>0</v>
      </c>
      <c r="E97" s="1">
        <v>0</v>
      </c>
      <c r="F97" s="1">
        <v>0</v>
      </c>
      <c r="G97" s="1">
        <f>SUM(テーブル134[[#This Row],[ケアレスミス]:[解釈]])</f>
        <v>0</v>
      </c>
      <c r="H97" s="1">
        <v>2</v>
      </c>
      <c r="I97" s="61">
        <f>IF(AND(テーブル134[[#This Row],[FB数合計]]=0,テーブル134[[#This Row],[件数]]=0),0,テーブル134[[#This Row],[FB数合計]]/テーブル134[[#This Row],[件数]])</f>
        <v>0</v>
      </c>
      <c r="J97" s="68">
        <v>0</v>
      </c>
    </row>
    <row r="98" spans="1:10" x14ac:dyDescent="0.55000000000000004">
      <c r="A98" s="48" t="s">
        <v>428</v>
      </c>
      <c r="B98" s="2" t="s">
        <v>15</v>
      </c>
      <c r="C98" s="1">
        <v>0</v>
      </c>
      <c r="D98" s="1">
        <v>0</v>
      </c>
      <c r="E98" s="1">
        <v>0</v>
      </c>
      <c r="F98" s="1">
        <v>0</v>
      </c>
      <c r="G98" s="1">
        <f>SUM(テーブル134[[#This Row],[ケアレスミス]:[解釈]])</f>
        <v>0</v>
      </c>
      <c r="H98" s="1">
        <v>0</v>
      </c>
      <c r="I98" s="61">
        <f>IF(AND(テーブル134[[#This Row],[FB数合計]]=0,テーブル134[[#This Row],[件数]]=0),0,テーブル134[[#This Row],[FB数合計]]/テーブル134[[#This Row],[件数]])</f>
        <v>0</v>
      </c>
      <c r="J98" s="68">
        <v>0</v>
      </c>
    </row>
    <row r="99" spans="1:10" x14ac:dyDescent="0.55000000000000004">
      <c r="A99" s="48" t="s">
        <v>429</v>
      </c>
      <c r="B99" s="2" t="s">
        <v>152</v>
      </c>
      <c r="C99" s="1">
        <v>0</v>
      </c>
      <c r="D99" s="1">
        <v>0</v>
      </c>
      <c r="E99" s="1">
        <v>0</v>
      </c>
      <c r="F99" s="1">
        <v>0</v>
      </c>
      <c r="G99" s="1">
        <f>SUM(テーブル134[[#This Row],[ケアレスミス]:[解釈]])</f>
        <v>0</v>
      </c>
      <c r="H99" s="1">
        <v>0</v>
      </c>
      <c r="I99" s="61">
        <f>IF(AND(テーブル134[[#This Row],[FB数合計]]=0,テーブル134[[#This Row],[件数]]=0),0,テーブル134[[#This Row],[FB数合計]]/テーブル134[[#This Row],[件数]])</f>
        <v>0</v>
      </c>
      <c r="J99" s="68">
        <v>0</v>
      </c>
    </row>
    <row r="100" spans="1:10" x14ac:dyDescent="0.55000000000000004">
      <c r="A100" s="48" t="s">
        <v>430</v>
      </c>
      <c r="B100" s="2" t="s">
        <v>151</v>
      </c>
      <c r="C100" s="1">
        <v>0</v>
      </c>
      <c r="D100" s="1">
        <v>0</v>
      </c>
      <c r="E100" s="1">
        <v>0</v>
      </c>
      <c r="F100" s="1">
        <v>0</v>
      </c>
      <c r="G100" s="1">
        <f>SUM(テーブル134[[#This Row],[ケアレスミス]:[解釈]])</f>
        <v>0</v>
      </c>
      <c r="H100" s="1">
        <v>50</v>
      </c>
      <c r="I100" s="61">
        <f>IF(AND(テーブル134[[#This Row],[FB数合計]]=0,テーブル134[[#This Row],[件数]]=0),0,テーブル134[[#This Row],[FB数合計]]/テーブル134[[#This Row],[件数]])</f>
        <v>0</v>
      </c>
      <c r="J100" s="68">
        <v>0</v>
      </c>
    </row>
    <row r="101" spans="1:10" x14ac:dyDescent="0.55000000000000004">
      <c r="A101" s="48" t="s">
        <v>431</v>
      </c>
      <c r="B101" s="2" t="s">
        <v>100</v>
      </c>
      <c r="C101" s="1">
        <v>0</v>
      </c>
      <c r="D101" s="1">
        <v>0</v>
      </c>
      <c r="E101" s="1">
        <v>0</v>
      </c>
      <c r="F101" s="1">
        <v>0</v>
      </c>
      <c r="G101" s="1">
        <f>SUM(テーブル134[[#This Row],[ケアレスミス]:[解釈]])</f>
        <v>0</v>
      </c>
      <c r="H101" s="1">
        <v>4</v>
      </c>
      <c r="I101" s="61">
        <f>IF(AND(テーブル134[[#This Row],[FB数合計]]=0,テーブル134[[#This Row],[件数]]=0),0,テーブル134[[#This Row],[FB数合計]]/テーブル134[[#This Row],[件数]])</f>
        <v>0</v>
      </c>
      <c r="J101" s="68">
        <v>0</v>
      </c>
    </row>
    <row r="102" spans="1:10" x14ac:dyDescent="0.55000000000000004">
      <c r="A102" s="48" t="s">
        <v>432</v>
      </c>
      <c r="B102" s="2" t="s">
        <v>40</v>
      </c>
      <c r="C102" s="1">
        <v>0</v>
      </c>
      <c r="D102" s="1">
        <v>0</v>
      </c>
      <c r="E102" s="1">
        <v>1</v>
      </c>
      <c r="F102" s="1">
        <v>0</v>
      </c>
      <c r="G102" s="1">
        <f>SUM(テーブル134[[#This Row],[ケアレスミス]:[解釈]])</f>
        <v>0</v>
      </c>
      <c r="H102" s="1">
        <v>11</v>
      </c>
      <c r="I102" s="61">
        <f>IF(AND(テーブル134[[#This Row],[FB数合計]]=0,テーブル134[[#This Row],[件数]]=0),0,テーブル134[[#This Row],[FB数合計]]/テーブル134[[#This Row],[件数]])</f>
        <v>0</v>
      </c>
      <c r="J102" s="68">
        <v>0</v>
      </c>
    </row>
    <row r="103" spans="1:10" x14ac:dyDescent="0.55000000000000004">
      <c r="A103" s="62" t="s">
        <v>440</v>
      </c>
      <c r="B103" s="38" t="s">
        <v>150</v>
      </c>
      <c r="C103" s="39">
        <v>0</v>
      </c>
      <c r="D103" s="39">
        <v>0</v>
      </c>
      <c r="E103" s="39">
        <v>0</v>
      </c>
      <c r="F103" s="39">
        <v>0</v>
      </c>
      <c r="G103" s="39">
        <f>SUM(テーブル134[[#This Row],[ケアレスミス]:[解釈]])</f>
        <v>0</v>
      </c>
      <c r="H103" s="39">
        <v>7</v>
      </c>
      <c r="I103" s="71">
        <f>IF(AND(テーブル134[[#This Row],[FB数合計]]=0,テーブル134[[#This Row],[件数]]=0),0,テーブル134[[#This Row],[FB数合計]]/テーブル134[[#This Row],[件数]])</f>
        <v>0</v>
      </c>
      <c r="J103" s="72">
        <v>0</v>
      </c>
    </row>
    <row r="104" spans="1:10" x14ac:dyDescent="0.55000000000000004">
      <c r="A104" s="62" t="s">
        <v>441</v>
      </c>
      <c r="B104" s="38" t="s">
        <v>2</v>
      </c>
      <c r="C104" s="39">
        <v>0</v>
      </c>
      <c r="D104" s="39">
        <v>0</v>
      </c>
      <c r="E104" s="39">
        <v>0</v>
      </c>
      <c r="F104" s="39">
        <v>0</v>
      </c>
      <c r="G104" s="39">
        <f>SUM(テーブル134[[#This Row],[ケアレスミス]:[解釈]])</f>
        <v>0</v>
      </c>
      <c r="H104" s="39">
        <v>0</v>
      </c>
      <c r="I104" s="71">
        <f>IF(AND(テーブル134[[#This Row],[FB数合計]]=0,テーブル134[[#This Row],[件数]]=0),0,テーブル134[[#This Row],[FB数合計]]/テーブル134[[#This Row],[件数]])</f>
        <v>0</v>
      </c>
      <c r="J104" s="72">
        <v>0</v>
      </c>
    </row>
    <row r="105" spans="1:10" x14ac:dyDescent="0.55000000000000004">
      <c r="A105" s="62" t="s">
        <v>442</v>
      </c>
      <c r="B105" s="38" t="s">
        <v>15</v>
      </c>
      <c r="C105" s="39">
        <v>0</v>
      </c>
      <c r="D105" s="39">
        <v>0</v>
      </c>
      <c r="E105" s="39">
        <v>0</v>
      </c>
      <c r="F105" s="39">
        <v>0</v>
      </c>
      <c r="G105" s="39">
        <f>SUM(テーブル134[[#This Row],[ケアレスミス]:[解釈]])</f>
        <v>0</v>
      </c>
      <c r="H105" s="39">
        <v>0</v>
      </c>
      <c r="I105" s="71">
        <f>IF(AND(テーブル134[[#This Row],[FB数合計]]=0,テーブル134[[#This Row],[件数]]=0),0,テーブル134[[#This Row],[FB数合計]]/テーブル134[[#This Row],[件数]])</f>
        <v>0</v>
      </c>
      <c r="J105" s="72">
        <v>0</v>
      </c>
    </row>
    <row r="106" spans="1:10" x14ac:dyDescent="0.55000000000000004">
      <c r="A106" s="62" t="s">
        <v>482</v>
      </c>
      <c r="B106" s="38" t="s">
        <v>152</v>
      </c>
      <c r="C106" s="39">
        <v>0</v>
      </c>
      <c r="D106" s="39">
        <v>0</v>
      </c>
      <c r="E106" s="39">
        <v>0</v>
      </c>
      <c r="F106" s="39">
        <v>0</v>
      </c>
      <c r="G106" s="39">
        <f>SUM(テーブル134[[#This Row],[ケアレスミス]:[解釈]])</f>
        <v>0</v>
      </c>
      <c r="H106" s="39">
        <v>0</v>
      </c>
      <c r="I106" s="71">
        <f>IF(AND(テーブル134[[#This Row],[FB数合計]]=0,テーブル134[[#This Row],[件数]]=0),0,テーブル134[[#This Row],[FB数合計]]/テーブル134[[#This Row],[件数]])</f>
        <v>0</v>
      </c>
      <c r="J106" s="72">
        <v>0</v>
      </c>
    </row>
    <row r="107" spans="1:10" x14ac:dyDescent="0.55000000000000004">
      <c r="A107" s="62" t="s">
        <v>483</v>
      </c>
      <c r="B107" s="2" t="s">
        <v>40</v>
      </c>
      <c r="C107" s="39"/>
      <c r="D107" s="39"/>
      <c r="E107" s="39"/>
      <c r="F107" s="39"/>
      <c r="G107" s="39">
        <f>SUM(テーブル134[[#This Row],[ケアレスミス]:[解釈]])</f>
        <v>0</v>
      </c>
      <c r="H107" s="39"/>
      <c r="I107" s="71">
        <f>IF(AND(テーブル134[[#This Row],[FB数合計]]=0,テーブル134[[#This Row],[件数]]=0),0,テーブル134[[#This Row],[FB数合計]]/テーブル134[[#This Row],[件数]])</f>
        <v>0</v>
      </c>
      <c r="J107" s="72"/>
    </row>
    <row r="108" spans="1:10" x14ac:dyDescent="0.55000000000000004">
      <c r="A108" s="62" t="s">
        <v>484</v>
      </c>
      <c r="B108" s="2" t="s">
        <v>100</v>
      </c>
      <c r="C108" s="39"/>
      <c r="D108" s="39"/>
      <c r="E108" s="39"/>
      <c r="F108" s="39"/>
      <c r="G108" s="39">
        <f>SUM(テーブル134[[#This Row],[ケアレスミス]:[解釈]])</f>
        <v>0</v>
      </c>
      <c r="H108" s="39"/>
      <c r="I108" s="71">
        <f>IF(AND(テーブル134[[#This Row],[FB数合計]]=0,テーブル134[[#This Row],[件数]]=0),0,テーブル134[[#This Row],[FB数合計]]/テーブル134[[#This Row],[件数]])</f>
        <v>0</v>
      </c>
      <c r="J108" s="72"/>
    </row>
    <row r="109" spans="1:10" x14ac:dyDescent="0.55000000000000004">
      <c r="A109" s="62" t="s">
        <v>485</v>
      </c>
      <c r="B109" s="2" t="s">
        <v>151</v>
      </c>
      <c r="C109" s="39"/>
      <c r="D109" s="39"/>
      <c r="E109" s="39"/>
      <c r="F109" s="39"/>
      <c r="G109" s="39">
        <f>SUM(テーブル134[[#This Row],[ケアレスミス]:[解釈]])</f>
        <v>0</v>
      </c>
      <c r="H109" s="39"/>
      <c r="I109" s="71">
        <f>IF(AND(テーブル134[[#This Row],[FB数合計]]=0,テーブル134[[#This Row],[件数]]=0),0,テーブル134[[#This Row],[FB数合計]]/テーブル134[[#This Row],[件数]])</f>
        <v>0</v>
      </c>
      <c r="J109" s="72"/>
    </row>
    <row r="110" spans="1:10" x14ac:dyDescent="0.55000000000000004">
      <c r="A110" s="62" t="s">
        <v>486</v>
      </c>
      <c r="B110" s="2" t="s">
        <v>150</v>
      </c>
      <c r="C110" s="39"/>
      <c r="D110" s="39"/>
      <c r="E110" s="39"/>
      <c r="F110" s="39"/>
      <c r="G110" s="39">
        <f>SUM(テーブル134[[#This Row],[ケアレスミス]:[解釈]])</f>
        <v>0</v>
      </c>
      <c r="H110" s="39"/>
      <c r="I110" s="71">
        <f>IF(AND(テーブル134[[#This Row],[FB数合計]]=0,テーブル134[[#This Row],[件数]]=0),0,テーブル134[[#This Row],[FB数合計]]/テーブル134[[#This Row],[件数]])</f>
        <v>0</v>
      </c>
      <c r="J110" s="72"/>
    </row>
    <row r="111" spans="1:10" x14ac:dyDescent="0.55000000000000004">
      <c r="A111" s="62" t="s">
        <v>487</v>
      </c>
      <c r="B111" s="2" t="s">
        <v>2</v>
      </c>
      <c r="C111" s="39"/>
      <c r="D111" s="39"/>
      <c r="E111" s="39"/>
      <c r="F111" s="39"/>
      <c r="G111" s="39">
        <f>SUM(テーブル134[[#This Row],[ケアレスミス]:[解釈]])</f>
        <v>0</v>
      </c>
      <c r="H111" s="39"/>
      <c r="I111" s="71">
        <f>IF(AND(テーブル134[[#This Row],[FB数合計]]=0,テーブル134[[#This Row],[件数]]=0),0,テーブル134[[#This Row],[FB数合計]]/テーブル134[[#This Row],[件数]])</f>
        <v>0</v>
      </c>
      <c r="J111" s="72"/>
    </row>
    <row r="112" spans="1:10" x14ac:dyDescent="0.55000000000000004">
      <c r="A112" s="62" t="s">
        <v>488</v>
      </c>
      <c r="B112" s="2" t="s">
        <v>15</v>
      </c>
      <c r="C112" s="39"/>
      <c r="D112" s="39"/>
      <c r="E112" s="39"/>
      <c r="F112" s="39"/>
      <c r="G112" s="39">
        <f>SUM(テーブル134[[#This Row],[ケアレスミス]:[解釈]])</f>
        <v>0</v>
      </c>
      <c r="H112" s="39"/>
      <c r="I112" s="71">
        <f>IF(AND(テーブル134[[#This Row],[FB数合計]]=0,テーブル134[[#This Row],[件数]]=0),0,テーブル134[[#This Row],[FB数合計]]/テーブル134[[#This Row],[件数]])</f>
        <v>0</v>
      </c>
      <c r="J112" s="72"/>
    </row>
    <row r="113" spans="1:10" x14ac:dyDescent="0.55000000000000004">
      <c r="A113" s="62"/>
      <c r="B113" s="38"/>
      <c r="C113" s="39"/>
      <c r="D113" s="39"/>
      <c r="E113" s="39"/>
      <c r="F113" s="39"/>
      <c r="G113" s="39">
        <f>SUM(テーブル134[[#This Row],[ケアレスミス]:[解釈]])</f>
        <v>0</v>
      </c>
      <c r="H113" s="39"/>
      <c r="I113" s="71">
        <f>IF(AND(テーブル134[[#This Row],[FB数合計]]=0,テーブル134[[#This Row],[件数]]=0),0,テーブル134[[#This Row],[FB数合計]]/テーブル134[[#This Row],[件数]])</f>
        <v>0</v>
      </c>
      <c r="J113" s="72"/>
    </row>
    <row r="114" spans="1:10" x14ac:dyDescent="0.55000000000000004">
      <c r="A114" s="62"/>
      <c r="B114" s="38"/>
      <c r="C114" s="39"/>
      <c r="D114" s="39"/>
      <c r="E114" s="39"/>
      <c r="F114" s="39"/>
      <c r="G114" s="39">
        <f>SUM(テーブル134[[#This Row],[ケアレスミス]:[解釈]])</f>
        <v>0</v>
      </c>
      <c r="H114" s="39"/>
      <c r="I114" s="71">
        <f>IF(AND(テーブル134[[#This Row],[FB数合計]]=0,テーブル134[[#This Row],[件数]]=0),0,テーブル134[[#This Row],[FB数合計]]/テーブル134[[#This Row],[件数]])</f>
        <v>0</v>
      </c>
      <c r="J114" s="72"/>
    </row>
    <row r="115" spans="1:10" x14ac:dyDescent="0.55000000000000004">
      <c r="A115" s="41" t="s">
        <v>86</v>
      </c>
      <c r="B115" s="38"/>
      <c r="C115" s="39">
        <f>SUBTOTAL(109,テーブル134[ケアレスミス])</f>
        <v>42</v>
      </c>
      <c r="D115" s="39">
        <f>SUBTOTAL(109,テーブル134[解釈])</f>
        <v>16</v>
      </c>
      <c r="E115" s="39">
        <f>SUBTOTAL(109,テーブル134[マニュアル])</f>
        <v>6</v>
      </c>
      <c r="F115" s="39">
        <f>SUBTOTAL(109,テーブル134[その他])</f>
        <v>0</v>
      </c>
      <c r="G115" s="39">
        <f>SUBTOTAL(109,テーブル134[FB数合計])</f>
        <v>58</v>
      </c>
      <c r="H115" s="39">
        <f>SUBTOTAL(109,テーブル134[件数])</f>
        <v>10434</v>
      </c>
      <c r="I115" s="67">
        <f>SUBTOTAL(101,テーブル134[FB率])</f>
        <v>6.5850939632038693E-3</v>
      </c>
      <c r="J115" s="69">
        <f>SUBTOTAL(109,テーブル134[インシデント])</f>
        <v>0</v>
      </c>
    </row>
  </sheetData>
  <phoneticPr fontId="1"/>
  <pageMargins left="0.7" right="0.7" top="0.75" bottom="0.75" header="0.3" footer="0.3"/>
  <ignoredErrors>
    <ignoredError sqref="A85 A4:A84" numberStoredAsText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C22C2D-ABE4-4816-B1B0-F03FAD096BBF}">
          <x14:formula1>
            <xm:f>メンバー!$B$3:$B$20</xm:f>
          </x14:formula1>
          <xm:sqref>B49:B105 B107:B112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95BE-73F9-4F8B-AC5A-BEDD2F7751EA}">
  <sheetPr codeName="Sheet28"/>
  <dimension ref="B3:S171"/>
  <sheetViews>
    <sheetView tabSelected="1" topLeftCell="A126" workbookViewId="0">
      <selection activeCell="F104" sqref="F10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477</v>
      </c>
    </row>
    <row r="22" spans="2:19" x14ac:dyDescent="0.55000000000000004">
      <c r="C22" s="28"/>
    </row>
    <row r="27" spans="2:19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9" x14ac:dyDescent="0.55000000000000004">
      <c r="B28" s="1" t="s">
        <v>40</v>
      </c>
      <c r="C28" s="1">
        <v>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>
        <v>0</v>
      </c>
    </row>
    <row r="29" spans="2:19" x14ac:dyDescent="0.55000000000000004">
      <c r="B29" s="1" t="s">
        <v>150</v>
      </c>
      <c r="C29" s="1">
        <v>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>
        <v>2</v>
      </c>
    </row>
    <row r="30" spans="2:19" x14ac:dyDescent="0.55000000000000004">
      <c r="B30" s="1" t="s">
        <v>151</v>
      </c>
      <c r="C30" s="1">
        <v>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>
        <v>0</v>
      </c>
    </row>
    <row r="31" spans="2:19" x14ac:dyDescent="0.55000000000000004">
      <c r="B31" s="1" t="s">
        <v>100</v>
      </c>
      <c r="C31" s="1">
        <v>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>
        <v>0</v>
      </c>
    </row>
    <row r="32" spans="2:19" x14ac:dyDescent="0.55000000000000004">
      <c r="B32" s="1" t="s">
        <v>390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>
        <v>0</v>
      </c>
    </row>
    <row r="33" spans="2:19" x14ac:dyDescent="0.55000000000000004">
      <c r="B33" s="1" t="s">
        <v>2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>
        <v>0</v>
      </c>
    </row>
    <row r="34" spans="2:19" x14ac:dyDescent="0.55000000000000004">
      <c r="B34" s="1" t="s">
        <v>15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>
        <v>0</v>
      </c>
    </row>
    <row r="35" spans="2:19" x14ac:dyDescent="0.55000000000000004">
      <c r="B35" s="1" t="s">
        <v>391</v>
      </c>
      <c r="C35" s="1">
        <v>0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>
        <v>0</v>
      </c>
    </row>
    <row r="36" spans="2:19" x14ac:dyDescent="0.55000000000000004">
      <c r="B36" s="1" t="s">
        <v>152</v>
      </c>
      <c r="C36" s="1"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>
        <v>0</v>
      </c>
    </row>
    <row r="40" spans="2:19" x14ac:dyDescent="0.55000000000000004">
      <c r="B40" s="43" t="s">
        <v>478</v>
      </c>
    </row>
    <row r="60" spans="2:19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9" x14ac:dyDescent="0.55000000000000004">
      <c r="B61" s="1" t="s">
        <v>40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>
        <v>0</v>
      </c>
    </row>
    <row r="62" spans="2:19" x14ac:dyDescent="0.55000000000000004">
      <c r="B62" s="1" t="s">
        <v>150</v>
      </c>
      <c r="C62" s="1">
        <v>0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>
        <v>0</v>
      </c>
    </row>
    <row r="63" spans="2:19" x14ac:dyDescent="0.55000000000000004">
      <c r="B63" s="1" t="s">
        <v>151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>
        <v>0</v>
      </c>
    </row>
    <row r="64" spans="2:19" x14ac:dyDescent="0.55000000000000004">
      <c r="B64" s="1" t="s">
        <v>100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>
        <v>0</v>
      </c>
    </row>
    <row r="65" spans="2:19" x14ac:dyDescent="0.55000000000000004">
      <c r="B65" s="1" t="s">
        <v>390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>
        <v>0</v>
      </c>
    </row>
    <row r="66" spans="2:19" x14ac:dyDescent="0.55000000000000004">
      <c r="B66" s="1" t="s">
        <v>2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>
        <v>0</v>
      </c>
    </row>
    <row r="67" spans="2:19" x14ac:dyDescent="0.55000000000000004">
      <c r="B67" s="1" t="s">
        <v>15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>
        <v>0</v>
      </c>
    </row>
    <row r="68" spans="2:19" x14ac:dyDescent="0.55000000000000004">
      <c r="B68" s="1" t="s">
        <v>391</v>
      </c>
      <c r="C68" s="1">
        <v>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>
        <v>0</v>
      </c>
    </row>
    <row r="69" spans="2:19" x14ac:dyDescent="0.55000000000000004">
      <c r="B69" s="1" t="s">
        <v>152</v>
      </c>
      <c r="C69" s="1">
        <v>0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>
        <v>0</v>
      </c>
    </row>
    <row r="72" spans="2:19" x14ac:dyDescent="0.55000000000000004">
      <c r="B72" s="43" t="s">
        <v>479</v>
      </c>
    </row>
    <row r="73" spans="2:19" x14ac:dyDescent="0.55000000000000004">
      <c r="B73" s="43"/>
    </row>
    <row r="74" spans="2:19" x14ac:dyDescent="0.55000000000000004">
      <c r="B74" s="43"/>
    </row>
    <row r="75" spans="2:19" x14ac:dyDescent="0.55000000000000004">
      <c r="B75" s="43"/>
    </row>
    <row r="76" spans="2:19" x14ac:dyDescent="0.55000000000000004">
      <c r="B76" s="43"/>
    </row>
    <row r="77" spans="2:19" x14ac:dyDescent="0.55000000000000004">
      <c r="B77" s="43"/>
    </row>
    <row r="78" spans="2:19" x14ac:dyDescent="0.55000000000000004">
      <c r="B78" s="43"/>
    </row>
    <row r="79" spans="2:19" x14ac:dyDescent="0.55000000000000004">
      <c r="B79" s="43"/>
    </row>
    <row r="80" spans="2:19" x14ac:dyDescent="0.55000000000000004">
      <c r="B80" s="43"/>
    </row>
    <row r="81" spans="2:19" x14ac:dyDescent="0.55000000000000004">
      <c r="B81" s="43"/>
    </row>
    <row r="82" spans="2:19" x14ac:dyDescent="0.55000000000000004">
      <c r="B82" s="43"/>
    </row>
    <row r="83" spans="2:19" x14ac:dyDescent="0.55000000000000004">
      <c r="B83" s="43"/>
    </row>
    <row r="84" spans="2:19" x14ac:dyDescent="0.55000000000000004">
      <c r="B84" s="43"/>
    </row>
    <row r="94" spans="2:19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9" x14ac:dyDescent="0.55000000000000004">
      <c r="B95" s="1" t="s">
        <v>40</v>
      </c>
      <c r="C95" s="1">
        <v>1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>
        <v>0</v>
      </c>
    </row>
    <row r="96" spans="2:19" x14ac:dyDescent="0.55000000000000004">
      <c r="B96" s="1" t="s">
        <v>150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>
        <v>0</v>
      </c>
    </row>
    <row r="97" spans="2:19" x14ac:dyDescent="0.55000000000000004">
      <c r="B97" s="1" t="s">
        <v>151</v>
      </c>
      <c r="C97" s="1">
        <v>0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>
        <v>0</v>
      </c>
    </row>
    <row r="98" spans="2:19" x14ac:dyDescent="0.55000000000000004">
      <c r="B98" s="1" t="s">
        <v>100</v>
      </c>
      <c r="C98" s="1">
        <v>0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>
        <v>0</v>
      </c>
    </row>
    <row r="99" spans="2:19" x14ac:dyDescent="0.55000000000000004">
      <c r="B99" s="1" t="s">
        <v>390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>
        <v>0</v>
      </c>
    </row>
    <row r="100" spans="2:19" x14ac:dyDescent="0.55000000000000004">
      <c r="B100" s="1" t="s">
        <v>2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>
        <v>0</v>
      </c>
    </row>
    <row r="101" spans="2:19" x14ac:dyDescent="0.55000000000000004">
      <c r="B101" s="1" t="s">
        <v>15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>
        <v>0</v>
      </c>
    </row>
    <row r="102" spans="2:19" x14ac:dyDescent="0.55000000000000004">
      <c r="B102" s="1" t="s">
        <v>391</v>
      </c>
      <c r="C102" s="1">
        <v>0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>
        <v>0</v>
      </c>
    </row>
    <row r="103" spans="2:19" x14ac:dyDescent="0.55000000000000004">
      <c r="B103" s="1" t="s">
        <v>152</v>
      </c>
      <c r="C103" s="1">
        <v>0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>
        <v>0</v>
      </c>
    </row>
    <row r="106" spans="2:19" x14ac:dyDescent="0.55000000000000004">
      <c r="B106" s="43" t="s">
        <v>480</v>
      </c>
    </row>
    <row r="107" spans="2:19" x14ac:dyDescent="0.55000000000000004">
      <c r="B107" s="43"/>
    </row>
    <row r="108" spans="2:19" x14ac:dyDescent="0.55000000000000004">
      <c r="B108" s="43"/>
    </row>
    <row r="109" spans="2:19" x14ac:dyDescent="0.55000000000000004">
      <c r="B109" s="43"/>
    </row>
    <row r="110" spans="2:19" x14ac:dyDescent="0.55000000000000004">
      <c r="B110" s="43"/>
    </row>
    <row r="111" spans="2:19" x14ac:dyDescent="0.55000000000000004">
      <c r="B111" s="43"/>
    </row>
    <row r="112" spans="2:19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9" x14ac:dyDescent="0.55000000000000004">
      <c r="B129" s="1" t="s">
        <v>40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>
        <v>0</v>
      </c>
    </row>
    <row r="130" spans="2:19" x14ac:dyDescent="0.55000000000000004">
      <c r="B130" s="1" t="s">
        <v>150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>
        <v>0</v>
      </c>
    </row>
    <row r="131" spans="2:19" x14ac:dyDescent="0.55000000000000004">
      <c r="B131" s="1" t="s">
        <v>151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>
        <v>0</v>
      </c>
    </row>
    <row r="132" spans="2:19" x14ac:dyDescent="0.55000000000000004">
      <c r="B132" s="1" t="s">
        <v>100</v>
      </c>
      <c r="C132" s="1">
        <v>0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>
        <v>0</v>
      </c>
    </row>
    <row r="133" spans="2:19" x14ac:dyDescent="0.55000000000000004">
      <c r="B133" s="1" t="s">
        <v>390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>
        <v>0</v>
      </c>
    </row>
    <row r="134" spans="2:19" x14ac:dyDescent="0.55000000000000004">
      <c r="B134" s="1" t="s">
        <v>2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>
        <v>0</v>
      </c>
    </row>
    <row r="135" spans="2:19" x14ac:dyDescent="0.55000000000000004">
      <c r="B135" s="1" t="s">
        <v>15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>
        <v>0</v>
      </c>
    </row>
    <row r="136" spans="2:19" x14ac:dyDescent="0.55000000000000004">
      <c r="B136" s="1" t="s">
        <v>391</v>
      </c>
      <c r="C136" s="1">
        <v>0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>
        <v>0</v>
      </c>
    </row>
    <row r="137" spans="2:19" x14ac:dyDescent="0.55000000000000004">
      <c r="B137" s="1" t="s">
        <v>152</v>
      </c>
      <c r="C137" s="1">
        <v>0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>
        <v>0</v>
      </c>
    </row>
    <row r="140" spans="2:19" x14ac:dyDescent="0.55000000000000004">
      <c r="B140" s="43" t="s">
        <v>481</v>
      </c>
    </row>
    <row r="141" spans="2:19" x14ac:dyDescent="0.55000000000000004">
      <c r="B141" s="43"/>
    </row>
    <row r="142" spans="2:19" x14ac:dyDescent="0.55000000000000004">
      <c r="B142" s="43"/>
    </row>
    <row r="143" spans="2:19" x14ac:dyDescent="0.55000000000000004">
      <c r="B143" s="43"/>
    </row>
    <row r="144" spans="2:19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9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9" x14ac:dyDescent="0.55000000000000004">
      <c r="B163" s="1" t="s">
        <v>40</v>
      </c>
      <c r="C163" s="1">
        <v>0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>
        <v>0</v>
      </c>
    </row>
    <row r="164" spans="2:19" x14ac:dyDescent="0.55000000000000004">
      <c r="B164" s="1" t="s">
        <v>150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>
        <v>0</v>
      </c>
    </row>
    <row r="165" spans="2:19" x14ac:dyDescent="0.55000000000000004">
      <c r="B165" s="1" t="s">
        <v>151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>
        <v>0</v>
      </c>
    </row>
    <row r="166" spans="2:19" x14ac:dyDescent="0.55000000000000004">
      <c r="B166" s="1" t="s">
        <v>100</v>
      </c>
      <c r="C166" s="1">
        <v>0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>
        <v>0</v>
      </c>
    </row>
    <row r="167" spans="2:19" x14ac:dyDescent="0.55000000000000004">
      <c r="B167" s="1" t="s">
        <v>390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>
        <v>0</v>
      </c>
    </row>
    <row r="168" spans="2:19" x14ac:dyDescent="0.55000000000000004">
      <c r="B168" s="1" t="s">
        <v>2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>
        <v>0</v>
      </c>
    </row>
    <row r="169" spans="2:19" x14ac:dyDescent="0.55000000000000004">
      <c r="B169" s="1" t="s">
        <v>15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>
        <v>0</v>
      </c>
    </row>
    <row r="170" spans="2:19" x14ac:dyDescent="0.55000000000000004">
      <c r="B170" s="1" t="s">
        <v>391</v>
      </c>
      <c r="C170" s="1">
        <v>0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>
        <v>0</v>
      </c>
    </row>
    <row r="171" spans="2:19" x14ac:dyDescent="0.55000000000000004">
      <c r="B171" s="1" t="s">
        <v>152</v>
      </c>
      <c r="C171" s="1">
        <v>0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>
        <v>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ACC1-428E-487F-A567-53DC69052343}">
  <sheetPr codeName="Sheet6"/>
  <dimension ref="B3:J98"/>
  <sheetViews>
    <sheetView topLeftCell="A24" workbookViewId="0">
      <selection activeCell="L63" sqref="L63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175</v>
      </c>
    </row>
    <row r="6" spans="2:2" x14ac:dyDescent="0.55000000000000004">
      <c r="B6" s="43" t="s">
        <v>209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>
        <v>45352</v>
      </c>
      <c r="F27" s="44"/>
      <c r="G27" s="44"/>
      <c r="H27" s="44"/>
      <c r="I27" s="1"/>
      <c r="J27" s="1"/>
    </row>
    <row r="28" spans="2:10" x14ac:dyDescent="0.55000000000000004">
      <c r="B28" s="1" t="s">
        <v>188</v>
      </c>
      <c r="C28" s="1">
        <v>0</v>
      </c>
      <c r="D28" s="1">
        <v>0</v>
      </c>
      <c r="E28" s="1">
        <v>0</v>
      </c>
      <c r="F28" s="1"/>
      <c r="G28" s="1"/>
      <c r="H28" s="1"/>
      <c r="I28" s="1"/>
      <c r="J28" s="1"/>
    </row>
    <row r="29" spans="2:10" x14ac:dyDescent="0.55000000000000004">
      <c r="B29" s="1" t="s">
        <v>189</v>
      </c>
      <c r="C29" s="1">
        <v>2</v>
      </c>
      <c r="D29" s="1">
        <v>4</v>
      </c>
      <c r="E29" s="1">
        <v>9</v>
      </c>
      <c r="F29" s="1"/>
      <c r="G29" s="1"/>
      <c r="H29" s="1"/>
      <c r="I29" s="1"/>
      <c r="J29" s="1"/>
    </row>
    <row r="30" spans="2:10" x14ac:dyDescent="0.55000000000000004">
      <c r="B30" s="1" t="s">
        <v>190</v>
      </c>
      <c r="C30" s="1">
        <v>0</v>
      </c>
      <c r="D30" s="1">
        <v>0</v>
      </c>
      <c r="E30" s="1">
        <v>0</v>
      </c>
      <c r="F30" s="1"/>
      <c r="G30" s="1"/>
      <c r="H30" s="1"/>
      <c r="I30" s="1"/>
      <c r="J30" s="1"/>
    </row>
    <row r="31" spans="2:10" x14ac:dyDescent="0.55000000000000004">
      <c r="B31" s="1" t="s">
        <v>191</v>
      </c>
      <c r="C31" s="1">
        <v>1</v>
      </c>
      <c r="D31" s="1">
        <v>0</v>
      </c>
      <c r="E31" s="1">
        <v>0</v>
      </c>
      <c r="F31" s="1"/>
      <c r="G31" s="1"/>
      <c r="H31" s="1"/>
      <c r="I31" s="1"/>
      <c r="J31" s="1"/>
    </row>
    <row r="32" spans="2:10" x14ac:dyDescent="0.55000000000000004">
      <c r="B32" s="1" t="s">
        <v>192</v>
      </c>
      <c r="C32" s="1">
        <v>0</v>
      </c>
      <c r="D32" s="1">
        <v>0</v>
      </c>
      <c r="E32" s="1">
        <v>0</v>
      </c>
      <c r="F32" s="1"/>
      <c r="G32" s="1"/>
      <c r="H32" s="1"/>
      <c r="I32" s="1"/>
      <c r="J32" s="1"/>
    </row>
    <row r="33" spans="2:10" x14ac:dyDescent="0.55000000000000004">
      <c r="B33" s="1" t="s">
        <v>193</v>
      </c>
      <c r="C33" s="1">
        <v>3</v>
      </c>
      <c r="D33" s="1">
        <v>3</v>
      </c>
      <c r="E33" s="1">
        <v>5</v>
      </c>
      <c r="F33" s="1"/>
      <c r="G33" s="1"/>
      <c r="H33" s="1"/>
      <c r="I33" s="1"/>
      <c r="J33" s="1"/>
    </row>
    <row r="34" spans="2:10" x14ac:dyDescent="0.55000000000000004">
      <c r="B34" s="1" t="s">
        <v>194</v>
      </c>
      <c r="C34" s="1">
        <v>1</v>
      </c>
      <c r="D34" s="1">
        <v>0</v>
      </c>
      <c r="E34" s="1">
        <v>4</v>
      </c>
      <c r="F34" s="1"/>
      <c r="G34" s="1"/>
      <c r="H34" s="1"/>
      <c r="I34" s="1"/>
      <c r="J34" s="1"/>
    </row>
    <row r="35" spans="2:10" x14ac:dyDescent="0.55000000000000004">
      <c r="B35" s="1" t="s">
        <v>195</v>
      </c>
      <c r="C35" s="1">
        <v>0</v>
      </c>
      <c r="D35" s="1">
        <v>2</v>
      </c>
      <c r="E35" s="1">
        <v>3</v>
      </c>
      <c r="F35" s="1"/>
      <c r="G35" s="1"/>
      <c r="H35" s="1"/>
      <c r="I35" s="1"/>
      <c r="J35" s="1"/>
    </row>
    <row r="38" spans="2:10" x14ac:dyDescent="0.55000000000000004">
      <c r="B38" s="43" t="s">
        <v>207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>
        <v>45352</v>
      </c>
      <c r="F58" s="44"/>
      <c r="G58" s="44"/>
      <c r="H58" s="44"/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/>
      <c r="G59" s="1"/>
      <c r="H59" s="1"/>
      <c r="I59" s="1"/>
      <c r="J59" s="1"/>
    </row>
    <row r="60" spans="2:10" x14ac:dyDescent="0.55000000000000004">
      <c r="B60" s="1" t="s">
        <v>100</v>
      </c>
      <c r="C60" s="1">
        <v>0</v>
      </c>
      <c r="D60" s="1">
        <v>0</v>
      </c>
      <c r="E60" s="1">
        <v>0</v>
      </c>
      <c r="F60" s="1"/>
      <c r="G60" s="1"/>
      <c r="H60" s="1"/>
      <c r="I60" s="1"/>
      <c r="J60" s="1"/>
    </row>
    <row r="61" spans="2:10" x14ac:dyDescent="0.55000000000000004">
      <c r="B61" s="1" t="s">
        <v>2</v>
      </c>
      <c r="C61" s="1">
        <v>0</v>
      </c>
      <c r="D61" s="1">
        <v>0</v>
      </c>
      <c r="E61" s="1">
        <v>0</v>
      </c>
      <c r="F61" s="1"/>
      <c r="G61" s="1"/>
      <c r="H61" s="1"/>
      <c r="I61" s="1"/>
      <c r="J61" s="1"/>
    </row>
    <row r="62" spans="2:10" x14ac:dyDescent="0.55000000000000004">
      <c r="B62" s="1" t="s">
        <v>15</v>
      </c>
      <c r="C62" s="1">
        <v>0</v>
      </c>
      <c r="D62" s="1">
        <v>0</v>
      </c>
      <c r="E62" s="1">
        <v>0</v>
      </c>
      <c r="F62" s="1"/>
      <c r="G62" s="1"/>
      <c r="H62" s="1"/>
      <c r="I62" s="1"/>
      <c r="J62" s="1"/>
    </row>
    <row r="63" spans="2:10" x14ac:dyDescent="0.55000000000000004">
      <c r="B63" s="1" t="s">
        <v>152</v>
      </c>
      <c r="C63" s="1">
        <v>0</v>
      </c>
      <c r="D63" s="1">
        <v>0</v>
      </c>
      <c r="E63" s="1">
        <v>0</v>
      </c>
      <c r="F63" s="1"/>
      <c r="G63" s="1"/>
      <c r="H63" s="1"/>
      <c r="I63" s="1"/>
      <c r="J63" s="1"/>
    </row>
    <row r="64" spans="2:10" x14ac:dyDescent="0.55000000000000004">
      <c r="B64" s="1" t="s">
        <v>150</v>
      </c>
      <c r="C64" s="1">
        <v>0</v>
      </c>
      <c r="D64" s="1">
        <v>0</v>
      </c>
      <c r="E64" s="1">
        <v>0</v>
      </c>
      <c r="F64" s="1"/>
      <c r="G64" s="1"/>
      <c r="H64" s="1"/>
      <c r="I64" s="1"/>
      <c r="J64" s="1"/>
    </row>
    <row r="65" spans="2:10" x14ac:dyDescent="0.55000000000000004">
      <c r="B65" s="1" t="s">
        <v>151</v>
      </c>
      <c r="C65" s="1">
        <v>0</v>
      </c>
      <c r="D65" s="1">
        <v>0</v>
      </c>
      <c r="E65" s="1">
        <v>0</v>
      </c>
      <c r="F65" s="1"/>
      <c r="G65" s="1"/>
      <c r="H65" s="1"/>
      <c r="I65" s="1"/>
      <c r="J65" s="1"/>
    </row>
    <row r="66" spans="2:10" x14ac:dyDescent="0.55000000000000004">
      <c r="B66" s="1" t="s">
        <v>40</v>
      </c>
      <c r="C66" s="1">
        <v>0</v>
      </c>
      <c r="D66" s="1">
        <v>0</v>
      </c>
      <c r="E66" s="1">
        <v>0</v>
      </c>
      <c r="F66" s="1"/>
      <c r="G66" s="1"/>
      <c r="H66" s="1"/>
      <c r="I66" s="1"/>
      <c r="J66" s="1"/>
    </row>
    <row r="70" spans="2:10" x14ac:dyDescent="0.55000000000000004">
      <c r="B70" s="43" t="s">
        <v>208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45292</v>
      </c>
      <c r="D90" s="44">
        <v>45323</v>
      </c>
      <c r="E90" s="44">
        <v>45352</v>
      </c>
      <c r="F90" s="44"/>
      <c r="G90" s="44"/>
      <c r="H90" s="44"/>
      <c r="I90" s="1"/>
      <c r="J90" s="1"/>
    </row>
    <row r="91" spans="2:10" x14ac:dyDescent="0.55000000000000004">
      <c r="B91" s="1" t="s">
        <v>68</v>
      </c>
      <c r="C91" s="1">
        <v>0</v>
      </c>
      <c r="D91" s="1">
        <v>0</v>
      </c>
      <c r="E91" s="1">
        <v>0</v>
      </c>
      <c r="F91" s="1"/>
      <c r="G91" s="1"/>
      <c r="H91" s="1"/>
      <c r="I91" s="1"/>
      <c r="J91" s="1"/>
    </row>
    <row r="92" spans="2:10" x14ac:dyDescent="0.55000000000000004">
      <c r="B92" s="1" t="s">
        <v>100</v>
      </c>
      <c r="C92" s="1">
        <v>0</v>
      </c>
      <c r="D92" s="1">
        <v>0</v>
      </c>
      <c r="E92" s="1">
        <v>0</v>
      </c>
      <c r="F92" s="1"/>
      <c r="G92" s="1"/>
      <c r="H92" s="1"/>
      <c r="I92" s="1"/>
      <c r="J92" s="1"/>
    </row>
    <row r="93" spans="2:10" x14ac:dyDescent="0.55000000000000004">
      <c r="B93" s="1" t="s">
        <v>2</v>
      </c>
      <c r="C93" s="1">
        <v>0</v>
      </c>
      <c r="D93" s="1">
        <v>0</v>
      </c>
      <c r="E93" s="1">
        <v>0</v>
      </c>
      <c r="F93" s="1"/>
      <c r="G93" s="1"/>
      <c r="H93" s="1"/>
      <c r="I93" s="1"/>
      <c r="J93" s="1"/>
    </row>
    <row r="94" spans="2:10" x14ac:dyDescent="0.55000000000000004">
      <c r="B94" s="1" t="s">
        <v>15</v>
      </c>
      <c r="C94" s="1">
        <v>0</v>
      </c>
      <c r="D94" s="1">
        <v>0</v>
      </c>
      <c r="E94" s="1">
        <v>11</v>
      </c>
      <c r="F94" s="1"/>
      <c r="G94" s="1"/>
      <c r="H94" s="1"/>
      <c r="I94" s="1"/>
      <c r="J94" s="1"/>
    </row>
    <row r="95" spans="2:10" x14ac:dyDescent="0.55000000000000004">
      <c r="B95" s="1" t="s">
        <v>152</v>
      </c>
      <c r="C95" s="1">
        <v>0</v>
      </c>
      <c r="D95" s="1">
        <v>0</v>
      </c>
      <c r="E95" s="1">
        <v>0</v>
      </c>
      <c r="F95" s="1"/>
      <c r="G95" s="1"/>
      <c r="H95" s="1"/>
      <c r="I95" s="1"/>
      <c r="J95" s="1"/>
    </row>
    <row r="96" spans="2:10" x14ac:dyDescent="0.55000000000000004">
      <c r="B96" s="1" t="s">
        <v>150</v>
      </c>
      <c r="C96" s="1">
        <v>0</v>
      </c>
      <c r="D96" s="1">
        <v>0</v>
      </c>
      <c r="E96" s="1">
        <v>2</v>
      </c>
      <c r="F96" s="1"/>
      <c r="G96" s="1"/>
      <c r="H96" s="1"/>
      <c r="I96" s="1"/>
      <c r="J96" s="1"/>
    </row>
    <row r="97" spans="2:10" x14ac:dyDescent="0.55000000000000004">
      <c r="B97" s="1" t="s">
        <v>151</v>
      </c>
      <c r="C97" s="1">
        <v>0</v>
      </c>
      <c r="D97" s="1">
        <v>0</v>
      </c>
      <c r="E97" s="1">
        <v>0</v>
      </c>
      <c r="F97" s="1"/>
      <c r="G97" s="1"/>
      <c r="H97" s="1"/>
      <c r="I97" s="1"/>
      <c r="J97" s="1"/>
    </row>
    <row r="98" spans="2:10" x14ac:dyDescent="0.55000000000000004">
      <c r="B98" s="1" t="s">
        <v>40</v>
      </c>
      <c r="C98" s="1">
        <v>0</v>
      </c>
      <c r="D98" s="1">
        <v>0</v>
      </c>
      <c r="E98" s="1">
        <v>2</v>
      </c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37858-1CAB-47D0-8D70-6DAC394A7B51}">
  <sheetPr codeName="Sheet7"/>
  <dimension ref="A1:J58"/>
  <sheetViews>
    <sheetView workbookViewId="0">
      <pane ySplit="3" topLeftCell="A4" activePane="bottomLeft" state="frozen"/>
      <selection pane="bottomLeft" activeCell="B5" sqref="B5"/>
    </sheetView>
  </sheetViews>
  <sheetFormatPr defaultRowHeight="18" x14ac:dyDescent="0.55000000000000004"/>
  <cols>
    <col min="1" max="1" width="11.1640625" customWidth="1"/>
    <col min="2" max="2" width="10.58203125" customWidth="1"/>
    <col min="3" max="3" width="13.58203125" customWidth="1"/>
    <col min="4" max="4" width="12.33203125" customWidth="1"/>
    <col min="5" max="5" width="9.5" bestFit="1" customWidth="1"/>
    <col min="6" max="6" width="10.58203125" customWidth="1"/>
    <col min="7" max="7" width="8.83203125" bestFit="1" customWidth="1"/>
    <col min="8" max="13" width="9.5" bestFit="1" customWidth="1"/>
  </cols>
  <sheetData>
    <row r="1" spans="1:10" x14ac:dyDescent="0.55000000000000004">
      <c r="A1" s="12" t="s">
        <v>419</v>
      </c>
      <c r="B1" s="8"/>
      <c r="C1" s="5"/>
      <c r="D1" s="5"/>
      <c r="E1" s="5"/>
      <c r="F1" s="5"/>
      <c r="G1" s="5"/>
      <c r="H1" s="5"/>
      <c r="I1" s="5"/>
      <c r="J1" s="5"/>
    </row>
    <row r="3" spans="1:10" x14ac:dyDescent="0.55000000000000004">
      <c r="A3" s="49" t="s">
        <v>421</v>
      </c>
      <c r="B3" s="46" t="s">
        <v>1</v>
      </c>
      <c r="C3" s="35" t="s">
        <v>10</v>
      </c>
      <c r="D3" s="35" t="s">
        <v>49</v>
      </c>
      <c r="E3" s="46" t="s">
        <v>50</v>
      </c>
      <c r="F3" s="47" t="s">
        <v>51</v>
      </c>
    </row>
    <row r="4" spans="1:10" x14ac:dyDescent="0.55000000000000004">
      <c r="A4" s="48" t="s">
        <v>422</v>
      </c>
      <c r="B4" s="2" t="s">
        <v>29</v>
      </c>
      <c r="C4" s="36">
        <v>1</v>
      </c>
      <c r="D4" s="36">
        <v>0</v>
      </c>
      <c r="E4" s="36">
        <v>0</v>
      </c>
      <c r="F4" s="39">
        <f>SUM(テーブル135[[#This Row],[ケアレスミス]:[解釈]])</f>
        <v>1</v>
      </c>
      <c r="G4" t="s">
        <v>423</v>
      </c>
    </row>
    <row r="5" spans="1:10" x14ac:dyDescent="0.55000000000000004">
      <c r="A5" s="48" t="s">
        <v>420</v>
      </c>
      <c r="B5" s="2" t="s">
        <v>329</v>
      </c>
      <c r="C5" s="36">
        <v>1</v>
      </c>
      <c r="D5" s="36">
        <v>0</v>
      </c>
      <c r="E5" s="36">
        <v>0</v>
      </c>
      <c r="F5" s="39">
        <f>SUM(テーブル135[[#This Row],[ケアレスミス]:[解釈]])</f>
        <v>1</v>
      </c>
    </row>
    <row r="6" spans="1:10" x14ac:dyDescent="0.55000000000000004">
      <c r="A6" s="48"/>
      <c r="B6" s="2"/>
      <c r="C6" s="36"/>
      <c r="D6" s="36"/>
      <c r="E6" s="36"/>
      <c r="F6" s="39">
        <f>SUM(テーブル135[[#This Row],[ケアレスミス]:[解釈]])</f>
        <v>0</v>
      </c>
    </row>
    <row r="7" spans="1:10" x14ac:dyDescent="0.55000000000000004">
      <c r="A7" s="48"/>
      <c r="B7" s="2"/>
      <c r="C7" s="36"/>
      <c r="D7" s="36"/>
      <c r="E7" s="36"/>
      <c r="F7" s="39">
        <f>SUM(テーブル135[[#This Row],[ケアレスミス]:[解釈]])</f>
        <v>0</v>
      </c>
    </row>
    <row r="8" spans="1:10" x14ac:dyDescent="0.55000000000000004">
      <c r="A8" s="48"/>
      <c r="B8" s="2"/>
      <c r="C8" s="36"/>
      <c r="D8" s="36"/>
      <c r="E8" s="36"/>
      <c r="F8" s="39">
        <f>SUM(テーブル135[[#This Row],[ケアレスミス]:[解釈]])</f>
        <v>0</v>
      </c>
    </row>
    <row r="9" spans="1:10" x14ac:dyDescent="0.55000000000000004">
      <c r="A9" s="48"/>
      <c r="B9" s="2"/>
      <c r="C9" s="1"/>
      <c r="D9" s="1"/>
      <c r="E9" s="1"/>
      <c r="F9" s="39">
        <f>SUM(テーブル135[[#This Row],[ケアレスミス]:[解釈]])</f>
        <v>0</v>
      </c>
    </row>
    <row r="10" spans="1:10" x14ac:dyDescent="0.55000000000000004">
      <c r="A10" s="48"/>
      <c r="B10" s="2"/>
      <c r="C10" s="1"/>
      <c r="D10" s="1"/>
      <c r="E10" s="1"/>
      <c r="F10" s="39">
        <f>SUM(テーブル135[[#This Row],[ケアレスミス]:[解釈]])</f>
        <v>0</v>
      </c>
    </row>
    <row r="11" spans="1:10" x14ac:dyDescent="0.55000000000000004">
      <c r="A11" s="48"/>
      <c r="B11" s="2"/>
      <c r="C11" s="1"/>
      <c r="D11" s="1"/>
      <c r="E11" s="1"/>
      <c r="F11" s="39">
        <f>SUM(テーブル135[[#This Row],[ケアレスミス]:[解釈]])</f>
        <v>0</v>
      </c>
    </row>
    <row r="12" spans="1:10" x14ac:dyDescent="0.55000000000000004">
      <c r="A12" s="48"/>
      <c r="B12" s="2"/>
      <c r="C12" s="1"/>
      <c r="D12" s="1"/>
      <c r="E12" s="1"/>
      <c r="F12" s="39">
        <f>SUM(テーブル135[[#This Row],[ケアレスミス]:[解釈]])</f>
        <v>0</v>
      </c>
    </row>
    <row r="13" spans="1:10" x14ac:dyDescent="0.55000000000000004">
      <c r="A13" s="48"/>
      <c r="B13" s="2"/>
      <c r="C13" s="1"/>
      <c r="D13" s="1"/>
      <c r="E13" s="1"/>
      <c r="F13" s="39">
        <f>SUM(テーブル135[[#This Row],[ケアレスミス]:[解釈]])</f>
        <v>0</v>
      </c>
    </row>
    <row r="14" spans="1:10" x14ac:dyDescent="0.55000000000000004">
      <c r="A14" s="48"/>
      <c r="B14" s="2"/>
      <c r="C14" s="1"/>
      <c r="D14" s="1"/>
      <c r="E14" s="1"/>
      <c r="F14" s="39">
        <f>SUM(テーブル135[[#This Row],[ケアレスミス]:[解釈]])</f>
        <v>0</v>
      </c>
    </row>
    <row r="15" spans="1:10" x14ac:dyDescent="0.55000000000000004">
      <c r="A15" s="48"/>
      <c r="B15" s="2"/>
      <c r="C15" s="36"/>
      <c r="D15" s="36"/>
      <c r="E15" s="36"/>
      <c r="F15" s="39">
        <f>SUM(テーブル135[[#This Row],[ケアレスミス]:[解釈]])</f>
        <v>0</v>
      </c>
    </row>
    <row r="16" spans="1:10" x14ac:dyDescent="0.55000000000000004">
      <c r="A16" s="48"/>
      <c r="B16" s="2"/>
      <c r="C16" s="36"/>
      <c r="D16" s="36"/>
      <c r="E16" s="36"/>
      <c r="F16" s="39">
        <f>SUM(テーブル135[[#This Row],[ケアレスミス]:[解釈]])</f>
        <v>0</v>
      </c>
    </row>
    <row r="17" spans="1:6" x14ac:dyDescent="0.55000000000000004">
      <c r="A17" s="48"/>
      <c r="B17" s="2"/>
      <c r="C17" s="36"/>
      <c r="D17" s="36"/>
      <c r="E17" s="36"/>
      <c r="F17" s="39">
        <f>SUM(テーブル135[[#This Row],[ケアレスミス]:[解釈]])</f>
        <v>0</v>
      </c>
    </row>
    <row r="18" spans="1:6" x14ac:dyDescent="0.55000000000000004">
      <c r="A18" s="48"/>
      <c r="B18" s="2"/>
      <c r="C18" s="36"/>
      <c r="D18" s="36"/>
      <c r="E18" s="36"/>
      <c r="F18" s="39">
        <f>SUM(テーブル135[[#This Row],[ケアレスミス]:[解釈]])</f>
        <v>0</v>
      </c>
    </row>
    <row r="19" spans="1:6" x14ac:dyDescent="0.55000000000000004">
      <c r="A19" s="48"/>
      <c r="B19" s="2"/>
      <c r="C19" s="36"/>
      <c r="D19" s="36"/>
      <c r="E19" s="36"/>
      <c r="F19" s="39">
        <f>SUM(テーブル135[[#This Row],[ケアレスミス]:[解釈]])</f>
        <v>0</v>
      </c>
    </row>
    <row r="20" spans="1:6" x14ac:dyDescent="0.55000000000000004">
      <c r="A20" s="48"/>
      <c r="B20" s="2"/>
      <c r="C20" s="36"/>
      <c r="D20" s="36"/>
      <c r="E20" s="36"/>
      <c r="F20" s="39">
        <f>SUM(テーブル135[[#This Row],[ケアレスミス]:[解釈]])</f>
        <v>0</v>
      </c>
    </row>
    <row r="21" spans="1:6" x14ac:dyDescent="0.55000000000000004">
      <c r="A21" s="48"/>
      <c r="B21" s="2"/>
      <c r="C21" s="1"/>
      <c r="D21" s="1"/>
      <c r="E21" s="1"/>
      <c r="F21" s="39">
        <f>SUM(テーブル135[[#This Row],[ケアレスミス]:[解釈]])</f>
        <v>0</v>
      </c>
    </row>
    <row r="22" spans="1:6" x14ac:dyDescent="0.55000000000000004">
      <c r="A22" s="48"/>
      <c r="B22" s="2"/>
      <c r="C22" s="1"/>
      <c r="D22" s="1"/>
      <c r="E22" s="1"/>
      <c r="F22" s="39">
        <f>SUM(テーブル135[[#This Row],[ケアレスミス]:[解釈]])</f>
        <v>0</v>
      </c>
    </row>
    <row r="23" spans="1:6" x14ac:dyDescent="0.55000000000000004">
      <c r="A23" s="48"/>
      <c r="B23" s="2"/>
      <c r="C23" s="1"/>
      <c r="D23" s="1"/>
      <c r="E23" s="1"/>
      <c r="F23" s="39">
        <f>SUM(テーブル135[[#This Row],[ケアレスミス]:[解釈]])</f>
        <v>0</v>
      </c>
    </row>
    <row r="24" spans="1:6" x14ac:dyDescent="0.55000000000000004">
      <c r="A24" s="48"/>
      <c r="B24" s="2"/>
      <c r="C24" s="1"/>
      <c r="D24" s="1"/>
      <c r="E24" s="1"/>
      <c r="F24" s="39">
        <f>SUM(テーブル135[[#This Row],[ケアレスミス]:[解釈]])</f>
        <v>0</v>
      </c>
    </row>
    <row r="25" spans="1:6" x14ac:dyDescent="0.55000000000000004">
      <c r="A25" s="48"/>
      <c r="B25" s="2"/>
      <c r="C25" s="1"/>
      <c r="D25" s="1"/>
      <c r="E25" s="1"/>
      <c r="F25" s="39">
        <f>SUM(テーブル135[[#This Row],[ケアレスミス]:[解釈]])</f>
        <v>0</v>
      </c>
    </row>
    <row r="26" spans="1:6" x14ac:dyDescent="0.55000000000000004">
      <c r="A26" s="48"/>
      <c r="B26" s="38"/>
      <c r="C26" s="39"/>
      <c r="D26" s="39"/>
      <c r="E26" s="39"/>
      <c r="F26" s="39">
        <f>SUM(テーブル135[[#This Row],[ケアレスミス]:[解釈]])</f>
        <v>0</v>
      </c>
    </row>
    <row r="27" spans="1:6" x14ac:dyDescent="0.55000000000000004">
      <c r="A27" s="48"/>
      <c r="B27" s="38"/>
      <c r="C27" s="39"/>
      <c r="D27" s="39"/>
      <c r="E27" s="39"/>
      <c r="F27" s="39">
        <f>SUM(テーブル135[[#This Row],[ケアレスミス]:[解釈]])</f>
        <v>0</v>
      </c>
    </row>
    <row r="28" spans="1:6" x14ac:dyDescent="0.55000000000000004">
      <c r="A28" s="48"/>
      <c r="B28" s="38"/>
      <c r="C28" s="39"/>
      <c r="D28" s="39"/>
      <c r="E28" s="39"/>
      <c r="F28" s="39">
        <f>SUM(テーブル135[[#This Row],[ケアレスミス]:[解釈]])</f>
        <v>0</v>
      </c>
    </row>
    <row r="29" spans="1:6" x14ac:dyDescent="0.55000000000000004">
      <c r="A29" s="48"/>
      <c r="B29" s="38"/>
      <c r="C29" s="39"/>
      <c r="D29" s="39"/>
      <c r="E29" s="39"/>
      <c r="F29" s="39">
        <f>SUM(テーブル135[[#This Row],[ケアレスミス]:[解釈]])</f>
        <v>0</v>
      </c>
    </row>
    <row r="30" spans="1:6" x14ac:dyDescent="0.55000000000000004">
      <c r="A30" s="48"/>
      <c r="B30" s="38"/>
      <c r="C30" s="39"/>
      <c r="D30" s="39"/>
      <c r="E30" s="39"/>
      <c r="F30" s="39">
        <f>SUM(テーブル135[[#This Row],[ケアレスミス]:[解釈]])</f>
        <v>0</v>
      </c>
    </row>
    <row r="31" spans="1:6" x14ac:dyDescent="0.55000000000000004">
      <c r="A31" s="48"/>
      <c r="B31" s="38"/>
      <c r="C31" s="39"/>
      <c r="D31" s="39"/>
      <c r="E31" s="39"/>
      <c r="F31" s="39">
        <f>SUM(テーブル135[[#This Row],[ケアレスミス]:[解釈]])</f>
        <v>0</v>
      </c>
    </row>
    <row r="32" spans="1:6" x14ac:dyDescent="0.55000000000000004">
      <c r="A32" s="48"/>
      <c r="B32" s="38"/>
      <c r="C32" s="39"/>
      <c r="D32" s="39"/>
      <c r="E32" s="39"/>
      <c r="F32" s="39">
        <f>SUM(テーブル135[[#This Row],[ケアレスミス]:[解釈]])</f>
        <v>0</v>
      </c>
    </row>
    <row r="33" spans="1:6" x14ac:dyDescent="0.55000000000000004">
      <c r="A33" s="48"/>
      <c r="B33" s="2"/>
      <c r="C33" s="1"/>
      <c r="D33" s="1"/>
      <c r="E33" s="1"/>
      <c r="F33" s="39">
        <f>SUM(テーブル135[[#This Row],[ケアレスミス]:[解釈]])</f>
        <v>0</v>
      </c>
    </row>
    <row r="34" spans="1:6" x14ac:dyDescent="0.55000000000000004">
      <c r="A34" s="48"/>
      <c r="B34" s="2"/>
      <c r="C34" s="1"/>
      <c r="D34" s="1"/>
      <c r="E34" s="1"/>
      <c r="F34" s="39">
        <f>SUM(テーブル135[[#This Row],[ケアレスミス]:[解釈]])</f>
        <v>0</v>
      </c>
    </row>
    <row r="35" spans="1:6" x14ac:dyDescent="0.55000000000000004">
      <c r="A35" s="48"/>
      <c r="B35" s="2"/>
      <c r="C35" s="1"/>
      <c r="D35" s="1"/>
      <c r="E35" s="1"/>
      <c r="F35" s="39">
        <f>SUM(テーブル135[[#This Row],[ケアレスミス]:[解釈]])</f>
        <v>0</v>
      </c>
    </row>
    <row r="36" spans="1:6" x14ac:dyDescent="0.55000000000000004">
      <c r="A36" s="48"/>
      <c r="B36" s="2"/>
      <c r="C36" s="1"/>
      <c r="D36" s="1"/>
      <c r="E36" s="1"/>
      <c r="F36" s="39">
        <f>SUM(テーブル135[[#This Row],[ケアレスミス]:[解釈]])</f>
        <v>0</v>
      </c>
    </row>
    <row r="37" spans="1:6" x14ac:dyDescent="0.55000000000000004">
      <c r="A37" s="48"/>
      <c r="B37" s="2"/>
      <c r="C37" s="1"/>
      <c r="D37" s="1"/>
      <c r="E37" s="1"/>
      <c r="F37" s="39">
        <f>SUM(テーブル135[[#This Row],[ケアレスミス]:[解釈]])</f>
        <v>0</v>
      </c>
    </row>
    <row r="38" spans="1:6" x14ac:dyDescent="0.55000000000000004">
      <c r="A38" s="48"/>
      <c r="B38" s="2"/>
      <c r="C38" s="1"/>
      <c r="D38" s="1"/>
      <c r="E38" s="1"/>
      <c r="F38" s="39">
        <f>SUM(テーブル135[[#This Row],[ケアレスミス]:[解釈]])</f>
        <v>0</v>
      </c>
    </row>
    <row r="39" spans="1:6" x14ac:dyDescent="0.55000000000000004">
      <c r="A39" s="48"/>
      <c r="B39" s="2"/>
      <c r="C39" s="1"/>
      <c r="D39" s="1"/>
      <c r="E39" s="1"/>
      <c r="F39" s="39">
        <f>SUM(テーブル135[[#This Row],[ケアレスミス]:[解釈]])</f>
        <v>0</v>
      </c>
    </row>
    <row r="40" spans="1:6" x14ac:dyDescent="0.55000000000000004">
      <c r="A40" s="48"/>
      <c r="B40" s="2"/>
      <c r="C40" s="1"/>
      <c r="D40" s="1"/>
      <c r="E40" s="1"/>
      <c r="F40" s="39">
        <f>SUM(テーブル135[[#This Row],[ケアレスミス]:[解釈]])</f>
        <v>0</v>
      </c>
    </row>
    <row r="41" spans="1:6" x14ac:dyDescent="0.55000000000000004">
      <c r="A41" s="48"/>
      <c r="B41" s="2"/>
      <c r="C41" s="1"/>
      <c r="D41" s="1"/>
      <c r="E41" s="1"/>
      <c r="F41" s="39">
        <f>SUM(テーブル135[[#This Row],[ケアレスミス]:[解釈]])</f>
        <v>0</v>
      </c>
    </row>
    <row r="42" spans="1:6" x14ac:dyDescent="0.55000000000000004">
      <c r="A42" s="48"/>
      <c r="B42" s="2"/>
      <c r="C42" s="1"/>
      <c r="D42" s="1"/>
      <c r="E42" s="1"/>
      <c r="F42" s="39">
        <f>SUM(テーブル135[[#This Row],[ケアレスミス]:[解釈]])</f>
        <v>0</v>
      </c>
    </row>
    <row r="43" spans="1:6" x14ac:dyDescent="0.55000000000000004">
      <c r="A43" s="48"/>
      <c r="B43" s="2"/>
      <c r="C43" s="1"/>
      <c r="D43" s="1"/>
      <c r="E43" s="1"/>
      <c r="F43" s="39">
        <f>SUM(テーブル135[[#This Row],[ケアレスミス]:[解釈]])</f>
        <v>0</v>
      </c>
    </row>
    <row r="44" spans="1:6" x14ac:dyDescent="0.55000000000000004">
      <c r="A44" s="48"/>
      <c r="B44" s="2"/>
      <c r="C44" s="1"/>
      <c r="D44" s="1"/>
      <c r="E44" s="1"/>
      <c r="F44" s="39">
        <f>SUM(テーブル135[[#This Row],[ケアレスミス]:[解釈]])</f>
        <v>0</v>
      </c>
    </row>
    <row r="45" spans="1:6" x14ac:dyDescent="0.55000000000000004">
      <c r="A45" s="48"/>
      <c r="B45" s="2"/>
      <c r="C45" s="1"/>
      <c r="D45" s="1"/>
      <c r="E45" s="1"/>
      <c r="F45" s="39">
        <f>SUM(テーブル135[[#This Row],[ケアレスミス]:[解釈]])</f>
        <v>0</v>
      </c>
    </row>
    <row r="46" spans="1:6" x14ac:dyDescent="0.55000000000000004">
      <c r="A46" s="48"/>
      <c r="B46" s="38"/>
      <c r="C46" s="39"/>
      <c r="D46" s="39"/>
      <c r="E46" s="39"/>
      <c r="F46" s="39">
        <f>SUM(テーブル135[[#This Row],[ケアレスミス]:[解釈]])</f>
        <v>0</v>
      </c>
    </row>
    <row r="47" spans="1:6" x14ac:dyDescent="0.55000000000000004">
      <c r="A47" s="48"/>
      <c r="B47" s="38"/>
      <c r="C47" s="39"/>
      <c r="D47" s="39"/>
      <c r="E47" s="39"/>
      <c r="F47" s="39">
        <f>SUM(テーブル135[[#This Row],[ケアレスミス]:[解釈]])</f>
        <v>0</v>
      </c>
    </row>
    <row r="48" spans="1:6" x14ac:dyDescent="0.55000000000000004">
      <c r="A48" s="48"/>
      <c r="B48" s="38"/>
      <c r="C48" s="39"/>
      <c r="D48" s="39"/>
      <c r="E48" s="39"/>
      <c r="F48" s="39">
        <f>SUM(テーブル135[[#This Row],[ケアレスミス]:[解釈]])</f>
        <v>0</v>
      </c>
    </row>
    <row r="49" spans="1:6" x14ac:dyDescent="0.55000000000000004">
      <c r="A49" s="48"/>
      <c r="B49" s="2"/>
      <c r="C49" s="1"/>
      <c r="D49" s="1"/>
      <c r="E49" s="1"/>
      <c r="F49" s="39">
        <f>SUM(テーブル135[[#This Row],[ケアレスミス]:[解釈]])</f>
        <v>0</v>
      </c>
    </row>
    <row r="50" spans="1:6" x14ac:dyDescent="0.55000000000000004">
      <c r="A50" s="48"/>
      <c r="B50" s="2"/>
      <c r="C50" s="1"/>
      <c r="D50" s="1"/>
      <c r="E50" s="1"/>
      <c r="F50" s="39">
        <f>SUM(テーブル135[[#This Row],[ケアレスミス]:[解釈]])</f>
        <v>0</v>
      </c>
    </row>
    <row r="51" spans="1:6" x14ac:dyDescent="0.55000000000000004">
      <c r="A51" s="48"/>
      <c r="B51" s="2"/>
      <c r="C51" s="1"/>
      <c r="D51" s="1"/>
      <c r="E51" s="1"/>
      <c r="F51" s="39">
        <f>SUM(テーブル135[[#This Row],[ケアレスミス]:[解釈]])</f>
        <v>0</v>
      </c>
    </row>
    <row r="52" spans="1:6" x14ac:dyDescent="0.55000000000000004">
      <c r="A52" s="48"/>
      <c r="B52" s="2"/>
      <c r="C52" s="1"/>
      <c r="D52" s="1"/>
      <c r="E52" s="1"/>
      <c r="F52" s="37">
        <f>SUM(テーブル135[[#This Row],[ケアレスミス]:[解釈]])</f>
        <v>0</v>
      </c>
    </row>
    <row r="53" spans="1:6" x14ac:dyDescent="0.55000000000000004">
      <c r="A53" s="48"/>
      <c r="B53" s="2"/>
      <c r="C53" s="1"/>
      <c r="D53" s="1"/>
      <c r="E53" s="1"/>
      <c r="F53" s="37">
        <f>SUM(テーブル135[[#This Row],[ケアレスミス]:[解釈]])</f>
        <v>0</v>
      </c>
    </row>
    <row r="54" spans="1:6" x14ac:dyDescent="0.55000000000000004">
      <c r="A54" s="48"/>
      <c r="B54" s="2"/>
      <c r="C54" s="1"/>
      <c r="D54" s="1"/>
      <c r="E54" s="1"/>
      <c r="F54" s="37">
        <f>SUM(テーブル135[[#This Row],[ケアレスミス]:[解釈]])</f>
        <v>0</v>
      </c>
    </row>
    <row r="55" spans="1:6" x14ac:dyDescent="0.55000000000000004">
      <c r="A55" s="34"/>
      <c r="B55" s="2"/>
      <c r="C55" s="1"/>
      <c r="D55" s="1"/>
      <c r="E55" s="1"/>
      <c r="F55" s="37">
        <f>SUM(テーブル135[[#This Row],[ケアレスミス]:[解釈]])</f>
        <v>0</v>
      </c>
    </row>
    <row r="56" spans="1:6" x14ac:dyDescent="0.55000000000000004">
      <c r="A56" s="34"/>
      <c r="B56" s="2"/>
      <c r="C56" s="1"/>
      <c r="D56" s="1"/>
      <c r="E56" s="1"/>
      <c r="F56" s="37">
        <f>SUM(テーブル135[[#This Row],[ケアレスミス]:[解釈]])</f>
        <v>0</v>
      </c>
    </row>
    <row r="57" spans="1:6" x14ac:dyDescent="0.55000000000000004">
      <c r="A57" s="34"/>
      <c r="B57" s="2"/>
      <c r="C57" s="1"/>
      <c r="D57" s="1"/>
      <c r="E57" s="1"/>
      <c r="F57" s="37">
        <f>SUM(テーブル135[[#This Row],[ケアレスミス]:[解釈]])</f>
        <v>0</v>
      </c>
    </row>
    <row r="58" spans="1:6" x14ac:dyDescent="0.55000000000000004">
      <c r="A58" s="41" t="s">
        <v>86</v>
      </c>
      <c r="B58" s="38"/>
      <c r="C58" s="39">
        <f>SUBTOTAL(109,テーブル135[ケアレスミス])</f>
        <v>2</v>
      </c>
      <c r="D58" s="39">
        <f>SUBTOTAL(109,テーブル135[インシデント])</f>
        <v>0</v>
      </c>
      <c r="E58" s="39">
        <f>SUBTOTAL(109,テーブル135[解釈])</f>
        <v>0</v>
      </c>
      <c r="F58" s="40">
        <f>SUBTOTAL(109,テーブル135[FB数合計])</f>
        <v>2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059C18-363D-4AEE-BCAB-A92EDA2FD1C3}">
          <x14:formula1>
            <xm:f>メンバー!$B$3:$B$20</xm:f>
          </x14:formula1>
          <xm:sqref>B4:B57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4555-EB1E-45A3-81DB-C3C18C8442B0}">
  <sheetPr codeName="Sheet8"/>
  <dimension ref="B3:J157"/>
  <sheetViews>
    <sheetView topLeftCell="A24" workbookViewId="0">
      <selection activeCell="B3" sqref="B3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435</v>
      </c>
    </row>
    <row r="6" spans="2:2" x14ac:dyDescent="0.55000000000000004">
      <c r="B6" s="43" t="s">
        <v>326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45352</v>
      </c>
      <c r="D27" s="44">
        <v>45383</v>
      </c>
      <c r="E27" s="44"/>
      <c r="F27" s="44"/>
      <c r="G27" s="44"/>
      <c r="H27" s="44"/>
      <c r="I27" s="1"/>
      <c r="J27" s="1"/>
    </row>
    <row r="28" spans="2:10" x14ac:dyDescent="0.55000000000000004">
      <c r="B28" s="1" t="s">
        <v>29</v>
      </c>
      <c r="C28" s="1">
        <v>1</v>
      </c>
      <c r="D28" s="1">
        <v>0</v>
      </c>
      <c r="E28" s="1"/>
      <c r="F28" s="1"/>
      <c r="G28" s="1"/>
      <c r="H28" s="1"/>
      <c r="I28" s="1"/>
      <c r="J28" s="1"/>
    </row>
    <row r="29" spans="2:10" x14ac:dyDescent="0.55000000000000004">
      <c r="B29" s="1" t="s">
        <v>68</v>
      </c>
      <c r="C29" s="1">
        <v>0</v>
      </c>
      <c r="D29" s="1">
        <v>0</v>
      </c>
      <c r="E29" s="1"/>
      <c r="F29" s="1"/>
      <c r="G29" s="1"/>
      <c r="H29" s="1"/>
      <c r="I29" s="1"/>
      <c r="J29" s="1"/>
    </row>
    <row r="30" spans="2:10" x14ac:dyDescent="0.55000000000000004">
      <c r="B30" s="1" t="s">
        <v>28</v>
      </c>
      <c r="C30" s="1">
        <v>0</v>
      </c>
      <c r="D30" s="1">
        <v>0</v>
      </c>
      <c r="E30" s="1"/>
      <c r="F30" s="1"/>
      <c r="G30" s="1"/>
      <c r="H30" s="1"/>
      <c r="I30" s="1"/>
      <c r="J30" s="1"/>
    </row>
    <row r="31" spans="2:10" x14ac:dyDescent="0.55000000000000004">
      <c r="B31" s="1" t="s">
        <v>36</v>
      </c>
      <c r="C31" s="1">
        <v>0</v>
      </c>
      <c r="D31" s="1">
        <v>0</v>
      </c>
      <c r="E31" s="1"/>
      <c r="F31" s="1"/>
      <c r="G31" s="1"/>
      <c r="H31" s="1"/>
      <c r="I31" s="1"/>
      <c r="J31" s="1"/>
    </row>
    <row r="32" spans="2:10" x14ac:dyDescent="0.55000000000000004">
      <c r="B32" s="1" t="s">
        <v>329</v>
      </c>
      <c r="C32" s="1">
        <v>0</v>
      </c>
      <c r="D32" s="1">
        <v>1</v>
      </c>
      <c r="E32" s="1"/>
      <c r="F32" s="1"/>
      <c r="G32" s="1"/>
      <c r="H32" s="1"/>
      <c r="I32" s="1"/>
      <c r="J32" s="1"/>
    </row>
    <row r="33" spans="2:10" x14ac:dyDescent="0.55000000000000004">
      <c r="B33" s="1" t="s">
        <v>27</v>
      </c>
      <c r="C33" s="1">
        <v>0</v>
      </c>
      <c r="D33" s="1">
        <v>0</v>
      </c>
      <c r="E33" s="1"/>
      <c r="F33" s="1"/>
      <c r="G33" s="1"/>
      <c r="H33" s="1"/>
      <c r="I33" s="1"/>
      <c r="J33" s="1"/>
    </row>
    <row r="34" spans="2:10" x14ac:dyDescent="0.55000000000000004">
      <c r="B34" s="1" t="s">
        <v>330</v>
      </c>
      <c r="C34" s="1">
        <v>0</v>
      </c>
      <c r="D34" s="1">
        <v>0</v>
      </c>
      <c r="E34" s="1"/>
      <c r="F34" s="1"/>
      <c r="G34" s="1"/>
      <c r="H34" s="1"/>
      <c r="I34" s="1"/>
      <c r="J34" s="1"/>
    </row>
    <row r="35" spans="2:10" x14ac:dyDescent="0.55000000000000004">
      <c r="B35" s="1"/>
      <c r="C35" s="1"/>
      <c r="D35" s="1"/>
      <c r="E35" s="1"/>
      <c r="F35" s="1"/>
      <c r="G35" s="1"/>
      <c r="H35" s="1"/>
      <c r="I35" s="1"/>
      <c r="J35" s="1"/>
    </row>
    <row r="38" spans="2:10" x14ac:dyDescent="0.55000000000000004">
      <c r="B38" s="43" t="s">
        <v>327</v>
      </c>
    </row>
    <row r="58" spans="2:10" x14ac:dyDescent="0.55000000000000004">
      <c r="B58" s="1" t="s">
        <v>67</v>
      </c>
      <c r="C58" s="44">
        <v>45352</v>
      </c>
      <c r="D58" s="44">
        <v>45383</v>
      </c>
      <c r="E58" s="44"/>
      <c r="F58" s="44"/>
      <c r="G58" s="44"/>
      <c r="H58" s="44"/>
      <c r="I58" s="1"/>
      <c r="J58" s="1"/>
    </row>
    <row r="59" spans="2:10" x14ac:dyDescent="0.55000000000000004">
      <c r="B59" s="1" t="s">
        <v>29</v>
      </c>
      <c r="C59" s="1">
        <v>0</v>
      </c>
      <c r="D59" s="1">
        <v>0</v>
      </c>
      <c r="E59" s="1"/>
      <c r="F59" s="1"/>
      <c r="G59" s="1"/>
      <c r="H59" s="1"/>
      <c r="I59" s="1"/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/>
      <c r="F60" s="1"/>
      <c r="G60" s="1"/>
      <c r="H60" s="1"/>
      <c r="I60" s="1"/>
      <c r="J60" s="1"/>
    </row>
    <row r="61" spans="2:10" x14ac:dyDescent="0.55000000000000004">
      <c r="B61" s="1" t="s">
        <v>28</v>
      </c>
      <c r="C61" s="1">
        <v>0</v>
      </c>
      <c r="D61" s="1">
        <v>0</v>
      </c>
      <c r="E61" s="1"/>
      <c r="F61" s="1"/>
      <c r="G61" s="1"/>
      <c r="H61" s="1"/>
      <c r="I61" s="1"/>
      <c r="J61" s="1"/>
    </row>
    <row r="62" spans="2:10" x14ac:dyDescent="0.55000000000000004">
      <c r="B62" s="1" t="s">
        <v>36</v>
      </c>
      <c r="C62" s="1">
        <v>0</v>
      </c>
      <c r="D62" s="1">
        <v>0</v>
      </c>
      <c r="E62" s="1"/>
      <c r="F62" s="1"/>
      <c r="G62" s="1"/>
      <c r="H62" s="1"/>
      <c r="I62" s="1"/>
      <c r="J62" s="1"/>
    </row>
    <row r="63" spans="2:10" x14ac:dyDescent="0.55000000000000004">
      <c r="B63" s="1" t="s">
        <v>329</v>
      </c>
      <c r="C63" s="1">
        <v>0</v>
      </c>
      <c r="D63" s="1">
        <v>0</v>
      </c>
      <c r="E63" s="1"/>
      <c r="F63" s="1"/>
      <c r="G63" s="1"/>
      <c r="H63" s="1"/>
      <c r="I63" s="1"/>
      <c r="J63" s="1"/>
    </row>
    <row r="64" spans="2:10" x14ac:dyDescent="0.55000000000000004">
      <c r="B64" s="1" t="s">
        <v>27</v>
      </c>
      <c r="C64" s="1">
        <v>0</v>
      </c>
      <c r="D64" s="1">
        <v>0</v>
      </c>
      <c r="E64" s="1"/>
      <c r="F64" s="1"/>
      <c r="G64" s="1"/>
      <c r="H64" s="1"/>
      <c r="I64" s="1"/>
      <c r="J64" s="1"/>
    </row>
    <row r="65" spans="2:10" x14ac:dyDescent="0.55000000000000004">
      <c r="B65" s="1" t="s">
        <v>330</v>
      </c>
      <c r="C65" s="1">
        <v>0</v>
      </c>
      <c r="D65" s="1">
        <v>0</v>
      </c>
      <c r="E65" s="1"/>
      <c r="F65" s="1"/>
      <c r="G65" s="1"/>
      <c r="H65" s="1"/>
      <c r="I65" s="1"/>
      <c r="J65" s="1"/>
    </row>
    <row r="66" spans="2:10" x14ac:dyDescent="0.55000000000000004">
      <c r="B66" s="1"/>
      <c r="C66" s="1"/>
      <c r="D66" s="1"/>
      <c r="E66" s="1"/>
      <c r="F66" s="1"/>
      <c r="G66" s="1"/>
      <c r="H66" s="1"/>
      <c r="I66" s="1"/>
      <c r="J66" s="1"/>
    </row>
    <row r="70" spans="2:10" x14ac:dyDescent="0.55000000000000004">
      <c r="B70" s="43" t="s">
        <v>328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45352</v>
      </c>
      <c r="D90" s="44">
        <v>45383</v>
      </c>
      <c r="E90" s="44"/>
      <c r="F90" s="44"/>
      <c r="G90" s="44"/>
      <c r="H90" s="44"/>
      <c r="I90" s="1"/>
      <c r="J90" s="1"/>
    </row>
    <row r="91" spans="2:10" x14ac:dyDescent="0.55000000000000004">
      <c r="B91" s="1" t="s">
        <v>29</v>
      </c>
      <c r="C91" s="1">
        <v>0</v>
      </c>
      <c r="D91" s="1">
        <v>0</v>
      </c>
      <c r="E91" s="1"/>
      <c r="F91" s="1"/>
      <c r="G91" s="1"/>
      <c r="H91" s="1"/>
      <c r="I91" s="1"/>
      <c r="J91" s="1"/>
    </row>
    <row r="92" spans="2:10" x14ac:dyDescent="0.55000000000000004">
      <c r="B92" s="1" t="s">
        <v>68</v>
      </c>
      <c r="C92" s="1">
        <v>0</v>
      </c>
      <c r="D92" s="1">
        <v>0</v>
      </c>
      <c r="E92" s="1"/>
      <c r="F92" s="1"/>
      <c r="G92" s="1"/>
      <c r="H92" s="1"/>
      <c r="I92" s="1"/>
      <c r="J92" s="1"/>
    </row>
    <row r="93" spans="2:10" x14ac:dyDescent="0.55000000000000004">
      <c r="B93" s="1" t="s">
        <v>28</v>
      </c>
      <c r="C93" s="1">
        <v>0</v>
      </c>
      <c r="D93" s="1">
        <v>0</v>
      </c>
      <c r="E93" s="1"/>
      <c r="F93" s="1"/>
      <c r="G93" s="1"/>
      <c r="H93" s="1"/>
      <c r="I93" s="1"/>
      <c r="J93" s="1"/>
    </row>
    <row r="94" spans="2:10" x14ac:dyDescent="0.55000000000000004">
      <c r="B94" s="1" t="s">
        <v>36</v>
      </c>
      <c r="C94" s="1">
        <v>0</v>
      </c>
      <c r="D94" s="1">
        <v>0</v>
      </c>
      <c r="E94" s="1"/>
      <c r="F94" s="1"/>
      <c r="G94" s="1"/>
      <c r="H94" s="1"/>
      <c r="I94" s="1"/>
      <c r="J94" s="1"/>
    </row>
    <row r="95" spans="2:10" x14ac:dyDescent="0.55000000000000004">
      <c r="B95" s="1" t="s">
        <v>329</v>
      </c>
      <c r="C95" s="1">
        <v>0</v>
      </c>
      <c r="D95" s="1">
        <v>0</v>
      </c>
      <c r="E95" s="1"/>
      <c r="F95" s="1"/>
      <c r="G95" s="1"/>
      <c r="H95" s="1"/>
      <c r="I95" s="1"/>
      <c r="J95" s="1"/>
    </row>
    <row r="96" spans="2:10" x14ac:dyDescent="0.55000000000000004">
      <c r="B96" s="1" t="s">
        <v>27</v>
      </c>
      <c r="C96" s="1">
        <v>0</v>
      </c>
      <c r="D96" s="1">
        <v>0</v>
      </c>
      <c r="E96" s="1"/>
      <c r="F96" s="1"/>
      <c r="G96" s="1"/>
      <c r="H96" s="1"/>
      <c r="I96" s="1"/>
      <c r="J96" s="1"/>
    </row>
    <row r="97" spans="2:10" x14ac:dyDescent="0.55000000000000004">
      <c r="B97" s="1" t="s">
        <v>330</v>
      </c>
      <c r="C97" s="1">
        <v>0</v>
      </c>
      <c r="D97" s="1">
        <v>0</v>
      </c>
      <c r="E97" s="1"/>
      <c r="F97" s="1"/>
      <c r="G97" s="1"/>
      <c r="H97" s="1"/>
      <c r="I97" s="1"/>
      <c r="J97" s="1"/>
    </row>
    <row r="98" spans="2:10" x14ac:dyDescent="0.55000000000000004">
      <c r="B98" s="1"/>
      <c r="C98" s="1"/>
      <c r="D98" s="1"/>
      <c r="E98" s="1"/>
      <c r="F98" s="1"/>
      <c r="G98" s="1"/>
      <c r="H98" s="1"/>
      <c r="I98" s="1"/>
      <c r="J98" s="1"/>
    </row>
    <row r="102" spans="2:10" x14ac:dyDescent="0.55000000000000004">
      <c r="B102" s="43" t="s">
        <v>433</v>
      </c>
    </row>
    <row r="120" spans="2:10" x14ac:dyDescent="0.55000000000000004">
      <c r="B120" s="1" t="s">
        <v>67</v>
      </c>
      <c r="C120" s="44">
        <v>45352</v>
      </c>
      <c r="D120" s="44">
        <v>45383</v>
      </c>
      <c r="E120" s="44"/>
      <c r="F120" s="44"/>
      <c r="G120" s="44"/>
      <c r="H120" s="44"/>
      <c r="I120" s="1"/>
      <c r="J120" s="1"/>
    </row>
    <row r="121" spans="2:10" x14ac:dyDescent="0.55000000000000004">
      <c r="B121" s="1" t="s">
        <v>29</v>
      </c>
      <c r="C121" s="1">
        <v>0</v>
      </c>
      <c r="D121" s="1">
        <v>0</v>
      </c>
      <c r="E121" s="1"/>
      <c r="F121" s="1"/>
      <c r="G121" s="1"/>
      <c r="H121" s="1"/>
      <c r="I121" s="1"/>
      <c r="J121" s="1"/>
    </row>
    <row r="122" spans="2:10" x14ac:dyDescent="0.55000000000000004">
      <c r="B122" s="1" t="s">
        <v>68</v>
      </c>
      <c r="C122" s="1">
        <v>0</v>
      </c>
      <c r="D122" s="1">
        <v>0</v>
      </c>
      <c r="E122" s="1"/>
      <c r="F122" s="1"/>
      <c r="G122" s="1"/>
      <c r="H122" s="1"/>
      <c r="I122" s="1"/>
      <c r="J122" s="1"/>
    </row>
    <row r="123" spans="2:10" x14ac:dyDescent="0.55000000000000004">
      <c r="B123" s="1" t="s">
        <v>28</v>
      </c>
      <c r="C123" s="1">
        <v>0</v>
      </c>
      <c r="D123" s="1">
        <v>0</v>
      </c>
      <c r="E123" s="1"/>
      <c r="F123" s="1"/>
      <c r="G123" s="1"/>
      <c r="H123" s="1"/>
      <c r="I123" s="1"/>
      <c r="J123" s="1"/>
    </row>
    <row r="124" spans="2:10" x14ac:dyDescent="0.55000000000000004">
      <c r="B124" s="1" t="s">
        <v>36</v>
      </c>
      <c r="C124" s="1">
        <v>0</v>
      </c>
      <c r="D124" s="1">
        <v>0</v>
      </c>
      <c r="E124" s="1"/>
      <c r="F124" s="1"/>
      <c r="G124" s="1"/>
      <c r="H124" s="1"/>
      <c r="I124" s="1"/>
      <c r="J124" s="1"/>
    </row>
    <row r="125" spans="2:10" x14ac:dyDescent="0.55000000000000004">
      <c r="B125" s="1" t="s">
        <v>329</v>
      </c>
      <c r="C125" s="1">
        <v>0</v>
      </c>
      <c r="D125" s="1">
        <v>0</v>
      </c>
      <c r="E125" s="1"/>
      <c r="F125" s="1"/>
      <c r="G125" s="1"/>
      <c r="H125" s="1"/>
      <c r="I125" s="1"/>
      <c r="J125" s="1"/>
    </row>
    <row r="126" spans="2:10" x14ac:dyDescent="0.55000000000000004">
      <c r="B126" s="1" t="s">
        <v>27</v>
      </c>
      <c r="C126" s="1">
        <v>0</v>
      </c>
      <c r="D126" s="1">
        <v>0</v>
      </c>
      <c r="E126" s="1"/>
      <c r="F126" s="1"/>
      <c r="G126" s="1"/>
      <c r="H126" s="1"/>
      <c r="I126" s="1"/>
      <c r="J126" s="1"/>
    </row>
    <row r="127" spans="2:10" x14ac:dyDescent="0.55000000000000004">
      <c r="B127" s="1" t="s">
        <v>330</v>
      </c>
      <c r="C127" s="1">
        <v>0</v>
      </c>
      <c r="D127" s="1">
        <v>0</v>
      </c>
      <c r="E127" s="1"/>
      <c r="F127" s="1"/>
      <c r="G127" s="1"/>
      <c r="H127" s="1"/>
      <c r="I127" s="1"/>
      <c r="J127" s="1"/>
    </row>
    <row r="128" spans="2:10" x14ac:dyDescent="0.55000000000000004">
      <c r="B128" s="1"/>
      <c r="C128" s="1"/>
      <c r="D128" s="1"/>
      <c r="E128" s="1"/>
      <c r="F128" s="1"/>
      <c r="G128" s="1"/>
      <c r="H128" s="1"/>
      <c r="I128" s="1"/>
      <c r="J128" s="1"/>
    </row>
    <row r="131" spans="2:2" x14ac:dyDescent="0.55000000000000004">
      <c r="B131" s="43" t="s">
        <v>434</v>
      </c>
    </row>
    <row r="149" spans="2:10" x14ac:dyDescent="0.55000000000000004">
      <c r="B149" s="1" t="s">
        <v>67</v>
      </c>
      <c r="C149" s="44">
        <v>45352</v>
      </c>
      <c r="D149" s="44">
        <v>45383</v>
      </c>
      <c r="E149" s="44"/>
      <c r="F149" s="44"/>
      <c r="G149" s="44"/>
      <c r="H149" s="44"/>
      <c r="I149" s="1"/>
      <c r="J149" s="1"/>
    </row>
    <row r="150" spans="2:10" x14ac:dyDescent="0.55000000000000004">
      <c r="B150" s="1" t="s">
        <v>29</v>
      </c>
      <c r="C150" s="1">
        <v>0</v>
      </c>
      <c r="D150" s="1">
        <v>0</v>
      </c>
      <c r="E150" s="1"/>
      <c r="F150" s="1"/>
      <c r="G150" s="1"/>
      <c r="H150" s="1"/>
      <c r="I150" s="1"/>
      <c r="J150" s="1"/>
    </row>
    <row r="151" spans="2:10" x14ac:dyDescent="0.55000000000000004">
      <c r="B151" s="1" t="s">
        <v>68</v>
      </c>
      <c r="C151" s="1">
        <v>0</v>
      </c>
      <c r="D151" s="1">
        <v>0</v>
      </c>
      <c r="E151" s="1"/>
      <c r="F151" s="1"/>
      <c r="G151" s="1"/>
      <c r="H151" s="1"/>
      <c r="I151" s="1"/>
      <c r="J151" s="1"/>
    </row>
    <row r="152" spans="2:10" x14ac:dyDescent="0.55000000000000004">
      <c r="B152" s="1" t="s">
        <v>28</v>
      </c>
      <c r="C152" s="1">
        <v>0</v>
      </c>
      <c r="D152" s="1">
        <v>0</v>
      </c>
      <c r="E152" s="1"/>
      <c r="F152" s="1"/>
      <c r="G152" s="1"/>
      <c r="H152" s="1"/>
      <c r="I152" s="1"/>
      <c r="J152" s="1"/>
    </row>
    <row r="153" spans="2:10" x14ac:dyDescent="0.55000000000000004">
      <c r="B153" s="1" t="s">
        <v>36</v>
      </c>
      <c r="C153" s="1">
        <v>0</v>
      </c>
      <c r="D153" s="1">
        <v>0</v>
      </c>
      <c r="E153" s="1"/>
      <c r="F153" s="1"/>
      <c r="G153" s="1"/>
      <c r="H153" s="1"/>
      <c r="I153" s="1"/>
      <c r="J153" s="1"/>
    </row>
    <row r="154" spans="2:10" x14ac:dyDescent="0.55000000000000004">
      <c r="B154" s="1" t="s">
        <v>329</v>
      </c>
      <c r="C154" s="1">
        <v>0</v>
      </c>
      <c r="D154" s="1">
        <v>0</v>
      </c>
      <c r="E154" s="1"/>
      <c r="F154" s="1"/>
      <c r="G154" s="1"/>
      <c r="H154" s="1"/>
      <c r="I154" s="1"/>
      <c r="J154" s="1"/>
    </row>
    <row r="155" spans="2:10" x14ac:dyDescent="0.55000000000000004">
      <c r="B155" s="1" t="s">
        <v>27</v>
      </c>
      <c r="C155" s="1">
        <v>0</v>
      </c>
      <c r="D155" s="1">
        <v>0</v>
      </c>
      <c r="E155" s="1"/>
      <c r="F155" s="1"/>
      <c r="G155" s="1"/>
      <c r="H155" s="1"/>
      <c r="I155" s="1"/>
      <c r="J155" s="1"/>
    </row>
    <row r="156" spans="2:10" x14ac:dyDescent="0.55000000000000004">
      <c r="B156" s="1" t="s">
        <v>330</v>
      </c>
      <c r="C156" s="1">
        <v>0</v>
      </c>
      <c r="D156" s="1">
        <v>0</v>
      </c>
      <c r="E156" s="1"/>
      <c r="F156" s="1"/>
      <c r="G156" s="1"/>
      <c r="H156" s="1"/>
      <c r="I156" s="1"/>
      <c r="J156" s="1"/>
    </row>
    <row r="157" spans="2:10" x14ac:dyDescent="0.55000000000000004">
      <c r="B157" s="1"/>
      <c r="C157" s="1"/>
      <c r="D157" s="1"/>
      <c r="E157" s="1"/>
      <c r="F157" s="1"/>
      <c r="G157" s="1"/>
      <c r="H157" s="1"/>
      <c r="I157" s="1"/>
      <c r="J157" s="1"/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795A-9E6A-4894-82FA-9CD73EA26C12}">
  <sheetPr codeName="Sheet9"/>
  <dimension ref="A1:J58"/>
  <sheetViews>
    <sheetView workbookViewId="0">
      <pane ySplit="3" topLeftCell="A4" activePane="bottomLeft" state="frozen"/>
      <selection pane="bottomLeft" activeCell="A4" sqref="A4"/>
    </sheetView>
  </sheetViews>
  <sheetFormatPr defaultRowHeight="18" x14ac:dyDescent="0.55000000000000004"/>
  <cols>
    <col min="1" max="1" width="11.1640625" customWidth="1"/>
    <col min="2" max="2" width="10.58203125" customWidth="1"/>
    <col min="3" max="3" width="13.58203125" customWidth="1"/>
    <col min="4" max="4" width="12.33203125" customWidth="1"/>
    <col min="5" max="5" width="9.5" bestFit="1" customWidth="1"/>
    <col min="6" max="6" width="10.58203125" customWidth="1"/>
    <col min="7" max="7" width="8.83203125" bestFit="1" customWidth="1"/>
    <col min="8" max="13" width="9.5" bestFit="1" customWidth="1"/>
  </cols>
  <sheetData>
    <row r="1" spans="1:10" x14ac:dyDescent="0.55000000000000004">
      <c r="A1" s="12" t="s">
        <v>335</v>
      </c>
      <c r="B1" s="8"/>
      <c r="C1" s="5"/>
      <c r="D1" s="5"/>
      <c r="E1" s="5"/>
      <c r="F1" s="5"/>
      <c r="G1" s="5"/>
      <c r="H1" s="5"/>
      <c r="I1" s="5"/>
      <c r="J1" s="5"/>
    </row>
    <row r="3" spans="1:10" x14ac:dyDescent="0.55000000000000004">
      <c r="A3" s="49" t="s">
        <v>215</v>
      </c>
      <c r="B3" s="46" t="s">
        <v>1</v>
      </c>
      <c r="C3" s="35" t="s">
        <v>10</v>
      </c>
      <c r="D3" s="35" t="s">
        <v>49</v>
      </c>
      <c r="E3" s="46" t="s">
        <v>50</v>
      </c>
      <c r="F3" s="47" t="s">
        <v>51</v>
      </c>
    </row>
    <row r="4" spans="1:10" x14ac:dyDescent="0.55000000000000004">
      <c r="A4" s="48" t="s">
        <v>164</v>
      </c>
      <c r="B4" s="2"/>
      <c r="C4" s="36">
        <v>0</v>
      </c>
      <c r="D4" s="36">
        <v>0</v>
      </c>
      <c r="E4" s="36">
        <v>0</v>
      </c>
      <c r="F4" s="39">
        <f>SUM(テーブル1356[[#This Row],[ケアレスミス]:[解釈]])</f>
        <v>0</v>
      </c>
    </row>
    <row r="5" spans="1:10" x14ac:dyDescent="0.55000000000000004">
      <c r="A5" s="48"/>
      <c r="B5" s="2"/>
      <c r="C5" s="36"/>
      <c r="D5" s="36"/>
      <c r="E5" s="36"/>
      <c r="F5" s="39">
        <f>SUM(テーブル1356[[#This Row],[ケアレスミス]:[解釈]])</f>
        <v>0</v>
      </c>
    </row>
    <row r="6" spans="1:10" x14ac:dyDescent="0.55000000000000004">
      <c r="A6" s="48"/>
      <c r="B6" s="2"/>
      <c r="C6" s="36"/>
      <c r="D6" s="36"/>
      <c r="E6" s="36"/>
      <c r="F6" s="39">
        <f>SUM(テーブル1356[[#This Row],[ケアレスミス]:[解釈]])</f>
        <v>0</v>
      </c>
    </row>
    <row r="7" spans="1:10" x14ac:dyDescent="0.55000000000000004">
      <c r="A7" s="48"/>
      <c r="B7" s="2"/>
      <c r="C7" s="36"/>
      <c r="D7" s="36"/>
      <c r="E7" s="36"/>
      <c r="F7" s="39">
        <f>SUM(テーブル1356[[#This Row],[ケアレスミス]:[解釈]])</f>
        <v>0</v>
      </c>
    </row>
    <row r="8" spans="1:10" x14ac:dyDescent="0.55000000000000004">
      <c r="A8" s="48"/>
      <c r="B8" s="2"/>
      <c r="C8" s="36"/>
      <c r="D8" s="36"/>
      <c r="E8" s="36"/>
      <c r="F8" s="39">
        <f>SUM(テーブル1356[[#This Row],[ケアレスミス]:[解釈]])</f>
        <v>0</v>
      </c>
    </row>
    <row r="9" spans="1:10" x14ac:dyDescent="0.55000000000000004">
      <c r="A9" s="48"/>
      <c r="B9" s="2"/>
      <c r="C9" s="1"/>
      <c r="D9" s="1"/>
      <c r="E9" s="1"/>
      <c r="F9" s="39">
        <f>SUM(テーブル1356[[#This Row],[ケアレスミス]:[解釈]])</f>
        <v>0</v>
      </c>
    </row>
    <row r="10" spans="1:10" x14ac:dyDescent="0.55000000000000004">
      <c r="A10" s="48"/>
      <c r="B10" s="2"/>
      <c r="C10" s="1"/>
      <c r="D10" s="1"/>
      <c r="E10" s="1"/>
      <c r="F10" s="39">
        <f>SUM(テーブル1356[[#This Row],[ケアレスミス]:[解釈]])</f>
        <v>0</v>
      </c>
    </row>
    <row r="11" spans="1:10" x14ac:dyDescent="0.55000000000000004">
      <c r="A11" s="48"/>
      <c r="B11" s="2"/>
      <c r="C11" s="1"/>
      <c r="D11" s="1"/>
      <c r="E11" s="1"/>
      <c r="F11" s="39">
        <f>SUM(テーブル1356[[#This Row],[ケアレスミス]:[解釈]])</f>
        <v>0</v>
      </c>
    </row>
    <row r="12" spans="1:10" x14ac:dyDescent="0.55000000000000004">
      <c r="A12" s="48"/>
      <c r="B12" s="2"/>
      <c r="C12" s="1"/>
      <c r="D12" s="1"/>
      <c r="E12" s="1"/>
      <c r="F12" s="39">
        <f>SUM(テーブル1356[[#This Row],[ケアレスミス]:[解釈]])</f>
        <v>0</v>
      </c>
    </row>
    <row r="13" spans="1:10" x14ac:dyDescent="0.55000000000000004">
      <c r="A13" s="48"/>
      <c r="B13" s="2"/>
      <c r="C13" s="1"/>
      <c r="D13" s="1"/>
      <c r="E13" s="1"/>
      <c r="F13" s="39">
        <f>SUM(テーブル1356[[#This Row],[ケアレスミス]:[解釈]])</f>
        <v>0</v>
      </c>
    </row>
    <row r="14" spans="1:10" x14ac:dyDescent="0.55000000000000004">
      <c r="A14" s="48"/>
      <c r="B14" s="2"/>
      <c r="C14" s="1"/>
      <c r="D14" s="1"/>
      <c r="E14" s="1"/>
      <c r="F14" s="39">
        <f>SUM(テーブル1356[[#This Row],[ケアレスミス]:[解釈]])</f>
        <v>0</v>
      </c>
    </row>
    <row r="15" spans="1:10" x14ac:dyDescent="0.55000000000000004">
      <c r="A15" s="48"/>
      <c r="B15" s="2"/>
      <c r="C15" s="36"/>
      <c r="D15" s="36"/>
      <c r="E15" s="36"/>
      <c r="F15" s="39">
        <f>SUM(テーブル1356[[#This Row],[ケアレスミス]:[解釈]])</f>
        <v>0</v>
      </c>
    </row>
    <row r="16" spans="1:10" x14ac:dyDescent="0.55000000000000004">
      <c r="A16" s="48"/>
      <c r="B16" s="2"/>
      <c r="C16" s="36"/>
      <c r="D16" s="36"/>
      <c r="E16" s="36"/>
      <c r="F16" s="39">
        <f>SUM(テーブル1356[[#This Row],[ケアレスミス]:[解釈]])</f>
        <v>0</v>
      </c>
    </row>
    <row r="17" spans="1:6" x14ac:dyDescent="0.55000000000000004">
      <c r="A17" s="48"/>
      <c r="B17" s="2"/>
      <c r="C17" s="36"/>
      <c r="D17" s="36"/>
      <c r="E17" s="36"/>
      <c r="F17" s="39">
        <f>SUM(テーブル1356[[#This Row],[ケアレスミス]:[解釈]])</f>
        <v>0</v>
      </c>
    </row>
    <row r="18" spans="1:6" x14ac:dyDescent="0.55000000000000004">
      <c r="A18" s="48"/>
      <c r="B18" s="2"/>
      <c r="C18" s="36"/>
      <c r="D18" s="36"/>
      <c r="E18" s="36"/>
      <c r="F18" s="39">
        <f>SUM(テーブル1356[[#This Row],[ケアレスミス]:[解釈]])</f>
        <v>0</v>
      </c>
    </row>
    <row r="19" spans="1:6" x14ac:dyDescent="0.55000000000000004">
      <c r="A19" s="48"/>
      <c r="B19" s="2"/>
      <c r="C19" s="36"/>
      <c r="D19" s="36"/>
      <c r="E19" s="36"/>
      <c r="F19" s="39">
        <f>SUM(テーブル1356[[#This Row],[ケアレスミス]:[解釈]])</f>
        <v>0</v>
      </c>
    </row>
    <row r="20" spans="1:6" x14ac:dyDescent="0.55000000000000004">
      <c r="A20" s="48"/>
      <c r="B20" s="2"/>
      <c r="C20" s="36"/>
      <c r="D20" s="36"/>
      <c r="E20" s="36"/>
      <c r="F20" s="39">
        <f>SUM(テーブル1356[[#This Row],[ケアレスミス]:[解釈]])</f>
        <v>0</v>
      </c>
    </row>
    <row r="21" spans="1:6" x14ac:dyDescent="0.55000000000000004">
      <c r="A21" s="48"/>
      <c r="B21" s="2"/>
      <c r="C21" s="1"/>
      <c r="D21" s="1"/>
      <c r="E21" s="1"/>
      <c r="F21" s="39">
        <f>SUM(テーブル1356[[#This Row],[ケアレスミス]:[解釈]])</f>
        <v>0</v>
      </c>
    </row>
    <row r="22" spans="1:6" x14ac:dyDescent="0.55000000000000004">
      <c r="A22" s="48"/>
      <c r="B22" s="2"/>
      <c r="C22" s="1"/>
      <c r="D22" s="1"/>
      <c r="E22" s="1"/>
      <c r="F22" s="39">
        <f>SUM(テーブル1356[[#This Row],[ケアレスミス]:[解釈]])</f>
        <v>0</v>
      </c>
    </row>
    <row r="23" spans="1:6" x14ac:dyDescent="0.55000000000000004">
      <c r="A23" s="48"/>
      <c r="B23" s="2"/>
      <c r="C23" s="1"/>
      <c r="D23" s="1"/>
      <c r="E23" s="1"/>
      <c r="F23" s="39">
        <f>SUM(テーブル1356[[#This Row],[ケアレスミス]:[解釈]])</f>
        <v>0</v>
      </c>
    </row>
    <row r="24" spans="1:6" x14ac:dyDescent="0.55000000000000004">
      <c r="A24" s="48"/>
      <c r="B24" s="2"/>
      <c r="C24" s="1"/>
      <c r="D24" s="1"/>
      <c r="E24" s="1"/>
      <c r="F24" s="39">
        <f>SUM(テーブル1356[[#This Row],[ケアレスミス]:[解釈]])</f>
        <v>0</v>
      </c>
    </row>
    <row r="25" spans="1:6" x14ac:dyDescent="0.55000000000000004">
      <c r="A25" s="48"/>
      <c r="B25" s="2"/>
      <c r="C25" s="1"/>
      <c r="D25" s="1"/>
      <c r="E25" s="1"/>
      <c r="F25" s="39">
        <f>SUM(テーブル1356[[#This Row],[ケアレスミス]:[解釈]])</f>
        <v>0</v>
      </c>
    </row>
    <row r="26" spans="1:6" x14ac:dyDescent="0.55000000000000004">
      <c r="A26" s="48"/>
      <c r="B26" s="38"/>
      <c r="C26" s="39"/>
      <c r="D26" s="39"/>
      <c r="E26" s="39"/>
      <c r="F26" s="39">
        <f>SUM(テーブル1356[[#This Row],[ケアレスミス]:[解釈]])</f>
        <v>0</v>
      </c>
    </row>
    <row r="27" spans="1:6" x14ac:dyDescent="0.55000000000000004">
      <c r="A27" s="48"/>
      <c r="B27" s="38"/>
      <c r="C27" s="39"/>
      <c r="D27" s="39"/>
      <c r="E27" s="39"/>
      <c r="F27" s="39">
        <f>SUM(テーブル1356[[#This Row],[ケアレスミス]:[解釈]])</f>
        <v>0</v>
      </c>
    </row>
    <row r="28" spans="1:6" x14ac:dyDescent="0.55000000000000004">
      <c r="A28" s="48"/>
      <c r="B28" s="38"/>
      <c r="C28" s="39"/>
      <c r="D28" s="39"/>
      <c r="E28" s="39"/>
      <c r="F28" s="39">
        <f>SUM(テーブル1356[[#This Row],[ケアレスミス]:[解釈]])</f>
        <v>0</v>
      </c>
    </row>
    <row r="29" spans="1:6" x14ac:dyDescent="0.55000000000000004">
      <c r="A29" s="48"/>
      <c r="B29" s="38"/>
      <c r="C29" s="39"/>
      <c r="D29" s="39"/>
      <c r="E29" s="39"/>
      <c r="F29" s="39">
        <f>SUM(テーブル1356[[#This Row],[ケアレスミス]:[解釈]])</f>
        <v>0</v>
      </c>
    </row>
    <row r="30" spans="1:6" x14ac:dyDescent="0.55000000000000004">
      <c r="A30" s="48"/>
      <c r="B30" s="38"/>
      <c r="C30" s="39"/>
      <c r="D30" s="39"/>
      <c r="E30" s="39"/>
      <c r="F30" s="39">
        <f>SUM(テーブル1356[[#This Row],[ケアレスミス]:[解釈]])</f>
        <v>0</v>
      </c>
    </row>
    <row r="31" spans="1:6" x14ac:dyDescent="0.55000000000000004">
      <c r="A31" s="48"/>
      <c r="B31" s="38"/>
      <c r="C31" s="39"/>
      <c r="D31" s="39"/>
      <c r="E31" s="39"/>
      <c r="F31" s="39">
        <f>SUM(テーブル1356[[#This Row],[ケアレスミス]:[解釈]])</f>
        <v>0</v>
      </c>
    </row>
    <row r="32" spans="1:6" x14ac:dyDescent="0.55000000000000004">
      <c r="A32" s="48"/>
      <c r="B32" s="38"/>
      <c r="C32" s="39"/>
      <c r="D32" s="39"/>
      <c r="E32" s="39"/>
      <c r="F32" s="39">
        <f>SUM(テーブル1356[[#This Row],[ケアレスミス]:[解釈]])</f>
        <v>0</v>
      </c>
    </row>
    <row r="33" spans="1:6" x14ac:dyDescent="0.55000000000000004">
      <c r="A33" s="48"/>
      <c r="B33" s="2"/>
      <c r="C33" s="1"/>
      <c r="D33" s="1"/>
      <c r="E33" s="1"/>
      <c r="F33" s="39">
        <f>SUM(テーブル1356[[#This Row],[ケアレスミス]:[解釈]])</f>
        <v>0</v>
      </c>
    </row>
    <row r="34" spans="1:6" x14ac:dyDescent="0.55000000000000004">
      <c r="A34" s="48"/>
      <c r="B34" s="2"/>
      <c r="C34" s="1"/>
      <c r="D34" s="1"/>
      <c r="E34" s="1"/>
      <c r="F34" s="39">
        <f>SUM(テーブル1356[[#This Row],[ケアレスミス]:[解釈]])</f>
        <v>0</v>
      </c>
    </row>
    <row r="35" spans="1:6" x14ac:dyDescent="0.55000000000000004">
      <c r="A35" s="48"/>
      <c r="B35" s="2"/>
      <c r="C35" s="1"/>
      <c r="D35" s="1"/>
      <c r="E35" s="1"/>
      <c r="F35" s="39">
        <f>SUM(テーブル1356[[#This Row],[ケアレスミス]:[解釈]])</f>
        <v>0</v>
      </c>
    </row>
    <row r="36" spans="1:6" x14ac:dyDescent="0.55000000000000004">
      <c r="A36" s="48"/>
      <c r="B36" s="2"/>
      <c r="C36" s="1"/>
      <c r="D36" s="1"/>
      <c r="E36" s="1"/>
      <c r="F36" s="39">
        <f>SUM(テーブル1356[[#This Row],[ケアレスミス]:[解釈]])</f>
        <v>0</v>
      </c>
    </row>
    <row r="37" spans="1:6" x14ac:dyDescent="0.55000000000000004">
      <c r="A37" s="48"/>
      <c r="B37" s="2"/>
      <c r="C37" s="1"/>
      <c r="D37" s="1"/>
      <c r="E37" s="1"/>
      <c r="F37" s="39">
        <f>SUM(テーブル1356[[#This Row],[ケアレスミス]:[解釈]])</f>
        <v>0</v>
      </c>
    </row>
    <row r="38" spans="1:6" x14ac:dyDescent="0.55000000000000004">
      <c r="A38" s="48"/>
      <c r="B38" s="2"/>
      <c r="C38" s="1"/>
      <c r="D38" s="1"/>
      <c r="E38" s="1"/>
      <c r="F38" s="39">
        <f>SUM(テーブル1356[[#This Row],[ケアレスミス]:[解釈]])</f>
        <v>0</v>
      </c>
    </row>
    <row r="39" spans="1:6" x14ac:dyDescent="0.55000000000000004">
      <c r="A39" s="48"/>
      <c r="B39" s="2"/>
      <c r="C39" s="1"/>
      <c r="D39" s="1"/>
      <c r="E39" s="1"/>
      <c r="F39" s="39">
        <f>SUM(テーブル1356[[#This Row],[ケアレスミス]:[解釈]])</f>
        <v>0</v>
      </c>
    </row>
    <row r="40" spans="1:6" x14ac:dyDescent="0.55000000000000004">
      <c r="A40" s="48"/>
      <c r="B40" s="2"/>
      <c r="C40" s="1"/>
      <c r="D40" s="1"/>
      <c r="E40" s="1"/>
      <c r="F40" s="39">
        <f>SUM(テーブル1356[[#This Row],[ケアレスミス]:[解釈]])</f>
        <v>0</v>
      </c>
    </row>
    <row r="41" spans="1:6" x14ac:dyDescent="0.55000000000000004">
      <c r="A41" s="48"/>
      <c r="B41" s="2"/>
      <c r="C41" s="1"/>
      <c r="D41" s="1"/>
      <c r="E41" s="1"/>
      <c r="F41" s="39">
        <f>SUM(テーブル1356[[#This Row],[ケアレスミス]:[解釈]])</f>
        <v>0</v>
      </c>
    </row>
    <row r="42" spans="1:6" x14ac:dyDescent="0.55000000000000004">
      <c r="A42" s="48"/>
      <c r="B42" s="2"/>
      <c r="C42" s="1"/>
      <c r="D42" s="1"/>
      <c r="E42" s="1"/>
      <c r="F42" s="39">
        <f>SUM(テーブル1356[[#This Row],[ケアレスミス]:[解釈]])</f>
        <v>0</v>
      </c>
    </row>
    <row r="43" spans="1:6" x14ac:dyDescent="0.55000000000000004">
      <c r="A43" s="48"/>
      <c r="B43" s="2"/>
      <c r="C43" s="1"/>
      <c r="D43" s="1"/>
      <c r="E43" s="1"/>
      <c r="F43" s="39">
        <f>SUM(テーブル1356[[#This Row],[ケアレスミス]:[解釈]])</f>
        <v>0</v>
      </c>
    </row>
    <row r="44" spans="1:6" x14ac:dyDescent="0.55000000000000004">
      <c r="A44" s="48"/>
      <c r="B44" s="2"/>
      <c r="C44" s="1"/>
      <c r="D44" s="1"/>
      <c r="E44" s="1"/>
      <c r="F44" s="39">
        <f>SUM(テーブル1356[[#This Row],[ケアレスミス]:[解釈]])</f>
        <v>0</v>
      </c>
    </row>
    <row r="45" spans="1:6" x14ac:dyDescent="0.55000000000000004">
      <c r="A45" s="48"/>
      <c r="B45" s="2"/>
      <c r="C45" s="1"/>
      <c r="D45" s="1"/>
      <c r="E45" s="1"/>
      <c r="F45" s="39">
        <f>SUM(テーブル1356[[#This Row],[ケアレスミス]:[解釈]])</f>
        <v>0</v>
      </c>
    </row>
    <row r="46" spans="1:6" x14ac:dyDescent="0.55000000000000004">
      <c r="A46" s="48"/>
      <c r="B46" s="38"/>
      <c r="C46" s="39"/>
      <c r="D46" s="39"/>
      <c r="E46" s="39"/>
      <c r="F46" s="39">
        <f>SUM(テーブル1356[[#This Row],[ケアレスミス]:[解釈]])</f>
        <v>0</v>
      </c>
    </row>
    <row r="47" spans="1:6" x14ac:dyDescent="0.55000000000000004">
      <c r="A47" s="48"/>
      <c r="B47" s="38"/>
      <c r="C47" s="39"/>
      <c r="D47" s="39"/>
      <c r="E47" s="39"/>
      <c r="F47" s="39">
        <f>SUM(テーブル1356[[#This Row],[ケアレスミス]:[解釈]])</f>
        <v>0</v>
      </c>
    </row>
    <row r="48" spans="1:6" x14ac:dyDescent="0.55000000000000004">
      <c r="A48" s="48"/>
      <c r="B48" s="38"/>
      <c r="C48" s="39"/>
      <c r="D48" s="39"/>
      <c r="E48" s="39"/>
      <c r="F48" s="39">
        <f>SUM(テーブル1356[[#This Row],[ケアレスミス]:[解釈]])</f>
        <v>0</v>
      </c>
    </row>
    <row r="49" spans="1:6" x14ac:dyDescent="0.55000000000000004">
      <c r="A49" s="48"/>
      <c r="B49" s="2"/>
      <c r="C49" s="1"/>
      <c r="D49" s="1"/>
      <c r="E49" s="1"/>
      <c r="F49" s="39">
        <f>SUM(テーブル1356[[#This Row],[ケアレスミス]:[解釈]])</f>
        <v>0</v>
      </c>
    </row>
    <row r="50" spans="1:6" x14ac:dyDescent="0.55000000000000004">
      <c r="A50" s="48"/>
      <c r="B50" s="2"/>
      <c r="C50" s="1"/>
      <c r="D50" s="1"/>
      <c r="E50" s="1"/>
      <c r="F50" s="39">
        <f>SUM(テーブル1356[[#This Row],[ケアレスミス]:[解釈]])</f>
        <v>0</v>
      </c>
    </row>
    <row r="51" spans="1:6" x14ac:dyDescent="0.55000000000000004">
      <c r="A51" s="48"/>
      <c r="B51" s="2"/>
      <c r="C51" s="1"/>
      <c r="D51" s="1"/>
      <c r="E51" s="1"/>
      <c r="F51" s="39">
        <f>SUM(テーブル1356[[#This Row],[ケアレスミス]:[解釈]])</f>
        <v>0</v>
      </c>
    </row>
    <row r="52" spans="1:6" x14ac:dyDescent="0.55000000000000004">
      <c r="A52" s="48"/>
      <c r="B52" s="2"/>
      <c r="C52" s="1"/>
      <c r="D52" s="1"/>
      <c r="E52" s="1"/>
      <c r="F52" s="37">
        <f>SUM(テーブル1356[[#This Row],[ケアレスミス]:[解釈]])</f>
        <v>0</v>
      </c>
    </row>
    <row r="53" spans="1:6" x14ac:dyDescent="0.55000000000000004">
      <c r="A53" s="48"/>
      <c r="B53" s="2"/>
      <c r="C53" s="1"/>
      <c r="D53" s="1"/>
      <c r="E53" s="1"/>
      <c r="F53" s="37">
        <f>SUM(テーブル1356[[#This Row],[ケアレスミス]:[解釈]])</f>
        <v>0</v>
      </c>
    </row>
    <row r="54" spans="1:6" x14ac:dyDescent="0.55000000000000004">
      <c r="A54" s="48"/>
      <c r="B54" s="2"/>
      <c r="C54" s="1"/>
      <c r="D54" s="1"/>
      <c r="E54" s="1"/>
      <c r="F54" s="37">
        <f>SUM(テーブル1356[[#This Row],[ケアレスミス]:[解釈]])</f>
        <v>0</v>
      </c>
    </row>
    <row r="55" spans="1:6" x14ac:dyDescent="0.55000000000000004">
      <c r="A55" s="34"/>
      <c r="B55" s="2"/>
      <c r="C55" s="1"/>
      <c r="D55" s="1"/>
      <c r="E55" s="1"/>
      <c r="F55" s="37">
        <f>SUM(テーブル1356[[#This Row],[ケアレスミス]:[解釈]])</f>
        <v>0</v>
      </c>
    </row>
    <row r="56" spans="1:6" x14ac:dyDescent="0.55000000000000004">
      <c r="A56" s="34"/>
      <c r="B56" s="2"/>
      <c r="C56" s="1"/>
      <c r="D56" s="1"/>
      <c r="E56" s="1"/>
      <c r="F56" s="37">
        <f>SUM(テーブル1356[[#This Row],[ケアレスミス]:[解釈]])</f>
        <v>0</v>
      </c>
    </row>
    <row r="57" spans="1:6" x14ac:dyDescent="0.55000000000000004">
      <c r="A57" s="34"/>
      <c r="B57" s="2"/>
      <c r="C57" s="1"/>
      <c r="D57" s="1"/>
      <c r="E57" s="1"/>
      <c r="F57" s="37">
        <f>SUM(テーブル1356[[#This Row],[ケアレスミス]:[解釈]])</f>
        <v>0</v>
      </c>
    </row>
    <row r="58" spans="1:6" x14ac:dyDescent="0.55000000000000004">
      <c r="A58" s="41" t="s">
        <v>86</v>
      </c>
      <c r="B58" s="38"/>
      <c r="C58" s="39">
        <f>SUBTOTAL(109,テーブル1356[ケアレスミス])</f>
        <v>0</v>
      </c>
      <c r="D58" s="39">
        <f>SUBTOTAL(109,テーブル1356[インシデント])</f>
        <v>0</v>
      </c>
      <c r="E58" s="39">
        <f>SUBTOTAL(109,テーブル1356[解釈])</f>
        <v>0</v>
      </c>
      <c r="F58" s="40">
        <f>SUBTOTAL(109,テーブル1356[FB数合計])</f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3B30-440B-4B2A-BB22-0B30AA333161}">
  <sheetPr codeName="Sheet20"/>
  <dimension ref="B3:J98"/>
  <sheetViews>
    <sheetView topLeftCell="A51" workbookViewId="0">
      <selection activeCell="B99" sqref="B99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436</v>
      </c>
    </row>
    <row r="6" spans="2:2" x14ac:dyDescent="0.55000000000000004">
      <c r="B6" s="43" t="s">
        <v>369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45444</v>
      </c>
      <c r="D27" s="44"/>
      <c r="E27" s="44"/>
      <c r="F27" s="44"/>
      <c r="G27" s="44"/>
      <c r="H27" s="44"/>
      <c r="I27" s="1"/>
      <c r="J27" s="1"/>
    </row>
    <row r="28" spans="2:10" x14ac:dyDescent="0.55000000000000004">
      <c r="B28" s="1" t="s">
        <v>100</v>
      </c>
      <c r="C28" s="1"/>
      <c r="D28" s="1"/>
      <c r="E28" s="1"/>
      <c r="F28" s="1"/>
      <c r="G28" s="1"/>
      <c r="H28" s="1"/>
      <c r="I28" s="1"/>
      <c r="J28" s="1"/>
    </row>
    <row r="29" spans="2:10" x14ac:dyDescent="0.55000000000000004">
      <c r="B29" s="1" t="s">
        <v>2</v>
      </c>
      <c r="C29" s="1"/>
      <c r="D29" s="1"/>
      <c r="E29" s="1"/>
      <c r="F29" s="1"/>
      <c r="G29" s="1"/>
      <c r="H29" s="1"/>
      <c r="I29" s="1"/>
      <c r="J29" s="1"/>
    </row>
    <row r="30" spans="2:10" x14ac:dyDescent="0.55000000000000004">
      <c r="B30" s="1" t="s">
        <v>15</v>
      </c>
      <c r="C30" s="1"/>
      <c r="D30" s="1"/>
      <c r="E30" s="1"/>
      <c r="F30" s="1"/>
      <c r="G30" s="1"/>
      <c r="H30" s="1"/>
      <c r="I30" s="1"/>
      <c r="J30" s="1"/>
    </row>
    <row r="31" spans="2:10" x14ac:dyDescent="0.55000000000000004">
      <c r="B31" s="1" t="s">
        <v>152</v>
      </c>
      <c r="C31" s="1"/>
      <c r="D31" s="1"/>
      <c r="E31" s="1"/>
      <c r="F31" s="1"/>
      <c r="G31" s="1"/>
      <c r="H31" s="1"/>
      <c r="I31" s="1"/>
      <c r="J31" s="1"/>
    </row>
    <row r="32" spans="2:10" x14ac:dyDescent="0.55000000000000004">
      <c r="B32" s="1" t="s">
        <v>150</v>
      </c>
      <c r="C32" s="1"/>
      <c r="D32" s="1"/>
      <c r="E32" s="1"/>
      <c r="F32" s="1"/>
      <c r="G32" s="1"/>
      <c r="H32" s="1"/>
      <c r="I32" s="1"/>
      <c r="J32" s="1"/>
    </row>
    <row r="33" spans="2:10" x14ac:dyDescent="0.55000000000000004">
      <c r="B33" s="1" t="s">
        <v>151</v>
      </c>
      <c r="C33" s="1"/>
      <c r="D33" s="1"/>
      <c r="E33" s="1"/>
      <c r="F33" s="1"/>
      <c r="G33" s="1"/>
      <c r="H33" s="1"/>
      <c r="I33" s="1"/>
      <c r="J33" s="1"/>
    </row>
    <row r="34" spans="2:10" x14ac:dyDescent="0.55000000000000004">
      <c r="B34" s="1" t="s">
        <v>40</v>
      </c>
      <c r="C34" s="1"/>
      <c r="D34" s="1"/>
      <c r="E34" s="1"/>
      <c r="F34" s="1"/>
      <c r="G34" s="1"/>
      <c r="H34" s="1"/>
      <c r="I34" s="1"/>
      <c r="J34" s="1"/>
    </row>
    <row r="35" spans="2:10" x14ac:dyDescent="0.55000000000000004">
      <c r="B35" s="1" t="s">
        <v>390</v>
      </c>
      <c r="C35" s="1"/>
      <c r="D35" s="1"/>
      <c r="E35" s="1"/>
      <c r="F35" s="1"/>
      <c r="G35" s="1"/>
      <c r="H35" s="1"/>
      <c r="I35" s="1"/>
      <c r="J35" s="1"/>
    </row>
    <row r="38" spans="2:10" x14ac:dyDescent="0.55000000000000004">
      <c r="B38" s="43" t="s">
        <v>370</v>
      </c>
    </row>
    <row r="58" spans="2:10" x14ac:dyDescent="0.55000000000000004">
      <c r="B58" s="1" t="s">
        <v>67</v>
      </c>
      <c r="C58" s="44">
        <v>45444</v>
      </c>
      <c r="D58" s="44"/>
      <c r="E58" s="44"/>
      <c r="F58" s="44"/>
      <c r="G58" s="44"/>
      <c r="H58" s="44"/>
      <c r="I58" s="1"/>
      <c r="J58" s="1"/>
    </row>
    <row r="59" spans="2:10" x14ac:dyDescent="0.55000000000000004">
      <c r="B59" s="1" t="s">
        <v>100</v>
      </c>
      <c r="C59" s="1"/>
      <c r="D59" s="1"/>
      <c r="E59" s="1"/>
      <c r="F59" s="1"/>
      <c r="G59" s="1"/>
      <c r="H59" s="1"/>
      <c r="I59" s="1"/>
      <c r="J59" s="1"/>
    </row>
    <row r="60" spans="2:10" x14ac:dyDescent="0.55000000000000004">
      <c r="B60" s="1" t="s">
        <v>2</v>
      </c>
      <c r="C60" s="1"/>
      <c r="D60" s="1"/>
      <c r="E60" s="1"/>
      <c r="F60" s="1"/>
      <c r="G60" s="1"/>
      <c r="H60" s="1"/>
      <c r="I60" s="1"/>
      <c r="J60" s="1"/>
    </row>
    <row r="61" spans="2:10" x14ac:dyDescent="0.55000000000000004">
      <c r="B61" s="1" t="s">
        <v>15</v>
      </c>
      <c r="C61" s="1"/>
      <c r="D61" s="1"/>
      <c r="E61" s="1"/>
      <c r="F61" s="1"/>
      <c r="G61" s="1"/>
      <c r="H61" s="1"/>
      <c r="I61" s="1"/>
      <c r="J61" s="1"/>
    </row>
    <row r="62" spans="2:10" x14ac:dyDescent="0.55000000000000004">
      <c r="B62" s="1" t="s">
        <v>152</v>
      </c>
      <c r="C62" s="1"/>
      <c r="D62" s="1"/>
      <c r="E62" s="1"/>
      <c r="F62" s="1"/>
      <c r="G62" s="1"/>
      <c r="H62" s="1"/>
      <c r="I62" s="1"/>
      <c r="J62" s="1"/>
    </row>
    <row r="63" spans="2:10" x14ac:dyDescent="0.55000000000000004">
      <c r="B63" s="1" t="s">
        <v>150</v>
      </c>
      <c r="C63" s="1"/>
      <c r="D63" s="1"/>
      <c r="E63" s="1"/>
      <c r="F63" s="1"/>
      <c r="G63" s="1"/>
      <c r="H63" s="1"/>
      <c r="I63" s="1"/>
      <c r="J63" s="1"/>
    </row>
    <row r="64" spans="2:10" x14ac:dyDescent="0.55000000000000004">
      <c r="B64" s="1" t="s">
        <v>151</v>
      </c>
      <c r="C64" s="1"/>
      <c r="D64" s="1"/>
      <c r="E64" s="1"/>
      <c r="F64" s="1"/>
      <c r="G64" s="1"/>
      <c r="H64" s="1"/>
      <c r="I64" s="1"/>
      <c r="J64" s="1"/>
    </row>
    <row r="65" spans="2:10" x14ac:dyDescent="0.55000000000000004">
      <c r="B65" s="1" t="s">
        <v>40</v>
      </c>
      <c r="C65" s="1"/>
      <c r="D65" s="1"/>
      <c r="E65" s="1"/>
      <c r="F65" s="1"/>
      <c r="G65" s="1"/>
      <c r="H65" s="1"/>
      <c r="I65" s="1"/>
      <c r="J65" s="1"/>
    </row>
    <row r="66" spans="2:10" x14ac:dyDescent="0.55000000000000004">
      <c r="B66" s="1" t="s">
        <v>390</v>
      </c>
      <c r="C66" s="1"/>
      <c r="D66" s="1"/>
      <c r="E66" s="1"/>
      <c r="F66" s="1"/>
      <c r="G66" s="1"/>
      <c r="H66" s="1"/>
      <c r="I66" s="1"/>
      <c r="J66" s="1"/>
    </row>
    <row r="70" spans="2:10" x14ac:dyDescent="0.55000000000000004">
      <c r="B70" s="43" t="s">
        <v>371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45444</v>
      </c>
      <c r="D90" s="44"/>
      <c r="E90" s="44"/>
      <c r="F90" s="44"/>
      <c r="G90" s="44"/>
      <c r="H90" s="44"/>
      <c r="I90" s="1"/>
      <c r="J90" s="1"/>
    </row>
    <row r="91" spans="2:10" x14ac:dyDescent="0.55000000000000004">
      <c r="B91" s="1" t="s">
        <v>100</v>
      </c>
      <c r="C91" s="1"/>
      <c r="D91" s="1"/>
      <c r="E91" s="1"/>
      <c r="F91" s="1"/>
      <c r="G91" s="1"/>
      <c r="H91" s="1"/>
      <c r="I91" s="1"/>
      <c r="J91" s="1"/>
    </row>
    <row r="92" spans="2:10" x14ac:dyDescent="0.55000000000000004">
      <c r="B92" s="1" t="s">
        <v>2</v>
      </c>
      <c r="C92" s="1"/>
      <c r="D92" s="1"/>
      <c r="E92" s="1"/>
      <c r="F92" s="1"/>
      <c r="G92" s="1"/>
      <c r="H92" s="1"/>
      <c r="I92" s="1"/>
      <c r="J92" s="1"/>
    </row>
    <row r="93" spans="2:10" x14ac:dyDescent="0.55000000000000004">
      <c r="B93" s="1" t="s">
        <v>15</v>
      </c>
      <c r="C93" s="1"/>
      <c r="D93" s="1"/>
      <c r="E93" s="1"/>
      <c r="F93" s="1"/>
      <c r="G93" s="1"/>
      <c r="H93" s="1"/>
      <c r="I93" s="1"/>
      <c r="J93" s="1"/>
    </row>
    <row r="94" spans="2:10" x14ac:dyDescent="0.55000000000000004">
      <c r="B94" s="1" t="s">
        <v>152</v>
      </c>
      <c r="C94" s="1"/>
      <c r="D94" s="1"/>
      <c r="E94" s="1"/>
      <c r="F94" s="1"/>
      <c r="G94" s="1"/>
      <c r="H94" s="1"/>
      <c r="I94" s="1"/>
      <c r="J94" s="1"/>
    </row>
    <row r="95" spans="2:10" x14ac:dyDescent="0.55000000000000004">
      <c r="B95" s="1" t="s">
        <v>150</v>
      </c>
      <c r="C95" s="1"/>
      <c r="D95" s="1"/>
      <c r="E95" s="1"/>
      <c r="F95" s="1"/>
      <c r="G95" s="1"/>
      <c r="H95" s="1"/>
      <c r="I95" s="1"/>
      <c r="J95" s="1"/>
    </row>
    <row r="96" spans="2:10" x14ac:dyDescent="0.55000000000000004">
      <c r="B96" s="1" t="s">
        <v>151</v>
      </c>
      <c r="C96" s="1"/>
      <c r="D96" s="1"/>
      <c r="E96" s="1"/>
      <c r="F96" s="1"/>
      <c r="G96" s="1"/>
      <c r="H96" s="1"/>
      <c r="I96" s="1"/>
      <c r="J96" s="1"/>
    </row>
    <row r="97" spans="2:10" x14ac:dyDescent="0.55000000000000004">
      <c r="B97" s="1" t="s">
        <v>40</v>
      </c>
      <c r="C97" s="1"/>
      <c r="D97" s="1"/>
      <c r="E97" s="1"/>
      <c r="F97" s="1"/>
      <c r="G97" s="1"/>
      <c r="H97" s="1"/>
      <c r="I97" s="1"/>
      <c r="J97" s="1"/>
    </row>
    <row r="98" spans="2:10" x14ac:dyDescent="0.55000000000000004">
      <c r="B98" s="1" t="s">
        <v>390</v>
      </c>
      <c r="C98" s="1"/>
      <c r="D98" s="1"/>
      <c r="E98" s="1"/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B81D-D0EE-42F4-9205-C6ED1A00AF66}">
  <sheetPr codeName="Sheet10">
    <tabColor theme="9" tint="-0.249977111117893"/>
  </sheetPr>
  <dimension ref="B3:B7"/>
  <sheetViews>
    <sheetView workbookViewId="0">
      <selection activeCell="B7" sqref="B7"/>
    </sheetView>
  </sheetViews>
  <sheetFormatPr defaultRowHeight="18" x14ac:dyDescent="0.55000000000000004"/>
  <cols>
    <col min="2" max="2" width="15.33203125" style="4" customWidth="1"/>
  </cols>
  <sheetData>
    <row r="3" spans="2:2" x14ac:dyDescent="0.55000000000000004">
      <c r="B3" s="4" t="s">
        <v>491</v>
      </c>
    </row>
    <row r="5" spans="2:2" x14ac:dyDescent="0.55000000000000004">
      <c r="B5" s="4" t="s">
        <v>492</v>
      </c>
    </row>
    <row r="7" spans="2:2" x14ac:dyDescent="0.55000000000000004">
      <c r="B7" s="4" t="s">
        <v>493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8695-7ACA-4556-A401-9D2D06D5206F}">
  <sheetPr codeName="Sheet21">
    <tabColor theme="7"/>
  </sheetPr>
  <dimension ref="A1:K19"/>
  <sheetViews>
    <sheetView workbookViewId="0">
      <selection activeCell="K17" sqref="K17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1" x14ac:dyDescent="0.55000000000000004">
      <c r="A1" s="12" t="s">
        <v>461</v>
      </c>
      <c r="B1" s="8"/>
      <c r="C1" s="5"/>
      <c r="D1" s="5"/>
      <c r="E1" s="5"/>
      <c r="F1" s="5"/>
      <c r="G1" s="5"/>
    </row>
    <row r="2" spans="1:11" x14ac:dyDescent="0.55000000000000004">
      <c r="A2" s="5"/>
      <c r="B2" s="8"/>
      <c r="C2" s="5"/>
      <c r="D2" s="5"/>
      <c r="E2" s="5"/>
      <c r="F2" s="5"/>
      <c r="G2" s="5"/>
    </row>
    <row r="3" spans="1:11" x14ac:dyDescent="0.55000000000000004">
      <c r="K3" s="75" t="s">
        <v>463</v>
      </c>
    </row>
    <row r="4" spans="1:11" x14ac:dyDescent="0.55000000000000004">
      <c r="A4" s="1" t="s">
        <v>23</v>
      </c>
      <c r="B4" s="2" t="s">
        <v>445</v>
      </c>
      <c r="C4" s="2" t="s">
        <v>445</v>
      </c>
      <c r="D4" s="2" t="s">
        <v>445</v>
      </c>
      <c r="E4" s="2" t="s">
        <v>446</v>
      </c>
      <c r="F4" s="2" t="s">
        <v>446</v>
      </c>
      <c r="G4" s="2" t="s">
        <v>446</v>
      </c>
      <c r="K4" s="73">
        <v>45383</v>
      </c>
    </row>
    <row r="5" spans="1:11" x14ac:dyDescent="0.55000000000000004">
      <c r="A5" s="1" t="s">
        <v>34</v>
      </c>
      <c r="B5" s="2" t="s">
        <v>28</v>
      </c>
      <c r="C5" s="2" t="s">
        <v>68</v>
      </c>
      <c r="D5" s="2" t="s">
        <v>29</v>
      </c>
      <c r="E5" s="2" t="s">
        <v>68</v>
      </c>
      <c r="F5" s="2" t="s">
        <v>29</v>
      </c>
      <c r="G5" s="2" t="s">
        <v>36</v>
      </c>
    </row>
    <row r="6" spans="1:11" x14ac:dyDescent="0.55000000000000004">
      <c r="A6" s="17" t="s">
        <v>281</v>
      </c>
      <c r="B6" s="74">
        <v>1</v>
      </c>
      <c r="C6" s="74">
        <v>2</v>
      </c>
      <c r="D6" s="74">
        <v>3</v>
      </c>
      <c r="E6" s="74">
        <v>1</v>
      </c>
      <c r="F6" s="74">
        <v>2</v>
      </c>
      <c r="G6" s="74">
        <v>3</v>
      </c>
    </row>
    <row r="7" spans="1:11" x14ac:dyDescent="0.55000000000000004">
      <c r="A7" s="24" t="s">
        <v>465</v>
      </c>
      <c r="B7" s="26">
        <v>0</v>
      </c>
      <c r="C7" s="26">
        <v>1</v>
      </c>
      <c r="D7" s="26">
        <v>0</v>
      </c>
      <c r="E7" s="25">
        <v>0</v>
      </c>
      <c r="F7" s="26"/>
      <c r="G7" s="26"/>
    </row>
    <row r="8" spans="1:11" x14ac:dyDescent="0.55000000000000004">
      <c r="A8" s="24" t="s">
        <v>466</v>
      </c>
      <c r="B8" s="26">
        <v>0</v>
      </c>
      <c r="C8" s="26">
        <v>0</v>
      </c>
      <c r="D8" s="26">
        <v>0</v>
      </c>
      <c r="E8" s="25">
        <v>0</v>
      </c>
      <c r="F8" s="26"/>
      <c r="G8" s="26"/>
    </row>
    <row r="9" spans="1:11" x14ac:dyDescent="0.55000000000000004">
      <c r="A9" s="24" t="s">
        <v>467</v>
      </c>
      <c r="B9" s="26">
        <v>0</v>
      </c>
      <c r="C9" s="26">
        <v>0</v>
      </c>
      <c r="D9" s="26">
        <v>0</v>
      </c>
      <c r="E9" s="25">
        <v>0</v>
      </c>
      <c r="F9" s="26"/>
      <c r="G9" s="26"/>
    </row>
    <row r="10" spans="1:11" x14ac:dyDescent="0.55000000000000004">
      <c r="A10" s="24" t="s">
        <v>468</v>
      </c>
      <c r="B10" s="26">
        <v>0</v>
      </c>
      <c r="C10" s="26">
        <v>0</v>
      </c>
      <c r="D10" s="26">
        <v>0</v>
      </c>
      <c r="E10" s="25">
        <v>0</v>
      </c>
      <c r="F10" s="26"/>
      <c r="G10" s="26"/>
    </row>
    <row r="11" spans="1:11" x14ac:dyDescent="0.55000000000000004">
      <c r="A11" s="24" t="s">
        <v>469</v>
      </c>
      <c r="B11" s="26">
        <v>0</v>
      </c>
      <c r="C11" s="26">
        <v>0</v>
      </c>
      <c r="D11" s="26">
        <v>0</v>
      </c>
      <c r="E11" s="25">
        <v>0</v>
      </c>
      <c r="F11" s="26"/>
      <c r="G11" s="26"/>
    </row>
    <row r="14" spans="1:11" x14ac:dyDescent="0.55000000000000004">
      <c r="A14" s="1" t="s">
        <v>462</v>
      </c>
      <c r="B14" s="2" t="s">
        <v>39</v>
      </c>
      <c r="C14" s="2" t="s">
        <v>28</v>
      </c>
      <c r="D14" s="2" t="s">
        <v>66</v>
      </c>
      <c r="E14" s="2" t="s">
        <v>68</v>
      </c>
      <c r="F14" s="2" t="s">
        <v>27</v>
      </c>
      <c r="G14" s="2" t="s">
        <v>330</v>
      </c>
      <c r="H14" s="2" t="s">
        <v>329</v>
      </c>
    </row>
    <row r="15" spans="1:11" x14ac:dyDescent="0.55000000000000004">
      <c r="A15" s="1" t="s">
        <v>0</v>
      </c>
      <c r="B15" s="1">
        <f>SUMIF(B5:G5,B14,B7:G7)</f>
        <v>0</v>
      </c>
      <c r="C15" s="1">
        <f>SUMIF(B5:G5,C14,B7:G7)</f>
        <v>0</v>
      </c>
      <c r="D15" s="1">
        <f>SUMIF(B5:G5,D14,B7:G7)</f>
        <v>0</v>
      </c>
      <c r="E15" s="1">
        <f>SUMIF(B5:G5,E14,B7:G7)</f>
        <v>1</v>
      </c>
      <c r="F15" s="1">
        <f>SUMIF(B5:G5,F14,B7:G7)</f>
        <v>0</v>
      </c>
      <c r="G15" s="1">
        <f>SUMIF(B5:G5,G14,B7:G7)</f>
        <v>0</v>
      </c>
      <c r="H15" s="1">
        <f>SUMIF(B5:G5,H14,B7:G7)</f>
        <v>0</v>
      </c>
    </row>
    <row r="16" spans="1:11" x14ac:dyDescent="0.55000000000000004">
      <c r="A16" s="1" t="s">
        <v>464</v>
      </c>
      <c r="B16" s="1">
        <f>SUMIF(B5:G5,B14,B8:G8)</f>
        <v>0</v>
      </c>
      <c r="C16" s="1">
        <f>SUMIF(B5:G5,C14,B8:G8)</f>
        <v>0</v>
      </c>
      <c r="D16" s="1">
        <f>SUMIF(B5:G5,D14,B8:G8)</f>
        <v>0</v>
      </c>
      <c r="E16" s="1">
        <f>SUMIF(B5:G5,E14,B8:G8)</f>
        <v>0</v>
      </c>
      <c r="F16" s="1">
        <f>SUMIF(B5:G5,F14,B8:G8)</f>
        <v>0</v>
      </c>
      <c r="G16" s="1">
        <f>SUMIF(B5:G5,G14,B8:G8)</f>
        <v>0</v>
      </c>
      <c r="H16" s="1">
        <f>SUMIF(B5:G5,H14,B8:G8)</f>
        <v>0</v>
      </c>
    </row>
    <row r="17" spans="1:8" x14ac:dyDescent="0.55000000000000004">
      <c r="A17" s="1" t="s">
        <v>373</v>
      </c>
      <c r="B17" s="1">
        <f>SUMIF(B5:G5,B14,B9:G9)</f>
        <v>0</v>
      </c>
      <c r="C17" s="1">
        <f>SUMIF(B5:G5,C14,B9:G9)</f>
        <v>0</v>
      </c>
      <c r="D17" s="1">
        <f>SUMIF(B5:G5,D14,B9:G9)</f>
        <v>0</v>
      </c>
      <c r="E17" s="1">
        <f>SUMIF(B5:G5,E14,B9:G9)</f>
        <v>0</v>
      </c>
      <c r="F17" s="1">
        <f>SUMIF(B5:G5,F14,B9:G9)</f>
        <v>0</v>
      </c>
      <c r="G17" s="1">
        <f>SUMIF(B5:G5,G14,B9:G9)</f>
        <v>0</v>
      </c>
      <c r="H17" s="1">
        <f>SUMIF(B5:G5,H14,B9:G9)</f>
        <v>0</v>
      </c>
    </row>
    <row r="18" spans="1:8" x14ac:dyDescent="0.55000000000000004">
      <c r="A18" s="1" t="s">
        <v>361</v>
      </c>
      <c r="B18" s="1">
        <f>SUMIF(B5:G5,B14,B10:G10)</f>
        <v>0</v>
      </c>
      <c r="C18" s="1">
        <f>SUMIF(B5:G5,C14,B10:G10)</f>
        <v>0</v>
      </c>
      <c r="D18" s="1">
        <f>SUMIF(B5:G5,D14,B10:G10)</f>
        <v>0</v>
      </c>
      <c r="E18" s="1">
        <f>SUMIF(B5:G5,E14,B10:G10)</f>
        <v>0</v>
      </c>
      <c r="F18" s="1">
        <f>SUMIF(B5:G5,F14,B10:G10)</f>
        <v>0</v>
      </c>
      <c r="G18" s="1">
        <f>SUMIF(B5:G5,G14,B10:G10)</f>
        <v>0</v>
      </c>
      <c r="H18" s="1">
        <f>SUMIF(B5:G5,H14,B10:G10)</f>
        <v>0</v>
      </c>
    </row>
    <row r="19" spans="1:8" x14ac:dyDescent="0.55000000000000004">
      <c r="A19" s="1" t="s">
        <v>53</v>
      </c>
      <c r="B19" s="1">
        <f>SUMIF(B5:G5,B14,B11:G11)</f>
        <v>0</v>
      </c>
      <c r="C19" s="1">
        <f>SUMIF(B5:G5,C14,B11:G11)</f>
        <v>0</v>
      </c>
      <c r="D19" s="1">
        <f>SUMIF(B5:G5,D14,B11:G11)</f>
        <v>0</v>
      </c>
      <c r="E19" s="1">
        <f>SUMIF(B5:G5,E14,B11:G11)</f>
        <v>0</v>
      </c>
      <c r="F19" s="1">
        <f>SUMIF(B5:G5,F14,B11:G11)</f>
        <v>0</v>
      </c>
      <c r="G19" s="1">
        <f>SUMIF(B5:G5,G14,B11:G11)</f>
        <v>0</v>
      </c>
      <c r="H19" s="1">
        <f>SUMIF(B5:G5,H14,B11:G11)</f>
        <v>0</v>
      </c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E895-D332-4CBF-91BF-4C678CF5495B}">
  <sheetPr codeName="Sheet25">
    <tabColor theme="7"/>
  </sheetPr>
  <dimension ref="A1:N19"/>
  <sheetViews>
    <sheetView workbookViewId="0">
      <selection activeCell="K21" sqref="K21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4" x14ac:dyDescent="0.55000000000000004">
      <c r="A1" s="12" t="s">
        <v>470</v>
      </c>
      <c r="B1" s="8"/>
      <c r="C1" s="5"/>
      <c r="D1" s="5"/>
      <c r="E1" s="5"/>
      <c r="F1" s="5"/>
      <c r="G1" s="5"/>
    </row>
    <row r="2" spans="1:14" x14ac:dyDescent="0.55000000000000004">
      <c r="A2" s="5"/>
      <c r="B2" s="8"/>
      <c r="C2" s="5"/>
      <c r="D2" s="5"/>
      <c r="E2" s="5"/>
      <c r="F2" s="5"/>
      <c r="G2" s="5"/>
    </row>
    <row r="3" spans="1:14" x14ac:dyDescent="0.55000000000000004">
      <c r="K3" s="75"/>
      <c r="N3" s="75" t="s">
        <v>463</v>
      </c>
    </row>
    <row r="4" spans="1:14" x14ac:dyDescent="0.55000000000000004">
      <c r="A4" s="1" t="s">
        <v>23</v>
      </c>
      <c r="B4" s="70">
        <v>45406</v>
      </c>
      <c r="C4" s="70">
        <v>45406</v>
      </c>
      <c r="D4" s="70">
        <v>45406</v>
      </c>
      <c r="E4" s="70"/>
      <c r="F4" s="70"/>
      <c r="G4" s="70"/>
      <c r="H4" s="2"/>
      <c r="I4" s="2"/>
      <c r="J4" s="2"/>
      <c r="N4" s="73">
        <v>45383</v>
      </c>
    </row>
    <row r="5" spans="1:14" x14ac:dyDescent="0.55000000000000004">
      <c r="A5" s="1" t="s">
        <v>34</v>
      </c>
      <c r="B5" s="2" t="s">
        <v>330</v>
      </c>
      <c r="C5" s="2"/>
      <c r="D5" s="2"/>
      <c r="E5" s="2"/>
      <c r="F5" s="2"/>
      <c r="G5" s="2"/>
      <c r="H5" s="2"/>
      <c r="I5" s="2"/>
      <c r="J5" s="2"/>
    </row>
    <row r="6" spans="1:14" x14ac:dyDescent="0.55000000000000004">
      <c r="A6" s="17" t="s">
        <v>281</v>
      </c>
      <c r="B6" s="74">
        <v>1</v>
      </c>
      <c r="C6" s="74">
        <v>2</v>
      </c>
      <c r="D6" s="74">
        <v>3</v>
      </c>
      <c r="E6" s="74"/>
      <c r="F6" s="74"/>
      <c r="G6" s="74"/>
      <c r="H6" s="74"/>
      <c r="I6" s="74"/>
      <c r="J6" s="74"/>
    </row>
    <row r="7" spans="1:14" x14ac:dyDescent="0.55000000000000004">
      <c r="A7" s="24" t="s">
        <v>465</v>
      </c>
      <c r="B7" s="26">
        <v>2</v>
      </c>
      <c r="C7" s="26"/>
      <c r="D7" s="26"/>
      <c r="E7" s="25"/>
      <c r="F7" s="26"/>
      <c r="G7" s="26"/>
      <c r="H7" s="26"/>
      <c r="I7" s="26"/>
      <c r="J7" s="26"/>
    </row>
    <row r="8" spans="1:14" x14ac:dyDescent="0.55000000000000004">
      <c r="A8" s="24" t="s">
        <v>466</v>
      </c>
      <c r="B8" s="26">
        <v>0</v>
      </c>
      <c r="C8" s="26"/>
      <c r="D8" s="26"/>
      <c r="E8" s="25"/>
      <c r="F8" s="26"/>
      <c r="G8" s="26"/>
      <c r="H8" s="26"/>
      <c r="I8" s="26"/>
      <c r="J8" s="26"/>
    </row>
    <row r="9" spans="1:14" x14ac:dyDescent="0.55000000000000004">
      <c r="A9" s="24" t="s">
        <v>467</v>
      </c>
      <c r="B9" s="26">
        <v>0</v>
      </c>
      <c r="C9" s="26"/>
      <c r="D9" s="26"/>
      <c r="E9" s="25"/>
      <c r="F9" s="26"/>
      <c r="G9" s="26"/>
      <c r="H9" s="26"/>
      <c r="I9" s="26"/>
      <c r="J9" s="26"/>
    </row>
    <row r="10" spans="1:14" x14ac:dyDescent="0.55000000000000004">
      <c r="A10" s="24" t="s">
        <v>468</v>
      </c>
      <c r="B10" s="26">
        <v>0</v>
      </c>
      <c r="C10" s="26"/>
      <c r="D10" s="26"/>
      <c r="E10" s="25"/>
      <c r="F10" s="26"/>
      <c r="G10" s="26"/>
      <c r="H10" s="26"/>
      <c r="I10" s="26"/>
      <c r="J10" s="26"/>
    </row>
    <row r="11" spans="1:14" x14ac:dyDescent="0.55000000000000004">
      <c r="A11" s="24" t="s">
        <v>469</v>
      </c>
      <c r="B11" s="26">
        <v>0</v>
      </c>
      <c r="C11" s="26"/>
      <c r="D11" s="26"/>
      <c r="E11" s="25"/>
      <c r="F11" s="26"/>
      <c r="G11" s="26"/>
      <c r="H11" s="26"/>
      <c r="I11" s="26"/>
      <c r="J11" s="26"/>
    </row>
    <row r="14" spans="1:14" x14ac:dyDescent="0.55000000000000004">
      <c r="A14" s="1" t="s">
        <v>462</v>
      </c>
      <c r="B14" s="2" t="s">
        <v>39</v>
      </c>
      <c r="C14" s="2" t="s">
        <v>28</v>
      </c>
      <c r="D14" s="2" t="s">
        <v>66</v>
      </c>
      <c r="E14" s="2" t="s">
        <v>68</v>
      </c>
      <c r="F14" s="2" t="s">
        <v>27</v>
      </c>
      <c r="G14" s="2" t="s">
        <v>330</v>
      </c>
      <c r="H14" s="2" t="s">
        <v>329</v>
      </c>
    </row>
    <row r="15" spans="1:14" x14ac:dyDescent="0.55000000000000004">
      <c r="A15" s="1" t="s">
        <v>0</v>
      </c>
      <c r="B15" s="1">
        <f>SUMIF(B5:G5,B14,B7:G7)</f>
        <v>0</v>
      </c>
      <c r="C15" s="1">
        <f>SUMIF(B5:G5,C14,B7:G7)</f>
        <v>0</v>
      </c>
      <c r="D15" s="1">
        <f>SUMIF(B5:G5,D14,B7:G7)</f>
        <v>0</v>
      </c>
      <c r="E15" s="1">
        <f>SUMIF(B5:G5,E14,B7:G7)</f>
        <v>0</v>
      </c>
      <c r="F15" s="1">
        <f>SUMIF(B5:G5,F14,B7:G7)</f>
        <v>0</v>
      </c>
      <c r="G15" s="1">
        <f>SUMIF(B5:G5,G14,B7:G7)</f>
        <v>2</v>
      </c>
      <c r="H15" s="1">
        <f>SUMIF(B5:G5,H14,B7:G7)</f>
        <v>0</v>
      </c>
    </row>
    <row r="16" spans="1:14" x14ac:dyDescent="0.55000000000000004">
      <c r="A16" s="1" t="s">
        <v>464</v>
      </c>
      <c r="B16" s="1">
        <f>SUMIF(B5:G5,B14,B8:G8)</f>
        <v>0</v>
      </c>
      <c r="C16" s="1">
        <f>SUMIF(B5:G5,C14,B8:G8)</f>
        <v>0</v>
      </c>
      <c r="D16" s="1">
        <f>SUMIF(B5:G5,D14,B8:G8)</f>
        <v>0</v>
      </c>
      <c r="E16" s="1">
        <f>SUMIF(B5:G5,E14,B8:G8)</f>
        <v>0</v>
      </c>
      <c r="F16" s="1">
        <f>SUMIF(B5:G5,F14,B8:G8)</f>
        <v>0</v>
      </c>
      <c r="G16" s="1">
        <f>SUMIF(B5:G5,G14,B8:G8)</f>
        <v>0</v>
      </c>
      <c r="H16" s="1">
        <f>SUMIF(B5:G5,H14,B8:G8)</f>
        <v>0</v>
      </c>
    </row>
    <row r="17" spans="1:8" x14ac:dyDescent="0.55000000000000004">
      <c r="A17" s="1" t="s">
        <v>373</v>
      </c>
      <c r="B17" s="1">
        <f>SUMIF(B5:G5,B14,B9:G9)</f>
        <v>0</v>
      </c>
      <c r="C17" s="1">
        <f>SUMIF(B5:G5,C14,B9:G9)</f>
        <v>0</v>
      </c>
      <c r="D17" s="1">
        <f>SUMIF(B5:G5,D14,B9:G9)</f>
        <v>0</v>
      </c>
      <c r="E17" s="1">
        <f>SUMIF(B5:G5,E14,B9:G9)</f>
        <v>0</v>
      </c>
      <c r="F17" s="1">
        <f>SUMIF(B5:G5,F14,B9:G9)</f>
        <v>0</v>
      </c>
      <c r="G17" s="1">
        <f>SUMIF(B5:G5,G14,B9:G9)</f>
        <v>0</v>
      </c>
      <c r="H17" s="1">
        <f>SUMIF(B5:G5,H14,B9:G9)</f>
        <v>0</v>
      </c>
    </row>
    <row r="18" spans="1:8" x14ac:dyDescent="0.55000000000000004">
      <c r="A18" s="1" t="s">
        <v>361</v>
      </c>
      <c r="B18" s="1">
        <f>SUMIF(B5:G5,B14,B10:G10)</f>
        <v>0</v>
      </c>
      <c r="C18" s="1">
        <f>SUMIF(B5:G5,C14,B10:G10)</f>
        <v>0</v>
      </c>
      <c r="D18" s="1">
        <f>SUMIF(B5:G5,D14,B10:G10)</f>
        <v>0</v>
      </c>
      <c r="E18" s="1">
        <f>SUMIF(B5:G5,E14,B10:G10)</f>
        <v>0</v>
      </c>
      <c r="F18" s="1">
        <f>SUMIF(B5:G5,F14,B10:G10)</f>
        <v>0</v>
      </c>
      <c r="G18" s="1">
        <f>SUMIF(B5:G5,G14,B10:G10)</f>
        <v>0</v>
      </c>
      <c r="H18" s="1">
        <f>SUMIF(B5:G5,H14,B10:G10)</f>
        <v>0</v>
      </c>
    </row>
    <row r="19" spans="1:8" x14ac:dyDescent="0.55000000000000004">
      <c r="A19" s="1" t="s">
        <v>53</v>
      </c>
      <c r="B19" s="1">
        <f>SUMIF(B5:G5,B14,B11:G11)</f>
        <v>0</v>
      </c>
      <c r="C19" s="1">
        <f>SUMIF(B5:G5,C14,B11:G11)</f>
        <v>0</v>
      </c>
      <c r="D19" s="1">
        <f>SUMIF(B5:G5,D14,B11:G11)</f>
        <v>0</v>
      </c>
      <c r="E19" s="1">
        <f>SUMIF(B5:G5,E14,B11:G11)</f>
        <v>0</v>
      </c>
      <c r="F19" s="1">
        <f>SUMIF(B5:G5,F14,B11:G11)</f>
        <v>0</v>
      </c>
      <c r="G19" s="1">
        <f>SUMIF(B5:G5,G14,B11:G11)</f>
        <v>0</v>
      </c>
      <c r="H19" s="1">
        <f>SUMIF(B5:G5,H14,B11:G11)</f>
        <v>0</v>
      </c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644B-C5AD-4429-A94E-A57F96A81AAA}">
  <sheetPr codeName="Sheet27">
    <tabColor theme="7"/>
  </sheetPr>
  <dimension ref="A1:AJ26"/>
  <sheetViews>
    <sheetView topLeftCell="A19" workbookViewId="0">
      <selection activeCell="H21" sqref="H21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3.5820312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15.58203125" customWidth="1"/>
    <col min="17" max="17" width="12.33203125" bestFit="1" customWidth="1"/>
    <col min="18" max="18" width="12.25" bestFit="1" customWidth="1"/>
  </cols>
  <sheetData>
    <row r="1" spans="1:36" x14ac:dyDescent="0.55000000000000004">
      <c r="A1" s="12" t="s">
        <v>476</v>
      </c>
      <c r="B1" s="8"/>
      <c r="C1" s="5"/>
      <c r="D1" s="5"/>
      <c r="E1" s="5"/>
      <c r="F1" s="5"/>
      <c r="G1" s="5"/>
    </row>
    <row r="2" spans="1:36" x14ac:dyDescent="0.55000000000000004">
      <c r="A2" s="5"/>
      <c r="B2" s="8"/>
      <c r="C2" s="5"/>
      <c r="D2" s="5"/>
      <c r="E2" s="5"/>
      <c r="F2" s="5"/>
      <c r="G2" s="5"/>
    </row>
    <row r="3" spans="1:36" x14ac:dyDescent="0.55000000000000004">
      <c r="K3" s="75"/>
      <c r="N3" s="75"/>
    </row>
    <row r="4" spans="1:36" x14ac:dyDescent="0.55000000000000004">
      <c r="A4" s="1" t="s">
        <v>23</v>
      </c>
      <c r="B4" s="70">
        <v>45383</v>
      </c>
      <c r="C4" s="70">
        <v>45383</v>
      </c>
      <c r="D4" s="70">
        <v>45383</v>
      </c>
      <c r="E4" s="70">
        <v>45383</v>
      </c>
      <c r="F4" s="70">
        <v>45383</v>
      </c>
      <c r="G4" s="70">
        <v>45383</v>
      </c>
      <c r="H4" s="70">
        <v>45383</v>
      </c>
      <c r="I4" s="70">
        <v>45390</v>
      </c>
      <c r="J4" s="70">
        <v>45390</v>
      </c>
      <c r="K4" s="70">
        <v>45390</v>
      </c>
      <c r="L4" s="70">
        <v>45390</v>
      </c>
      <c r="M4" s="70">
        <v>45390</v>
      </c>
      <c r="N4" s="70">
        <v>45390</v>
      </c>
      <c r="O4" s="70">
        <v>45390</v>
      </c>
      <c r="P4" s="70">
        <v>45397</v>
      </c>
      <c r="Q4" s="70">
        <v>45397</v>
      </c>
      <c r="R4" s="70">
        <v>45397</v>
      </c>
      <c r="S4" s="70">
        <v>45397</v>
      </c>
      <c r="T4" s="70">
        <v>45397</v>
      </c>
      <c r="U4" s="70">
        <v>45397</v>
      </c>
      <c r="V4" s="70">
        <v>45397</v>
      </c>
      <c r="W4" s="70">
        <v>45404</v>
      </c>
      <c r="X4" s="70">
        <v>45404</v>
      </c>
      <c r="Y4" s="70">
        <v>45404</v>
      </c>
      <c r="Z4" s="70">
        <v>45404</v>
      </c>
      <c r="AA4" s="70">
        <v>45404</v>
      </c>
      <c r="AB4" s="70">
        <v>45404</v>
      </c>
      <c r="AC4" s="70">
        <v>45404</v>
      </c>
      <c r="AD4" s="70">
        <v>45411</v>
      </c>
      <c r="AE4" s="70">
        <v>45411</v>
      </c>
      <c r="AF4" s="70">
        <v>45411</v>
      </c>
      <c r="AG4" s="70">
        <v>45411</v>
      </c>
      <c r="AH4" s="70">
        <v>45411</v>
      </c>
      <c r="AI4" s="70">
        <v>45411</v>
      </c>
      <c r="AJ4" s="70">
        <v>45411</v>
      </c>
    </row>
    <row r="5" spans="1:36" x14ac:dyDescent="0.55000000000000004">
      <c r="A5" s="1" t="s">
        <v>34</v>
      </c>
      <c r="B5" s="2" t="s">
        <v>150</v>
      </c>
      <c r="C5" s="2" t="s">
        <v>100</v>
      </c>
      <c r="D5" s="2" t="s">
        <v>40</v>
      </c>
      <c r="E5" s="2" t="s">
        <v>151</v>
      </c>
      <c r="F5" s="2" t="s">
        <v>2</v>
      </c>
      <c r="G5" s="2" t="s">
        <v>15</v>
      </c>
      <c r="H5" s="2" t="s">
        <v>152</v>
      </c>
      <c r="I5" s="2" t="s">
        <v>150</v>
      </c>
      <c r="J5" s="2" t="s">
        <v>100</v>
      </c>
      <c r="K5" s="2" t="s">
        <v>40</v>
      </c>
      <c r="L5" s="2" t="s">
        <v>151</v>
      </c>
      <c r="M5" s="2" t="s">
        <v>2</v>
      </c>
      <c r="N5" s="2" t="s">
        <v>15</v>
      </c>
      <c r="O5" s="2" t="s">
        <v>152</v>
      </c>
      <c r="P5" s="2" t="s">
        <v>150</v>
      </c>
      <c r="Q5" s="2" t="s">
        <v>100</v>
      </c>
      <c r="R5" s="2" t="s">
        <v>40</v>
      </c>
      <c r="S5" s="2" t="s">
        <v>151</v>
      </c>
      <c r="T5" s="2" t="s">
        <v>2</v>
      </c>
      <c r="U5" s="2" t="s">
        <v>15</v>
      </c>
      <c r="V5" s="2" t="s">
        <v>152</v>
      </c>
      <c r="W5" s="2" t="s">
        <v>150</v>
      </c>
      <c r="X5" s="2" t="s">
        <v>100</v>
      </c>
      <c r="Y5" s="2" t="s">
        <v>40</v>
      </c>
      <c r="Z5" s="2" t="s">
        <v>151</v>
      </c>
      <c r="AA5" s="2" t="s">
        <v>2</v>
      </c>
      <c r="AB5" s="2" t="s">
        <v>15</v>
      </c>
      <c r="AC5" s="2" t="s">
        <v>152</v>
      </c>
      <c r="AD5" s="2" t="s">
        <v>150</v>
      </c>
      <c r="AE5" s="2" t="s">
        <v>100</v>
      </c>
      <c r="AF5" s="2" t="s">
        <v>40</v>
      </c>
      <c r="AG5" s="2" t="s">
        <v>151</v>
      </c>
      <c r="AH5" s="2" t="s">
        <v>2</v>
      </c>
      <c r="AI5" s="2" t="s">
        <v>15</v>
      </c>
      <c r="AJ5" s="2" t="s">
        <v>152</v>
      </c>
    </row>
    <row r="6" spans="1:36" x14ac:dyDescent="0.55000000000000004">
      <c r="A6" s="17" t="s">
        <v>281</v>
      </c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</row>
    <row r="7" spans="1:36" x14ac:dyDescent="0.55000000000000004">
      <c r="A7" s="24" t="s">
        <v>465</v>
      </c>
      <c r="B7" s="26">
        <v>2</v>
      </c>
      <c r="C7" s="26">
        <v>0</v>
      </c>
      <c r="D7" s="26">
        <v>0</v>
      </c>
      <c r="E7" s="25">
        <v>0</v>
      </c>
      <c r="F7" s="25">
        <v>0</v>
      </c>
      <c r="G7" s="25">
        <v>0</v>
      </c>
      <c r="H7" s="25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  <c r="V7" s="26">
        <v>0</v>
      </c>
      <c r="W7" s="26"/>
      <c r="X7" s="26"/>
      <c r="Y7" s="26"/>
      <c r="Z7" s="26"/>
      <c r="AA7" s="26"/>
      <c r="AB7" s="26"/>
      <c r="AC7" s="26"/>
      <c r="AD7" s="25"/>
      <c r="AE7" s="26"/>
      <c r="AF7" s="26"/>
      <c r="AG7" s="26"/>
      <c r="AH7" s="26"/>
      <c r="AI7" s="26"/>
      <c r="AJ7" s="26"/>
    </row>
    <row r="8" spans="1:36" x14ac:dyDescent="0.55000000000000004">
      <c r="A8" s="24" t="s">
        <v>466</v>
      </c>
      <c r="B8" s="26">
        <v>0</v>
      </c>
      <c r="C8" s="26">
        <v>0</v>
      </c>
      <c r="D8" s="26">
        <v>0</v>
      </c>
      <c r="E8" s="25">
        <v>0</v>
      </c>
      <c r="F8" s="25">
        <v>0</v>
      </c>
      <c r="G8" s="25">
        <v>0</v>
      </c>
      <c r="H8" s="25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/>
      <c r="X8" s="26"/>
      <c r="Y8" s="26"/>
      <c r="Z8" s="26"/>
      <c r="AA8" s="26"/>
      <c r="AB8" s="26"/>
      <c r="AC8" s="26"/>
      <c r="AD8" s="25"/>
      <c r="AE8" s="26"/>
      <c r="AF8" s="26"/>
      <c r="AG8" s="26"/>
      <c r="AH8" s="26"/>
      <c r="AI8" s="26"/>
      <c r="AJ8" s="26"/>
    </row>
    <row r="9" spans="1:36" x14ac:dyDescent="0.55000000000000004">
      <c r="A9" s="24" t="s">
        <v>467</v>
      </c>
      <c r="B9" s="26">
        <v>0</v>
      </c>
      <c r="C9" s="26">
        <v>0</v>
      </c>
      <c r="D9" s="26">
        <v>0</v>
      </c>
      <c r="E9" s="25">
        <v>0</v>
      </c>
      <c r="F9" s="25">
        <v>0</v>
      </c>
      <c r="G9" s="25">
        <v>0</v>
      </c>
      <c r="H9" s="25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  <c r="S9" s="26">
        <v>0</v>
      </c>
      <c r="T9" s="26">
        <v>0</v>
      </c>
      <c r="U9" s="26">
        <v>0</v>
      </c>
      <c r="V9" s="26">
        <v>0</v>
      </c>
      <c r="W9" s="26"/>
      <c r="X9" s="26"/>
      <c r="Y9" s="26"/>
      <c r="Z9" s="26"/>
      <c r="AA9" s="26"/>
      <c r="AB9" s="26"/>
      <c r="AC9" s="26"/>
      <c r="AD9" s="25"/>
      <c r="AE9" s="26"/>
      <c r="AF9" s="26"/>
      <c r="AG9" s="26"/>
      <c r="AH9" s="26"/>
      <c r="AI9" s="26"/>
      <c r="AJ9" s="26"/>
    </row>
    <row r="10" spans="1:36" x14ac:dyDescent="0.55000000000000004">
      <c r="A10" s="24" t="s">
        <v>468</v>
      </c>
      <c r="B10" s="26">
        <v>0</v>
      </c>
      <c r="C10" s="26">
        <v>0</v>
      </c>
      <c r="D10" s="26">
        <v>0</v>
      </c>
      <c r="E10" s="25">
        <v>0</v>
      </c>
      <c r="F10" s="25">
        <v>0</v>
      </c>
      <c r="G10" s="25">
        <v>0</v>
      </c>
      <c r="H10" s="25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0</v>
      </c>
      <c r="W10" s="26"/>
      <c r="X10" s="26"/>
      <c r="Y10" s="26"/>
      <c r="Z10" s="26"/>
      <c r="AA10" s="26"/>
      <c r="AB10" s="26"/>
      <c r="AC10" s="26"/>
      <c r="AD10" s="25"/>
      <c r="AE10" s="26"/>
      <c r="AF10" s="26"/>
      <c r="AG10" s="26"/>
      <c r="AH10" s="26"/>
      <c r="AI10" s="26"/>
      <c r="AJ10" s="26"/>
    </row>
    <row r="11" spans="1:36" x14ac:dyDescent="0.55000000000000004">
      <c r="A11" s="24" t="s">
        <v>469</v>
      </c>
      <c r="B11" s="26">
        <v>0</v>
      </c>
      <c r="C11" s="26">
        <v>0</v>
      </c>
      <c r="D11" s="26">
        <v>0</v>
      </c>
      <c r="E11" s="25">
        <v>0</v>
      </c>
      <c r="F11" s="25">
        <v>0</v>
      </c>
      <c r="G11" s="25">
        <v>0</v>
      </c>
      <c r="H11" s="25">
        <v>0</v>
      </c>
      <c r="I11" s="26">
        <v>0</v>
      </c>
      <c r="J11" s="26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</v>
      </c>
      <c r="V11" s="26">
        <v>0</v>
      </c>
      <c r="W11" s="26"/>
      <c r="X11" s="26"/>
      <c r="Y11" s="26"/>
      <c r="Z11" s="26"/>
      <c r="AA11" s="26"/>
      <c r="AB11" s="26"/>
      <c r="AC11" s="26"/>
      <c r="AD11" s="25"/>
      <c r="AE11" s="26"/>
      <c r="AF11" s="26"/>
      <c r="AG11" s="26"/>
      <c r="AH11" s="26"/>
      <c r="AI11" s="26"/>
      <c r="AJ11" s="26"/>
    </row>
    <row r="14" spans="1:36" x14ac:dyDescent="0.55000000000000004">
      <c r="A14" s="1" t="s">
        <v>462</v>
      </c>
      <c r="B14" s="2" t="s">
        <v>40</v>
      </c>
      <c r="C14" s="2" t="s">
        <v>150</v>
      </c>
      <c r="D14" s="2" t="s">
        <v>151</v>
      </c>
      <c r="E14" s="2" t="s">
        <v>100</v>
      </c>
      <c r="F14" s="2" t="s">
        <v>390</v>
      </c>
      <c r="G14" s="2" t="s">
        <v>391</v>
      </c>
      <c r="H14" s="2" t="s">
        <v>2</v>
      </c>
      <c r="I14" s="2" t="s">
        <v>15</v>
      </c>
      <c r="J14" s="2" t="s">
        <v>152</v>
      </c>
      <c r="K14" s="2"/>
    </row>
    <row r="15" spans="1:36" x14ac:dyDescent="0.55000000000000004">
      <c r="A15" s="1" t="s">
        <v>0</v>
      </c>
      <c r="B15" s="1">
        <f>SUMIF(B5:AJ5,B14,B7:AJ7)</f>
        <v>0</v>
      </c>
      <c r="C15" s="1">
        <f>SUMIF(B5:AJ5,C14,B7:AJ7)</f>
        <v>2</v>
      </c>
      <c r="D15" s="1">
        <f>SUMIF(B5:AJ5,D14,B7:AJ7)</f>
        <v>0</v>
      </c>
      <c r="E15" s="1">
        <f>SUMIF(B5:AJ5,E14,B7:AJ7)</f>
        <v>0</v>
      </c>
      <c r="F15" s="1">
        <f>SUMIF(B5:AJ5,F14,B7:AJ7)</f>
        <v>0</v>
      </c>
      <c r="G15" s="1">
        <f>SUMIF(A5:AJ5,G14,A7:AJ7)</f>
        <v>0</v>
      </c>
      <c r="H15" s="1">
        <f>SUMIF(B5:AJ5,H14,B7:AJ7)</f>
        <v>0</v>
      </c>
      <c r="I15" s="1">
        <f>SUMIF(B5:AJ5,I14,B7:AJ7)</f>
        <v>0</v>
      </c>
      <c r="J15" s="1">
        <f>SUMIF(B5:AJ5,J14,B7:AJ7)</f>
        <v>0</v>
      </c>
      <c r="K15" s="1"/>
    </row>
    <row r="16" spans="1:36" x14ac:dyDescent="0.55000000000000004">
      <c r="A16" s="1" t="s">
        <v>464</v>
      </c>
      <c r="B16" s="1">
        <f>SUMIF(B5:AJ5,B14,B8:AJ8)</f>
        <v>0</v>
      </c>
      <c r="C16" s="1">
        <f>SUMIF(B5:AJ5,C14,B8:AJ8)</f>
        <v>0</v>
      </c>
      <c r="D16" s="1">
        <f>SUMIF(B5:AJ5,D14,B8:AJ8)</f>
        <v>0</v>
      </c>
      <c r="E16" s="1">
        <f>SUMIF(B5:AJ5,E14,B8:AJ8)</f>
        <v>0</v>
      </c>
      <c r="F16" s="1">
        <f>SUMIF(B5:AJ5,F14,B8:AJ8)</f>
        <v>0</v>
      </c>
      <c r="G16" s="1">
        <f>SUMIF(A5:AJ5,G14,A8:AJ8)</f>
        <v>0</v>
      </c>
      <c r="H16" s="1">
        <f>SUMIF(B5:AJ5,H14,B8:AJ8)</f>
        <v>0</v>
      </c>
      <c r="I16" s="1">
        <f>SUMIF(B5:AJ5,I14,B8:AJ8)</f>
        <v>0</v>
      </c>
      <c r="J16" s="1">
        <f>SUMIF(B5:AJ5,J14,B8:AJ8)</f>
        <v>0</v>
      </c>
      <c r="K16" s="1"/>
    </row>
    <row r="17" spans="1:11" x14ac:dyDescent="0.55000000000000004">
      <c r="A17" s="1" t="s">
        <v>373</v>
      </c>
      <c r="B17" s="1">
        <f>SUMIF(B5:AJ5,B14,B9:AJ9)</f>
        <v>1</v>
      </c>
      <c r="C17" s="1">
        <f>SUMIF(B5:AJ5,C14,B9:AJ9)</f>
        <v>0</v>
      </c>
      <c r="D17" s="1">
        <f>SUMIF(B5:AJ5,D14,B9:AJ9)</f>
        <v>0</v>
      </c>
      <c r="E17" s="1">
        <f>SUMIF(B5:AJ5,E14,B9:AJ9)</f>
        <v>0</v>
      </c>
      <c r="F17" s="1">
        <f>SUMIF(B5:AJ5,F14,B9:AJ9)</f>
        <v>0</v>
      </c>
      <c r="G17" s="1">
        <f>SUMIF(A5:AJ5,G14,A9:AJ9)</f>
        <v>0</v>
      </c>
      <c r="H17" s="1">
        <f>SUMIF(B5:AJ5,H14,B9:AJ9)</f>
        <v>0</v>
      </c>
      <c r="I17" s="1">
        <f>SUMIF(B5:AJ5,I14,B9:AJ9)</f>
        <v>0</v>
      </c>
      <c r="J17" s="1">
        <f>SUMIF(B5:AJ5,J14,B9:AJ9)</f>
        <v>0</v>
      </c>
      <c r="K17" s="1"/>
    </row>
    <row r="18" spans="1:11" x14ac:dyDescent="0.55000000000000004">
      <c r="A18" s="1" t="s">
        <v>361</v>
      </c>
      <c r="B18" s="1">
        <f>SUMIF(B5:AJ5,B14,B10:AJ10)</f>
        <v>0</v>
      </c>
      <c r="C18" s="1">
        <f>SUMIF(B5:AJ5,C14,B10:AJ10)</f>
        <v>0</v>
      </c>
      <c r="D18" s="1">
        <f>SUMIF(B5:AJ5,D14,B10:AJ10)</f>
        <v>0</v>
      </c>
      <c r="E18" s="1">
        <f>SUMIF(B5:AJ5,E14,B10:AJ10)</f>
        <v>0</v>
      </c>
      <c r="F18" s="1">
        <f>SUMIF(B5:AJ5,F14,B10:AJ10)</f>
        <v>0</v>
      </c>
      <c r="G18" s="1">
        <f>SUMIF(A5:AJ5,G14,A10:AJ10)</f>
        <v>0</v>
      </c>
      <c r="H18" s="1">
        <f>SUMIF(B5:AJ5,H14,B10:AJ10)</f>
        <v>0</v>
      </c>
      <c r="I18" s="1">
        <f>SUMIF(B5:AJ5,I14,B10:AJ10)</f>
        <v>0</v>
      </c>
      <c r="J18" s="1">
        <f>SUMIF(B5:AJ5,J14,B10:AJ10)</f>
        <v>0</v>
      </c>
      <c r="K18" s="1"/>
    </row>
    <row r="19" spans="1:11" x14ac:dyDescent="0.55000000000000004">
      <c r="A19" s="1" t="s">
        <v>53</v>
      </c>
      <c r="B19" s="1">
        <f>SUMIF(B5:AJ5,B14,B11:AJ11)</f>
        <v>0</v>
      </c>
      <c r="C19" s="1">
        <f>SUMIF(B5:AJ5,C14,B11:AJ11)</f>
        <v>0</v>
      </c>
      <c r="D19" s="1">
        <f>SUMIF(B5:AJ5,D14,B11:AJ11)</f>
        <v>0</v>
      </c>
      <c r="E19" s="1">
        <f>SUMIF(B5:AJ5,E14,B11:AJ11)</f>
        <v>0</v>
      </c>
      <c r="F19" s="1">
        <f>SUMIF(B5:AJ5,F14,B11:AJ11)</f>
        <v>0</v>
      </c>
      <c r="G19" s="1">
        <f>SUMIF(A5:AJ5,G14,A11:AJ11)</f>
        <v>0</v>
      </c>
      <c r="H19" s="1">
        <f>SUMIF(B5:AJ5,H14,B11:AJ11)</f>
        <v>0</v>
      </c>
      <c r="I19" s="1">
        <f>SUMIF(B5:AJ5,I14,B11:AJ11)</f>
        <v>0</v>
      </c>
      <c r="J19" s="1">
        <f>SUMIF(B5:AJ5,J14,B11:AJ11)</f>
        <v>0</v>
      </c>
      <c r="K19" s="1"/>
    </row>
    <row r="25" spans="1:11" x14ac:dyDescent="0.55000000000000004">
      <c r="A25" s="75" t="s">
        <v>463</v>
      </c>
    </row>
    <row r="26" spans="1:11" x14ac:dyDescent="0.55000000000000004">
      <c r="A26" s="73">
        <v>45383</v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563-DA02-4944-B1DD-0FAB518888F8}">
  <sheetPr codeName="Sheet12"/>
  <dimension ref="A1:T70"/>
  <sheetViews>
    <sheetView topLeftCell="G55" workbookViewId="0">
      <selection activeCell="N70" sqref="N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35</v>
      </c>
      <c r="C3" s="2" t="s">
        <v>37</v>
      </c>
      <c r="D3" s="2" t="s">
        <v>37</v>
      </c>
      <c r="E3" s="2" t="s">
        <v>38</v>
      </c>
      <c r="F3" s="2" t="s">
        <v>38</v>
      </c>
      <c r="G3" s="2" t="s">
        <v>38</v>
      </c>
    </row>
    <row r="4" spans="1:20" x14ac:dyDescent="0.55000000000000004">
      <c r="A4" s="1" t="s">
        <v>34</v>
      </c>
      <c r="B4" s="2" t="s">
        <v>29</v>
      </c>
      <c r="C4" s="2" t="s">
        <v>28</v>
      </c>
      <c r="D4" s="2" t="s">
        <v>36</v>
      </c>
      <c r="E4" s="2" t="s">
        <v>36</v>
      </c>
      <c r="F4" s="2" t="s">
        <v>39</v>
      </c>
      <c r="G4" s="2" t="s">
        <v>28</v>
      </c>
      <c r="K4" t="s">
        <v>48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1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44</v>
      </c>
      <c r="L5">
        <f>SUMIF(B4:G4,K5,B5:G5)</f>
        <v>1</v>
      </c>
      <c r="M5">
        <f>SUMIF(B4:G4,K5,B6:G6)</f>
        <v>1</v>
      </c>
      <c r="N5">
        <f>SUMIF(B4:G4,K5,B7:G7)</f>
        <v>0</v>
      </c>
      <c r="O5">
        <f>SUMIF(B4:G4,K5,B8:G8)</f>
        <v>1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1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45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1</v>
      </c>
      <c r="P6">
        <f>SUMIF(B4:G4,K6,B9:G9)</f>
        <v>0</v>
      </c>
      <c r="Q6">
        <f>SUMIF(B4:G4,K6,B10:G10)</f>
        <v>0</v>
      </c>
      <c r="R6">
        <f>SUMIF(B4:G4,K6,B11:G11)</f>
        <v>18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46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2</v>
      </c>
      <c r="S7">
        <f>SUMIF(B4:G4,K7,B12:G12)</f>
        <v>0</v>
      </c>
      <c r="T7">
        <f>SUMIF(B4:G4,K7,B13:G13)</f>
        <v>2</v>
      </c>
    </row>
    <row r="8" spans="1:20" x14ac:dyDescent="0.55000000000000004">
      <c r="A8" s="17" t="s">
        <v>20</v>
      </c>
      <c r="B8" s="18">
        <v>0</v>
      </c>
      <c r="C8" s="18">
        <v>1</v>
      </c>
      <c r="D8" s="18">
        <v>0</v>
      </c>
      <c r="E8" s="18">
        <v>0</v>
      </c>
      <c r="F8" s="22">
        <v>1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52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2</v>
      </c>
      <c r="E11" s="16">
        <v>0</v>
      </c>
      <c r="F11" s="23">
        <v>0</v>
      </c>
      <c r="G11" s="23">
        <v>18</v>
      </c>
      <c r="K11" s="1" t="s">
        <v>44</v>
      </c>
      <c r="L11" s="1">
        <f>(SUMIF(B4:G4,"ダイクス",B5:G5))+(SUMIF(B4:G4,"ダイクス",B8:G8))+(SUMIF(B4:G4,"ダイクス",B11:G11))</f>
        <v>2</v>
      </c>
      <c r="M11" s="1">
        <f>(SUMIF(B4:G4,"ダイクス",B6:G6))+(SUMIF(B4:G4,"ダイクス",B9:G9))+(SUMIF(B4:G4,"ダイクス",B12:G12))</f>
        <v>1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45</v>
      </c>
      <c r="L12" s="1">
        <f>(SUMIF(B4:G4,"中野",B5:G5))+(SUMIF(B4:G4,"中野",B8:G8))+(SUMIF(B4:G4,"中野",B11:G11))</f>
        <v>19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2</v>
      </c>
    </row>
    <row r="14" spans="1:20" x14ac:dyDescent="0.55000000000000004">
      <c r="A14" s="24" t="s">
        <v>31</v>
      </c>
      <c r="B14" s="27">
        <f t="shared" ref="B14:G14" si="0">SUM(B5:B7)</f>
        <v>2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1</v>
      </c>
      <c r="D15" s="20">
        <f t="shared" si="1"/>
        <v>0</v>
      </c>
      <c r="E15" s="20">
        <f t="shared" si="1"/>
        <v>0</v>
      </c>
      <c r="F15" s="20">
        <f t="shared" si="1"/>
        <v>1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4</v>
      </c>
      <c r="E16" s="21">
        <f t="shared" si="2"/>
        <v>0</v>
      </c>
      <c r="F16" s="21">
        <f t="shared" si="2"/>
        <v>0</v>
      </c>
      <c r="G16" s="21">
        <f t="shared" si="2"/>
        <v>18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30</v>
      </c>
      <c r="C21" s="2" t="s">
        <v>30</v>
      </c>
      <c r="D21" s="2" t="s">
        <v>30</v>
      </c>
      <c r="E21" s="2" t="s">
        <v>416</v>
      </c>
      <c r="F21" s="2" t="s">
        <v>416</v>
      </c>
      <c r="G21" s="2" t="s">
        <v>416</v>
      </c>
    </row>
    <row r="22" spans="1:20" x14ac:dyDescent="0.55000000000000004">
      <c r="A22" s="1" t="s">
        <v>34</v>
      </c>
      <c r="B22" s="2" t="s">
        <v>28</v>
      </c>
      <c r="C22" s="2" t="s">
        <v>36</v>
      </c>
      <c r="D22" s="2" t="s">
        <v>39</v>
      </c>
      <c r="E22" s="2" t="s">
        <v>411</v>
      </c>
      <c r="F22" s="2" t="s">
        <v>412</v>
      </c>
      <c r="G22" s="2" t="s">
        <v>413</v>
      </c>
      <c r="K22" t="s">
        <v>48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4</v>
      </c>
      <c r="C23" s="26">
        <v>0</v>
      </c>
      <c r="D23" s="26">
        <v>0</v>
      </c>
      <c r="E23" s="25">
        <v>1</v>
      </c>
      <c r="F23" s="26">
        <v>0</v>
      </c>
      <c r="G23" s="26">
        <v>0</v>
      </c>
      <c r="K23" t="s">
        <v>44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6">
        <v>0</v>
      </c>
      <c r="G24" s="26">
        <v>0</v>
      </c>
      <c r="K24" t="s">
        <v>45</v>
      </c>
      <c r="L24">
        <f>SUMIF(B22:G22,K24,B23:G23)</f>
        <v>4</v>
      </c>
      <c r="M24">
        <f>SUMIF(B22:G22,K24,B24:G24)</f>
        <v>0</v>
      </c>
      <c r="N24">
        <f>SUMIF(B22:G22,K24,B25:G25)</f>
        <v>0</v>
      </c>
      <c r="O24">
        <f>SUMIF(B22:G22,K24,B26:G26)</f>
        <v>1</v>
      </c>
      <c r="P24">
        <f>SUMIF(B22:G22,K24,B27:G27)</f>
        <v>0</v>
      </c>
      <c r="Q24">
        <f>SUMIF(B22:G22,K24,B28:G28)</f>
        <v>0</v>
      </c>
      <c r="R24">
        <f>SUMIF(B22:G22,K24,B29:G29)</f>
        <v>0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6">
        <v>0</v>
      </c>
      <c r="G25" s="26">
        <v>0</v>
      </c>
      <c r="K25" t="s">
        <v>46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2</v>
      </c>
      <c r="P25">
        <f>SUMIF(B22:G22,K25,B27:G27)</f>
        <v>0</v>
      </c>
      <c r="Q25">
        <f>SUMIF(B22:G22,K25,B28:G28)</f>
        <v>2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22">
        <v>1</v>
      </c>
      <c r="G26" s="22">
        <v>0</v>
      </c>
      <c r="K26" t="s">
        <v>411</v>
      </c>
      <c r="L26">
        <f>SUMIF(B22:G22,K26,B23:G23)</f>
        <v>1</v>
      </c>
      <c r="M26">
        <f ca="1">SUMIF(B22:G22,K26,B24:B24)</f>
        <v>0</v>
      </c>
      <c r="N26">
        <f ca="1">SUMIF(B2:G22,K26,B25:G25)</f>
        <v>0</v>
      </c>
      <c r="O26">
        <f>SUMIF(B22:G22,K26,B26:G26)</f>
        <v>0</v>
      </c>
      <c r="P26">
        <f>SUMIF(B22:G22,K26,B27:G27)</f>
        <v>0</v>
      </c>
      <c r="Q26">
        <f>SUMIF(B22:G22,K26,B28:G28)</f>
        <v>0</v>
      </c>
      <c r="R26">
        <f>SUMIF(B22:G22,K26,B29:G29)</f>
        <v>0</v>
      </c>
      <c r="S26">
        <f>SUMIF(B22:G22,K26,B30:G30)</f>
        <v>0</v>
      </c>
      <c r="T26">
        <f>SUMIF(B22:G22,K26,B31:G31)</f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22">
        <v>0</v>
      </c>
      <c r="G27" s="22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2</v>
      </c>
      <c r="D28" s="22">
        <v>0</v>
      </c>
      <c r="E28" s="18">
        <v>0</v>
      </c>
      <c r="F28" s="22">
        <v>0</v>
      </c>
      <c r="G28" s="22">
        <v>0</v>
      </c>
      <c r="K28" s="42"/>
      <c r="L28" s="42" t="s">
        <v>52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23">
        <v>0</v>
      </c>
      <c r="G29" s="23">
        <v>0</v>
      </c>
      <c r="K29" s="1" t="s">
        <v>44</v>
      </c>
      <c r="L29" s="1">
        <f>(SUMIF(B22:G22,"ダイクス",B23:G23))+(SUMIF(B22:G22,"ダイクス",B26:G26))+(SUMIF(B22:G22,"ダイクス",B29:G29))</f>
        <v>0</v>
      </c>
      <c r="M29" s="1">
        <f>(SUMIF(B22:G22,"ダイクス",B24:G24))+(SUMIF(B22:G22,"ダイクス",B27:G27))+(SUMIF(B22:G22,"ダイクス",B30:G30))</f>
        <v>0</v>
      </c>
      <c r="N29" s="1">
        <f>(SUMIF(B22:G22,"ダイクス",B25:G25))+(SUMIF(B22:G22,"ダイクス",B28:G28))+(SUMIF(B22:G22,"ダイクス",B31:G31))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23">
        <v>0</v>
      </c>
      <c r="G30" s="23">
        <v>0</v>
      </c>
      <c r="K30" s="1" t="s">
        <v>45</v>
      </c>
      <c r="L30" s="1">
        <f>(SUMIF(B22:G22,"中野",B23:G23))+(SUMIF(B22:G22,"中野",B26:G26))+(SUMIF(B22:G22,"中野",B29:G29))</f>
        <v>5</v>
      </c>
      <c r="M30" s="1">
        <f>(SUMIF(B22:G22,"中野",B24:G24))+(SUMIF(B22:G22,"中野",B27:G27))+(SUMIF(B22:G22,"中野",B30:G30))</f>
        <v>0</v>
      </c>
      <c r="N30" s="1">
        <f>(SUMIF(B22:G22,"中野",B25:G25))+(SUMIF(B22:G22,"中野",B28:G28))+(SUMIF(B22:G22,"中野",B31:G31))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23">
        <v>0</v>
      </c>
      <c r="G31" s="23">
        <v>0</v>
      </c>
      <c r="K31" s="1" t="s">
        <v>64</v>
      </c>
      <c r="L31" s="1">
        <f>(SUMIF(B22:G22,"渡邊",B23:G23))+(SUMIF(B22:G22,"渡邊",B26:G26))+(SUMIF(B22:G22,"渡邊",B29:G29))</f>
        <v>2</v>
      </c>
      <c r="M31" s="1">
        <f>(SUMIF(B22:G22,"渡邊",B24:G24))+(SUMIF(B22:G22,"渡邊",B27:G27))+(SUMIF(B22:G22,"渡邊",B30:G30))</f>
        <v>0</v>
      </c>
      <c r="N31" s="1">
        <f>(SUMIF(B22:G22,"渡邊",B25:G25))+(SUMIF(B22:G22,"渡邊",B28:G28))+(SUMIF(B22:G22,"渡邊",B31:G31))</f>
        <v>2</v>
      </c>
    </row>
    <row r="32" spans="1:20" x14ac:dyDescent="0.55000000000000004">
      <c r="A32" s="24" t="s">
        <v>31</v>
      </c>
      <c r="B32" s="27">
        <f t="shared" ref="B32:E32" si="3">SUM(B23:B25)</f>
        <v>4</v>
      </c>
      <c r="C32" s="27">
        <f t="shared" si="3"/>
        <v>0</v>
      </c>
      <c r="D32" s="27">
        <f t="shared" si="3"/>
        <v>0</v>
      </c>
      <c r="E32" s="27">
        <f t="shared" si="3"/>
        <v>1</v>
      </c>
      <c r="F32" s="27">
        <f t="shared" ref="F32:G32" si="4">SUM(F23:F25)</f>
        <v>0</v>
      </c>
      <c r="G32" s="27">
        <f t="shared" si="4"/>
        <v>0</v>
      </c>
      <c r="K32" s="1" t="s">
        <v>68</v>
      </c>
      <c r="L32" s="1">
        <f>(SUMIF(B22:G22,"江藤",B23:G23))+(SUMIF(B22:G22,"江藤",B26:G26))+(SUMIF(B22:G22,"江藤",B29:G29))</f>
        <v>1</v>
      </c>
      <c r="M32" s="1">
        <f>(SUMIF(B23:G23,"渡邊",B25:G25))+(SUMIF(B23:G23,"渡邊",B28:G28))+(SUMIF(B23:G23,"渡邊",B31:G31))</f>
        <v>0</v>
      </c>
      <c r="N32" s="1">
        <f>(SUMIF(B23:G23,"渡邊",B26:G26))+(SUMIF(B23:G23,"渡邊",B29:G29))+(SUMIF(B23:G23,"渡邊",B32:G32))</f>
        <v>0</v>
      </c>
    </row>
    <row r="33" spans="1:20" x14ac:dyDescent="0.55000000000000004">
      <c r="A33" s="17" t="s">
        <v>32</v>
      </c>
      <c r="B33" s="20">
        <f t="shared" ref="B33:E33" si="5">SUM(B26:B28)</f>
        <v>0</v>
      </c>
      <c r="C33" s="20">
        <f t="shared" si="5"/>
        <v>4</v>
      </c>
      <c r="D33" s="20">
        <f t="shared" si="5"/>
        <v>0</v>
      </c>
      <c r="E33" s="20">
        <f t="shared" si="5"/>
        <v>0</v>
      </c>
      <c r="F33" s="20">
        <f t="shared" ref="F33:G33" si="6">SUM(F26:F28)</f>
        <v>1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E34" si="7">SUM(B29:B31)</f>
        <v>0</v>
      </c>
      <c r="C34" s="21">
        <f t="shared" si="7"/>
        <v>0</v>
      </c>
      <c r="D34" s="21">
        <f t="shared" si="7"/>
        <v>0</v>
      </c>
      <c r="E34" s="21">
        <f t="shared" si="7"/>
        <v>0</v>
      </c>
      <c r="F34" s="21">
        <f t="shared" ref="F34:G34" si="8">SUM(F29:F31)</f>
        <v>0</v>
      </c>
      <c r="G34" s="21">
        <f t="shared" si="8"/>
        <v>0</v>
      </c>
    </row>
    <row r="39" spans="1:20" x14ac:dyDescent="0.55000000000000004">
      <c r="A39" s="1" t="s">
        <v>23</v>
      </c>
      <c r="B39" s="2" t="s">
        <v>414</v>
      </c>
      <c r="C39" s="2" t="s">
        <v>414</v>
      </c>
      <c r="D39" s="2" t="s">
        <v>414</v>
      </c>
      <c r="E39" s="2" t="s">
        <v>415</v>
      </c>
      <c r="F39" s="2" t="s">
        <v>415</v>
      </c>
      <c r="G39" s="2" t="s">
        <v>415</v>
      </c>
      <c r="K39" t="s">
        <v>13</v>
      </c>
      <c r="L39" t="s">
        <v>55</v>
      </c>
      <c r="M39" t="s">
        <v>56</v>
      </c>
      <c r="N39" t="s">
        <v>57</v>
      </c>
      <c r="O39" t="s">
        <v>58</v>
      </c>
      <c r="P39" t="s">
        <v>59</v>
      </c>
      <c r="Q39" t="s">
        <v>60</v>
      </c>
      <c r="R39" t="s">
        <v>61</v>
      </c>
      <c r="S39" t="s">
        <v>62</v>
      </c>
      <c r="T39" t="s">
        <v>63</v>
      </c>
    </row>
    <row r="40" spans="1:20" x14ac:dyDescent="0.55000000000000004">
      <c r="A40" s="1" t="s">
        <v>34</v>
      </c>
      <c r="B40" s="2" t="s">
        <v>36</v>
      </c>
      <c r="C40" s="2" t="s">
        <v>68</v>
      </c>
      <c r="D40" s="2" t="s">
        <v>411</v>
      </c>
      <c r="E40" s="2" t="s">
        <v>411</v>
      </c>
      <c r="F40" s="2" t="s">
        <v>418</v>
      </c>
      <c r="G40" s="2" t="s">
        <v>412</v>
      </c>
      <c r="K40" t="s">
        <v>29</v>
      </c>
      <c r="L40">
        <f>SUMIF(B40:G40,K40,B41:G41)</f>
        <v>0</v>
      </c>
      <c r="M40">
        <f>SUMIF(B40:G40,K40,B42:G42)</f>
        <v>0</v>
      </c>
      <c r="N40">
        <f>SUMIF(B40:G40,K40,B43:G43)</f>
        <v>0</v>
      </c>
      <c r="O40">
        <f>SUMIF(B40:G40,K40,B44:G44)</f>
        <v>0</v>
      </c>
      <c r="P40">
        <f>SUMIF(B40:G40,K40,B45:G45)</f>
        <v>0</v>
      </c>
      <c r="Q40">
        <f>SUMIF(B40:G40,K40,B46:G46)</f>
        <v>0</v>
      </c>
      <c r="R40">
        <f>SUMIF(B40:G40,K40,B47:G47)</f>
        <v>0</v>
      </c>
      <c r="S40">
        <f>SUMIF(B40:G40,K40,B48:G48)</f>
        <v>0</v>
      </c>
      <c r="T40">
        <f>SUMIF(B40:G40,K40,B49:G49)</f>
        <v>0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2</v>
      </c>
      <c r="F41" s="26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0</v>
      </c>
      <c r="R41">
        <f>SUMIF(B40:G40,K41,B47:G47)</f>
        <v>2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6">
        <v>0</v>
      </c>
      <c r="G42" s="26">
        <v>0</v>
      </c>
      <c r="K42" t="s">
        <v>36</v>
      </c>
      <c r="L42">
        <f>SUMIF(B40:G40,K42,B41:G41)</f>
        <v>0</v>
      </c>
      <c r="M42">
        <f ca="1">SUMIF(B40:G40,K42,B42:B42)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1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6">
        <v>0</v>
      </c>
      <c r="G43" s="26">
        <v>0</v>
      </c>
      <c r="K43" t="s">
        <v>411</v>
      </c>
      <c r="L43">
        <f>SUMIF(B40:G40,K43,B41:G41)</f>
        <v>2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5</v>
      </c>
      <c r="S43">
        <f>SUMIF(B40:G40,K43,B48:G48)</f>
        <v>1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22">
        <v>0</v>
      </c>
      <c r="G44" s="22">
        <v>0</v>
      </c>
      <c r="K44" s="43" t="s">
        <v>417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22">
        <v>1</v>
      </c>
      <c r="G45" s="22">
        <v>0</v>
      </c>
      <c r="K45" s="42"/>
      <c r="L45" s="42" t="s">
        <v>0</v>
      </c>
      <c r="M45" s="42" t="s">
        <v>53</v>
      </c>
      <c r="N45" s="42" t="s">
        <v>54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22">
        <v>0</v>
      </c>
      <c r="G46" s="22">
        <v>0</v>
      </c>
      <c r="K46" s="1" t="s">
        <v>29</v>
      </c>
      <c r="L46" s="1">
        <f>(SUMIF(B40:G40,"ダイクス",B41:G41))+(SUMIF(B40:G40,"ダイクス",B44:G44))+(SUMIF(B39:G39,"ダイクス",B47:G47))</f>
        <v>0</v>
      </c>
      <c r="M46" s="1">
        <f>(SUMIF(B40:G40,"ダイクス",B42:G42))+(SUMIF(B40:G40,"ダイクス",B45:G45))+(SUMIF(B40:G40,"ダイクス",B48:G48))</f>
        <v>0</v>
      </c>
      <c r="N46" s="1">
        <f>(SUMIF(B40:G40,"ダイクス",B43:G43))+(SUMIF(B40:G40,"ダイクス",B46:G46))+(SUMIF(B40:G40,"ダイクス",B49:G49))</f>
        <v>0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5</v>
      </c>
      <c r="E47" s="16">
        <v>0</v>
      </c>
      <c r="F47" s="23">
        <v>0</v>
      </c>
      <c r="G47" s="23">
        <v>2</v>
      </c>
      <c r="K47" s="1" t="s">
        <v>28</v>
      </c>
      <c r="L47" s="1">
        <f>(SUMIF(B40:G40,"中野",B41:G41))+(SUMIF(B40:G40,"中野",B44:G44))+(SUMIF(B40:G40,"中野",B47:G47))</f>
        <v>2</v>
      </c>
      <c r="M47" s="1">
        <f>(SUMIF(B40:G40,"中野",B42:G42))+(SUMIF(B40:G40,"中野",B45:G45))+(SUMIF(B40:G40,"中野",B48:G48))</f>
        <v>0</v>
      </c>
      <c r="N47" s="1">
        <f>(SUMIF(B40:G40,"中野",B43:G43))+(SUMIF(B40:G40,"中野",B46:G46))+(SUMIF(B40:G40,"中野",B49:G49))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1</v>
      </c>
      <c r="E48" s="16">
        <v>0</v>
      </c>
      <c r="F48" s="23">
        <v>0</v>
      </c>
      <c r="G48" s="23">
        <v>0</v>
      </c>
      <c r="K48" s="1" t="s">
        <v>64</v>
      </c>
      <c r="L48" s="1">
        <f>(SUMIF(B40:G40,"渡邊",B41:G41))+(SUMIF(B40:G40,"渡邊",B44:G44))+(SUMIF(B40:G40,"渡邊",B47:G47))</f>
        <v>0</v>
      </c>
      <c r="M48" s="1">
        <f ca="1">(SUMIF(B40:G409,"渡邊",B42:G42))+(SUMIF(B40:G40,"渡邊",B45:G45))+(SUMIF(B40:G40,"渡邊",B48:G48))</f>
        <v>1</v>
      </c>
      <c r="N48" s="1">
        <f>(SUMIF(B40:G40,"渡邊",B43:G43))+(SUMIF(B40:G40,"渡邊",B46:G46))+(SUMIF(B40:G40,"渡邊",B49:G49))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23">
        <v>0</v>
      </c>
      <c r="G49" s="23">
        <v>0</v>
      </c>
      <c r="K49" s="1" t="s">
        <v>68</v>
      </c>
      <c r="L49" s="1">
        <f>(SUMIF(B40:G40,"江藤",B41:G41))+(SUMIF(B40:G40,"江藤",B44:G44))+(SUMIF(B40:G40,"江藤",B47:G47))</f>
        <v>7</v>
      </c>
      <c r="M49" s="1">
        <f>(SUMIF(B40:G40,"江藤",B42:G42))+(SUMIF(B40:G40,"江藤",B45:G45))+(SUMIF(B40:G40,"江藤",B48:G48))</f>
        <v>1</v>
      </c>
      <c r="N49" s="1">
        <f>(SUMIF(B40:G40,"江藤",B43:G43))+(SUMIF(B40:G40,"江藤",B46:G46))+(SUMIF(B40:G40,"江藤",B49:G49))</f>
        <v>0</v>
      </c>
    </row>
    <row r="50" spans="1:20" x14ac:dyDescent="0.55000000000000004">
      <c r="A50" s="24" t="s">
        <v>31</v>
      </c>
      <c r="B50" s="27">
        <f>SUM(B41:B49)</f>
        <v>0</v>
      </c>
      <c r="C50" s="27">
        <f>SUM(C41:C49)</f>
        <v>0</v>
      </c>
      <c r="D50" s="27">
        <f>SUM(D41:D44)</f>
        <v>0</v>
      </c>
      <c r="E50" s="27">
        <f>SUM(E41:E49)</f>
        <v>2</v>
      </c>
      <c r="F50" s="27">
        <f>SUM(F41:F49)</f>
        <v>1</v>
      </c>
      <c r="G50" s="27">
        <f>SUM(G41:G49)</f>
        <v>2</v>
      </c>
    </row>
    <row r="51" spans="1:20" x14ac:dyDescent="0.55000000000000004">
      <c r="A51" s="17" t="s">
        <v>32</v>
      </c>
      <c r="B51" s="20">
        <f t="shared" ref="B51:G51" si="9">SUM(B44:B46)</f>
        <v>0</v>
      </c>
      <c r="C51" s="20">
        <f t="shared" si="9"/>
        <v>0</v>
      </c>
      <c r="D51" s="20">
        <f t="shared" si="9"/>
        <v>0</v>
      </c>
      <c r="E51" s="20">
        <f t="shared" si="9"/>
        <v>0</v>
      </c>
      <c r="F51" s="20">
        <f t="shared" si="9"/>
        <v>1</v>
      </c>
      <c r="G51" s="20">
        <f t="shared" si="9"/>
        <v>0</v>
      </c>
    </row>
    <row r="52" spans="1:20" x14ac:dyDescent="0.55000000000000004">
      <c r="A52" s="15" t="s">
        <v>33</v>
      </c>
      <c r="B52" s="21">
        <f t="shared" ref="B52:G52" si="10">SUM(B47:B49)</f>
        <v>0</v>
      </c>
      <c r="C52" s="21">
        <f t="shared" si="10"/>
        <v>0</v>
      </c>
      <c r="D52" s="21">
        <f t="shared" si="10"/>
        <v>6</v>
      </c>
      <c r="E52" s="21">
        <f t="shared" si="10"/>
        <v>0</v>
      </c>
      <c r="F52" s="21">
        <f t="shared" si="10"/>
        <v>0</v>
      </c>
      <c r="G52" s="21">
        <f t="shared" si="10"/>
        <v>2</v>
      </c>
    </row>
    <row r="57" spans="1:20" x14ac:dyDescent="0.55000000000000004">
      <c r="A57" s="1" t="s">
        <v>23</v>
      </c>
      <c r="B57" s="2" t="s">
        <v>445</v>
      </c>
      <c r="C57" s="2" t="s">
        <v>445</v>
      </c>
      <c r="D57" s="2" t="s">
        <v>445</v>
      </c>
      <c r="E57" s="2" t="s">
        <v>446</v>
      </c>
      <c r="F57" s="2" t="s">
        <v>446</v>
      </c>
      <c r="G57" s="2" t="s">
        <v>446</v>
      </c>
      <c r="K57" t="s">
        <v>13</v>
      </c>
      <c r="L57" t="s">
        <v>55</v>
      </c>
      <c r="M57" t="s">
        <v>56</v>
      </c>
      <c r="N57" t="s">
        <v>57</v>
      </c>
      <c r="O57" t="s">
        <v>58</v>
      </c>
      <c r="P57" t="s">
        <v>59</v>
      </c>
      <c r="Q57" t="s">
        <v>60</v>
      </c>
      <c r="R57" t="s">
        <v>61</v>
      </c>
      <c r="S57" t="s">
        <v>62</v>
      </c>
      <c r="T57" t="s">
        <v>63</v>
      </c>
    </row>
    <row r="58" spans="1:20" x14ac:dyDescent="0.55000000000000004">
      <c r="A58" s="1" t="s">
        <v>34</v>
      </c>
      <c r="B58" s="2" t="s">
        <v>28</v>
      </c>
      <c r="C58" s="2" t="s">
        <v>68</v>
      </c>
      <c r="D58" s="2" t="s">
        <v>68</v>
      </c>
      <c r="E58" s="2" t="s">
        <v>68</v>
      </c>
      <c r="F58" s="2" t="s">
        <v>29</v>
      </c>
      <c r="G58" s="2" t="s">
        <v>36</v>
      </c>
      <c r="K58" t="s">
        <v>29</v>
      </c>
      <c r="L58">
        <f>SUMIF(B58:G58,K58,B59:G59)</f>
        <v>0</v>
      </c>
      <c r="M58">
        <f>SUMIF(B58:G58,K58,B60:G60)</f>
        <v>0</v>
      </c>
      <c r="N58">
        <f>SUMIF(B58:G58,K58,B61:G61)</f>
        <v>0</v>
      </c>
      <c r="O58">
        <f>SUMIF(B58:G58,K58,B62:G62)</f>
        <v>0</v>
      </c>
      <c r="P58">
        <f>SUMIF(B58:G58,K58,B63:G63)</f>
        <v>0</v>
      </c>
      <c r="Q58">
        <f>SUMIF(B58:G58,K58,B64:G64)</f>
        <v>0</v>
      </c>
      <c r="R58">
        <f>SUMIF(B58:G58,K58,B65:G65)</f>
        <v>0</v>
      </c>
      <c r="S58">
        <f>SUMIF(B58:G58,K58,B66:G66)</f>
        <v>0</v>
      </c>
      <c r="T58">
        <f>SUMIF(B58:G58,K58,B67:G67)</f>
        <v>0</v>
      </c>
    </row>
    <row r="59" spans="1:20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/>
      <c r="F59" s="26"/>
      <c r="G59" s="26"/>
      <c r="K59" t="s">
        <v>28</v>
      </c>
      <c r="L59">
        <f>SUMIF(B58:G58,K59,B59:G59)</f>
        <v>0</v>
      </c>
      <c r="M59">
        <f>SUMIF(B58:G58,K59,B60:G60)</f>
        <v>0</v>
      </c>
      <c r="N59">
        <f>SUMIF(B58:G58,K59,B61:G61)</f>
        <v>0</v>
      </c>
      <c r="O59">
        <f>SUMIF(B58:G58,K59,B62:G62)</f>
        <v>0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/>
      <c r="F60" s="26"/>
      <c r="G60" s="26"/>
      <c r="K60" t="s">
        <v>36</v>
      </c>
      <c r="L60">
        <f>SUMIF(B58:G58,K60,B59:G59)</f>
        <v>0</v>
      </c>
      <c r="M60">
        <f ca="1">SUMIF(B58:G58,K60,B60:B60)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0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/>
      <c r="F61" s="26"/>
      <c r="G61" s="26"/>
      <c r="K61" t="s">
        <v>68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0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/>
      <c r="F62" s="22"/>
      <c r="G62" s="22"/>
      <c r="K62" t="s">
        <v>329</v>
      </c>
      <c r="L62">
        <f>SUMIF(B58:G58,K62,B59:G59)</f>
        <v>0</v>
      </c>
      <c r="M62">
        <f ca="1">SUMIF(B58:G58,K62,B60:B60)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/>
      <c r="F63" s="22"/>
      <c r="G63" s="22"/>
      <c r="K63" s="43" t="s">
        <v>444</v>
      </c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/>
      <c r="F64" s="22"/>
      <c r="G64" s="22"/>
      <c r="K64" s="42"/>
      <c r="L64" s="42" t="s">
        <v>0</v>
      </c>
      <c r="M64" s="42" t="s">
        <v>53</v>
      </c>
      <c r="N64" s="42" t="s">
        <v>54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/>
      <c r="F65" s="23"/>
      <c r="G65" s="23"/>
      <c r="K65" s="1" t="s">
        <v>29</v>
      </c>
      <c r="L65" s="1">
        <f>(SUMIF(B58:G58,K65,B59:G59))+(SUMIF(B58:G58,K65,B62:G62))+(SUMIF(B57:G57,K65,B65:G65))</f>
        <v>0</v>
      </c>
      <c r="M65" s="1">
        <f>(SUMIF(B58:G58,K65,B60:G60))+(SUMIF(B58:G58,K65,B63:G63))+(SUMIF(B58:G58,K65,B66:G66))</f>
        <v>0</v>
      </c>
      <c r="N65" s="1">
        <f>(SUMIF(B58:G58,K65,B61:G61))+(SUMIF(B58:G58,K65,B64:G64))+(SUMIF(B58:G58,K65,B67:G67))</f>
        <v>0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/>
      <c r="F66" s="23"/>
      <c r="G66" s="23"/>
      <c r="K66" s="1" t="s">
        <v>28</v>
      </c>
      <c r="L66" s="1">
        <f>(SUMIF(B58:G58,K66,B59:G59))+(SUMIF(B58:G58,K66,B62:G62))+(SUMIF(B58:G58,K66,B65:G65))</f>
        <v>0</v>
      </c>
      <c r="M66" s="1">
        <f>(SUMIF(B58:G58,K66,B60:G60))+(SUMIF(B58:G58,K66,B63:G63))+(SUMIF(B58:G58,K66,B66:G66))</f>
        <v>0</v>
      </c>
      <c r="N66" s="1">
        <f>(SUMIF(B58:G58,K66,B61:G61))+(SUMIF(B58:G58,K66,B64:G64))+(SUMIF(B58:G58,K66,B67:G67))</f>
        <v>0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/>
      <c r="F67" s="23"/>
      <c r="G67" s="23"/>
      <c r="K67" s="1" t="s">
        <v>64</v>
      </c>
      <c r="L67" s="1">
        <f>(SUMIF(B58:G58,K67,B59:G59))+(SUMIF(B58:G58,K67,B62:G62))+(SUMIF(B58:G58,K67,B65:G65))</f>
        <v>0</v>
      </c>
      <c r="M67" s="1">
        <f ca="1">(SUMIF(B58:G427,K67,B60:G60))+(SUMIF(B58:G58,K67,B63:G63))+(SUMIF(B58:G58,K67,B66:G66))</f>
        <v>0</v>
      </c>
      <c r="N67" s="1">
        <f>(SUMIF(B58:G58,K67,B61:G61))+(SUMIF(B58:G58,K67,B64:G64))+(SUMIF(B58:G58,K67,B67:G67))</f>
        <v>0</v>
      </c>
    </row>
    <row r="68" spans="1:14" x14ac:dyDescent="0.55000000000000004">
      <c r="A68" s="24" t="s">
        <v>31</v>
      </c>
      <c r="B68" s="27">
        <f>SUM(B59:B67)</f>
        <v>0</v>
      </c>
      <c r="C68" s="27">
        <f>SUM(C59:C67)</f>
        <v>0</v>
      </c>
      <c r="D68" s="27">
        <f>SUM(D59:D62)</f>
        <v>0</v>
      </c>
      <c r="E68" s="27">
        <f>SUM(E59:E67)</f>
        <v>0</v>
      </c>
      <c r="F68" s="27">
        <f>SUM(F59:F67)</f>
        <v>0</v>
      </c>
      <c r="G68" s="27">
        <f>SUM(G59:G67)</f>
        <v>0</v>
      </c>
      <c r="K68" s="1" t="s">
        <v>68</v>
      </c>
      <c r="L68" s="1">
        <f>(SUMIF(B58:G58,K68,B59:G59))+(SUMIF(B58:G58,K68,B62:G62))+(SUMIF(B58:G58,K68,B65:G65))</f>
        <v>0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1">SUM(B62:B64)</f>
        <v>0</v>
      </c>
      <c r="C69" s="20">
        <f t="shared" si="11"/>
        <v>0</v>
      </c>
      <c r="D69" s="20">
        <f t="shared" si="11"/>
        <v>0</v>
      </c>
      <c r="E69" s="20">
        <f t="shared" si="11"/>
        <v>0</v>
      </c>
      <c r="F69" s="20">
        <f t="shared" si="11"/>
        <v>0</v>
      </c>
      <c r="G69" s="20">
        <f t="shared" si="11"/>
        <v>0</v>
      </c>
      <c r="K69" s="1" t="s">
        <v>329</v>
      </c>
      <c r="L69" s="1" cm="1">
        <f t="array" ref="L69">(SUMIF(B59:G59,K69,B60:G60))+(SUMIF(B59:G59,K69,B63:G63))+(SUMIF(B59:G59,K69\,B66:G66))</f>
        <v>0</v>
      </c>
      <c r="M69" s="1">
        <f>(SUMIF(B59:G59,K69,B61:G61))+(SUMIF(B59:G59,K69,B64:G64))+(SUMIF(B59:G59,K69,B67:G67))</f>
        <v>0</v>
      </c>
      <c r="N69" s="1">
        <f>(SUMIF(B59:G59,K69,B62:G62))+(SUMIF(B59:G59,K69,B65:G65))+(SUMIF(B59:G59,K69,B68:G68))</f>
        <v>0</v>
      </c>
    </row>
    <row r="70" spans="1:14" x14ac:dyDescent="0.55000000000000004">
      <c r="A70" s="15" t="s">
        <v>33</v>
      </c>
      <c r="B70" s="21">
        <f t="shared" ref="B70:G70" si="12">SUM(B65:B67)</f>
        <v>0</v>
      </c>
      <c r="C70" s="21">
        <f t="shared" si="12"/>
        <v>0</v>
      </c>
      <c r="D70" s="21">
        <f t="shared" si="12"/>
        <v>0</v>
      </c>
      <c r="E70" s="21">
        <f t="shared" si="12"/>
        <v>0</v>
      </c>
      <c r="F70" s="21">
        <f t="shared" si="12"/>
        <v>0</v>
      </c>
      <c r="G70" s="21">
        <f t="shared" si="12"/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C29E-B264-4476-B8DC-7BC67A4FE9DE}">
  <sheetPr codeName="Sheet11"/>
  <dimension ref="A1:T70"/>
  <sheetViews>
    <sheetView topLeftCell="A61" workbookViewId="0">
      <selection activeCell="B6" sqref="B6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74</v>
      </c>
      <c r="C3" s="2" t="s">
        <v>74</v>
      </c>
      <c r="D3" s="2" t="s">
        <v>74</v>
      </c>
      <c r="E3" s="2" t="s">
        <v>75</v>
      </c>
      <c r="F3" s="2" t="s">
        <v>76</v>
      </c>
      <c r="G3" s="2" t="s">
        <v>77</v>
      </c>
    </row>
    <row r="4" spans="1:20" x14ac:dyDescent="0.55000000000000004">
      <c r="A4" s="1" t="s">
        <v>34</v>
      </c>
      <c r="B4" s="2" t="s">
        <v>27</v>
      </c>
      <c r="C4" s="2" t="s">
        <v>29</v>
      </c>
      <c r="D4" s="2" t="s">
        <v>28</v>
      </c>
      <c r="E4" s="2" t="s">
        <v>28</v>
      </c>
      <c r="F4" s="2" t="s">
        <v>27</v>
      </c>
      <c r="G4" s="2" t="s">
        <v>29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27</v>
      </c>
      <c r="L5">
        <f>SUMIF(B4:G4,K5,B5:G5)</f>
        <v>0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29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1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28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1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78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6">
        <v>0</v>
      </c>
      <c r="F11" s="23">
        <v>0</v>
      </c>
      <c r="G11" s="23">
        <v>1</v>
      </c>
      <c r="K11" s="1" t="s">
        <v>27</v>
      </c>
      <c r="L11" s="1">
        <f>(SUMIF(B4:G4,"木村",B5:G5))+(SUMIF(B4:G4,"木村",B8:G8))+(SUMIF(B4:G4,"木村",B11:G11))</f>
        <v>0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29</v>
      </c>
      <c r="L12" s="1">
        <f>(SUMIF(B4:G4,K12,B5:G5))+(SUMIF(B4:G4,K12,B8:G8))+(SUMIF(B4:G4,K12,B11:G11))</f>
        <v>1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0</v>
      </c>
      <c r="K13" s="1" t="s">
        <v>28</v>
      </c>
      <c r="L13" s="1">
        <f>(SUMIF(B4:G4,K13,B5:G5))+(SUMIF(B4:G4,K13,B8:G8))+(SUMIF(B4:G4,K13,B11:G11))</f>
        <v>1</v>
      </c>
      <c r="M13" s="1">
        <f>(SUMIF(B4:G4,K13,B6:G6))+(SUMIF(B4:G4,K13,B9:G9))+(SUMIF(B4:G4,K13,B12:G12))</f>
        <v>0</v>
      </c>
      <c r="N13" s="1">
        <f>(SUMIF(B4:G4,K13,B7:G7))+(SUMIF(B4:G4,K13,B10:G10))+(SUMIF(B4:G4,K13,B13:G13))</f>
        <v>0</v>
      </c>
    </row>
    <row r="14" spans="1:20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0</v>
      </c>
      <c r="D15" s="20">
        <f t="shared" si="1"/>
        <v>0</v>
      </c>
      <c r="E15" s="20">
        <f t="shared" si="1"/>
        <v>0</v>
      </c>
      <c r="F15" s="20">
        <f t="shared" si="1"/>
        <v>0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1</v>
      </c>
      <c r="E16" s="21">
        <f t="shared" si="2"/>
        <v>0</v>
      </c>
      <c r="F16" s="21">
        <f t="shared" si="2"/>
        <v>0</v>
      </c>
      <c r="G16" s="21">
        <f t="shared" si="2"/>
        <v>1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80</v>
      </c>
      <c r="C21" s="2" t="s">
        <v>80</v>
      </c>
      <c r="D21" s="2" t="s">
        <v>80</v>
      </c>
      <c r="E21" s="2" t="s">
        <v>81</v>
      </c>
      <c r="F21" s="2" t="s">
        <v>81</v>
      </c>
      <c r="G21" s="2" t="s">
        <v>81</v>
      </c>
    </row>
    <row r="22" spans="1:20" x14ac:dyDescent="0.55000000000000004">
      <c r="A22" s="1" t="s">
        <v>34</v>
      </c>
      <c r="B22" s="2" t="s">
        <v>29</v>
      </c>
      <c r="C22" s="2" t="s">
        <v>28</v>
      </c>
      <c r="D22" s="2" t="s">
        <v>27</v>
      </c>
      <c r="E22" s="2" t="s">
        <v>27</v>
      </c>
      <c r="F22" s="2" t="s">
        <v>29</v>
      </c>
      <c r="G22" s="2" t="s">
        <v>28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K24" t="s">
        <v>28</v>
      </c>
      <c r="L24">
        <f>SUMIF(B22:G22,K24,B23:G23)</f>
        <v>0</v>
      </c>
      <c r="M24" cm="1">
        <f t="array" ref="M24">SUMIF(B22:G22,K24\,B24:G24)</f>
        <v>0</v>
      </c>
      <c r="N24">
        <f>SUMIF(B22:G22,K24,B25:G25)</f>
        <v>0</v>
      </c>
      <c r="O24">
        <f>SUMIF(B22:G22,K24,B26:G26)</f>
        <v>4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K25" t="s">
        <v>27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0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4</v>
      </c>
      <c r="D26" s="22">
        <v>0</v>
      </c>
      <c r="E26" s="18">
        <v>0</v>
      </c>
      <c r="F26" s="18">
        <v>0</v>
      </c>
      <c r="G26" s="22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K27" s="43" t="s">
        <v>79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2</v>
      </c>
      <c r="K29" s="1" t="s">
        <v>29</v>
      </c>
      <c r="L29" s="1">
        <f>(SUMIF(B22:G22,K29,B23:G23))+(SUMIF(B22:G22,K29,B26:G26))+(SUMIF(B22:G22,K29,B29:G29))</f>
        <v>0</v>
      </c>
      <c r="M29" s="1">
        <f>(SUMIF(B22:G22,K29,B24:G24))+(SUMIF(B22:G22,K29,B27:G27))+(SUMIF(B22:G22,K29,B30:G30))</f>
        <v>0</v>
      </c>
      <c r="N29" s="1">
        <f>(SUMIF(B22:G22,K29,B25:G25))+(SUMIF(B22:G22,K29,B28:G28))+(SUMIF(B22:G22,K29,B31:G31))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K30" s="1" t="s">
        <v>28</v>
      </c>
      <c r="L30" s="1">
        <f>(SUMIF(B22:G22,K30,B23:G23))+(SUMIF(B22:G22,K30,B26:G26))+(SUMIF(B22:G22,K30,B29:G29))</f>
        <v>6</v>
      </c>
      <c r="M30" s="1">
        <f>(SUMIF(B22:G22,K30,B24:G24))+(SUMIF(B22:G22,K30,B27:G27))+(SUMIF(B22:G22,K30,B30:G30))</f>
        <v>0</v>
      </c>
      <c r="N30" s="1">
        <f>(SUMIF(B22:G22,K30,B25:G25))+(SUMIF(B22:G22,K30,B28:G28))+(SUMIF(B22:G22,K30,B31:G31))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K31" s="1" t="s">
        <v>27</v>
      </c>
      <c r="L31" s="1">
        <f>(SUMIF(B22:G22,K31,B23:G23))+(SUMIF(B22:G22,K31,B26:G26))+(SUMIF(B22:G22,K31,B29:G29))</f>
        <v>0</v>
      </c>
      <c r="M31" s="1">
        <f>(SUMIF(B22:G22,K31,B24:G24))+(SUMIF(B22:G22,K31,B27:G27))+(SUMIF(B22:G22,K31,B30:G30))</f>
        <v>0</v>
      </c>
      <c r="N31" s="1">
        <f>(SUMIF(B22:G22,K31,B25:G25))+(SUMIF(B22:G22,K31,B28:G28))+(SUMIF(B22:G22,K31,B31:G31))</f>
        <v>0</v>
      </c>
    </row>
    <row r="32" spans="1:20" x14ac:dyDescent="0.55000000000000004">
      <c r="A32" s="24" t="s">
        <v>31</v>
      </c>
      <c r="B32" s="27">
        <f t="shared" ref="B32:D32" si="3">SUM(B23:B25)</f>
        <v>0</v>
      </c>
      <c r="C32" s="27">
        <f t="shared" si="3"/>
        <v>0</v>
      </c>
      <c r="D32" s="27">
        <f t="shared" si="3"/>
        <v>0</v>
      </c>
      <c r="E32" s="27">
        <f t="shared" ref="E32:G32" si="4">SUM(E23:E25)</f>
        <v>0</v>
      </c>
      <c r="F32" s="27">
        <f t="shared" si="4"/>
        <v>0</v>
      </c>
      <c r="G32" s="27">
        <f t="shared" si="4"/>
        <v>0</v>
      </c>
    </row>
    <row r="33" spans="1:20" x14ac:dyDescent="0.55000000000000004">
      <c r="A33" s="17" t="s">
        <v>32</v>
      </c>
      <c r="B33" s="20">
        <f t="shared" ref="B33:D33" si="5">SUM(B26:B28)</f>
        <v>0</v>
      </c>
      <c r="C33" s="20">
        <f t="shared" si="5"/>
        <v>4</v>
      </c>
      <c r="D33" s="20">
        <f t="shared" si="5"/>
        <v>0</v>
      </c>
      <c r="E33" s="20">
        <f t="shared" ref="E33:G33" si="6">SUM(E26:E28)</f>
        <v>0</v>
      </c>
      <c r="F33" s="20">
        <f t="shared" si="6"/>
        <v>0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D34" si="7">SUM(B29:B31)</f>
        <v>0</v>
      </c>
      <c r="C34" s="21">
        <f t="shared" si="7"/>
        <v>0</v>
      </c>
      <c r="D34" s="21">
        <f t="shared" si="7"/>
        <v>0</v>
      </c>
      <c r="E34" s="21">
        <f t="shared" ref="E34:G34" si="8">SUM(E29:E31)</f>
        <v>0</v>
      </c>
      <c r="F34" s="21">
        <f t="shared" si="8"/>
        <v>0</v>
      </c>
      <c r="G34" s="21">
        <f t="shared" si="8"/>
        <v>2</v>
      </c>
    </row>
    <row r="39" spans="1:20" x14ac:dyDescent="0.55000000000000004">
      <c r="A39" s="1" t="s">
        <v>23</v>
      </c>
      <c r="B39" s="2" t="s">
        <v>83</v>
      </c>
      <c r="C39" s="2" t="s">
        <v>82</v>
      </c>
      <c r="D39" s="2" t="s">
        <v>82</v>
      </c>
      <c r="E39" s="2" t="s">
        <v>84</v>
      </c>
      <c r="F39" s="2" t="s">
        <v>84</v>
      </c>
      <c r="G39" s="2" t="s">
        <v>84</v>
      </c>
    </row>
    <row r="40" spans="1:20" x14ac:dyDescent="0.55000000000000004">
      <c r="A40" s="1" t="s">
        <v>34</v>
      </c>
      <c r="B40" s="2" t="s">
        <v>28</v>
      </c>
      <c r="C40" s="2" t="s">
        <v>27</v>
      </c>
      <c r="D40" s="2" t="s">
        <v>29</v>
      </c>
      <c r="E40" s="2" t="s">
        <v>29</v>
      </c>
      <c r="F40" s="2" t="s">
        <v>28</v>
      </c>
      <c r="G40" s="2" t="s">
        <v>27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2</v>
      </c>
      <c r="P41">
        <f>SUMIF(B40:G40,K41,B45:G45)</f>
        <v>1</v>
      </c>
      <c r="Q41">
        <f>SUMIF(B40:G40,K41,B46:G46)</f>
        <v>0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27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29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0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2</v>
      </c>
      <c r="G44" s="22"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1</v>
      </c>
      <c r="G45" s="22">
        <v>0</v>
      </c>
      <c r="K45" s="43" t="s">
        <v>85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K47" s="1" t="s">
        <v>29</v>
      </c>
      <c r="L47" s="1">
        <f>(SUMIF(B40:G40,K47,B41:G41))+(SUMIF(B40:G40,K47,B44:G44))+(SUMIF(B40:G40,K47,B47:G47))</f>
        <v>0</v>
      </c>
      <c r="M47" s="1">
        <f>(SUMIF(B40:G40,K47,B42:G42))+(SUMIF(B40:G40,K47,B45:G45))+(SUMIF(B40:G40,K47,B48:G48))</f>
        <v>0</v>
      </c>
      <c r="N47" s="1">
        <f>(SUMIF(B40:G40,K47,B43:G43))+(SUMIF(B40:G40,K47,B46:G46))+(SUMIF(B40:G40,K47,B49:G49))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(SUMIF(B40:G40,K48,B41:G41))+(SUMIF(B40:G40,K48,B44:G44))+(SUMIF(B40:G40,K48,B47:G47))</f>
        <v>2</v>
      </c>
      <c r="M48" s="1">
        <f>(SUMIF(B40:G40,K48,B42:G42))+(SUMIF(B40:G40,K48,B45:G45))+(SUMIF(B40:G40,K48,B48:G48))</f>
        <v>1</v>
      </c>
      <c r="N48" s="1">
        <f>(SUMIF(B40:G40,K48,B43:G43))+(SUMIF(B40:G40,K48,B46:G46))+(SUMIF(B40:G40,K48,B49:G49))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27</v>
      </c>
      <c r="L49" s="1">
        <f>(SUMIF(B40:G40,K49,B41:G41))+(SUMIF(B40:G40,K49,B44:G44))+(SUMIF(B40:G40,K49,B47:G47))</f>
        <v>0</v>
      </c>
      <c r="M49" s="1">
        <f>(SUMIF(B40:G40,K49,B42:G42))+(SUMIF(B40:G40,K49,B45:G45))+(SUMIF(B40:G40,K49,B48:G48))</f>
        <v>0</v>
      </c>
      <c r="N49" s="1">
        <f>(SUMIF(B40:G40,K49,B43:G43))+(SUMIF(B40:G40,K49,B46:G46))+(SUMIF(B40:G40,K49,B49:G49))</f>
        <v>0</v>
      </c>
    </row>
    <row r="50" spans="1:20" x14ac:dyDescent="0.55000000000000004">
      <c r="A50" s="24" t="s">
        <v>31</v>
      </c>
      <c r="B50" s="27">
        <f t="shared" ref="B50:G50" si="9">SUM(B41:B43)</f>
        <v>0</v>
      </c>
      <c r="C50" s="27">
        <f t="shared" si="9"/>
        <v>0</v>
      </c>
      <c r="D50" s="27">
        <f t="shared" si="9"/>
        <v>0</v>
      </c>
      <c r="E50" s="27">
        <f t="shared" si="9"/>
        <v>0</v>
      </c>
      <c r="F50" s="27">
        <f t="shared" si="9"/>
        <v>0</v>
      </c>
      <c r="G50" s="27">
        <f t="shared" si="9"/>
        <v>0</v>
      </c>
    </row>
    <row r="51" spans="1:20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3</v>
      </c>
      <c r="G51" s="20">
        <f t="shared" si="10"/>
        <v>0</v>
      </c>
    </row>
    <row r="52" spans="1:20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</row>
    <row r="57" spans="1:20" x14ac:dyDescent="0.55000000000000004">
      <c r="A57" s="1" t="s">
        <v>23</v>
      </c>
      <c r="B57" s="2" t="s">
        <v>87</v>
      </c>
      <c r="C57" s="2" t="s">
        <v>87</v>
      </c>
      <c r="D57" s="2" t="s">
        <v>87</v>
      </c>
      <c r="E57" s="2" t="s">
        <v>88</v>
      </c>
      <c r="F57" s="2" t="s">
        <v>88</v>
      </c>
      <c r="G57" s="2" t="s">
        <v>88</v>
      </c>
    </row>
    <row r="58" spans="1:20" x14ac:dyDescent="0.55000000000000004">
      <c r="A58" s="1" t="s">
        <v>34</v>
      </c>
      <c r="B58" s="2" t="s">
        <v>36</v>
      </c>
      <c r="C58" s="2" t="s">
        <v>40</v>
      </c>
      <c r="D58" s="2" t="s">
        <v>27</v>
      </c>
      <c r="E58" s="2" t="s">
        <v>29</v>
      </c>
      <c r="F58" s="2" t="s">
        <v>36</v>
      </c>
      <c r="G58" s="2" t="s">
        <v>40</v>
      </c>
      <c r="K58" t="s">
        <v>13</v>
      </c>
      <c r="L58" t="s">
        <v>55</v>
      </c>
      <c r="M58" t="s">
        <v>56</v>
      </c>
      <c r="N58" t="s">
        <v>57</v>
      </c>
      <c r="O58" t="s">
        <v>58</v>
      </c>
      <c r="P58" t="s">
        <v>59</v>
      </c>
      <c r="Q58" t="s">
        <v>60</v>
      </c>
      <c r="R58" t="s">
        <v>61</v>
      </c>
      <c r="S58" t="s">
        <v>62</v>
      </c>
      <c r="T58" t="s">
        <v>63</v>
      </c>
    </row>
    <row r="59" spans="1:20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K59" t="s">
        <v>36</v>
      </c>
      <c r="L59">
        <f>SUMIF(B58:G58,K59,B59:G59)</f>
        <v>2</v>
      </c>
      <c r="M59">
        <f>SUMIF(B58:G58,K59,B60:G60)</f>
        <v>0</v>
      </c>
      <c r="N59">
        <f>SUMIF(B58:G58,K59,B61:G61)</f>
        <v>2</v>
      </c>
      <c r="O59">
        <f>SUMIF(B58:G58,K59,B62:G62)</f>
        <v>3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K60" t="s">
        <v>40</v>
      </c>
      <c r="L60">
        <f>SUMIF(B58:G58,K60,B59:G59)</f>
        <v>0</v>
      </c>
      <c r="M60">
        <f>SUMIF(B58:G58,K60,B60:G60)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3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2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K61" t="s">
        <v>27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1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3</v>
      </c>
      <c r="G62" s="22">
        <v>0</v>
      </c>
      <c r="K62" t="s">
        <v>29</v>
      </c>
      <c r="L62">
        <f>SUMIF(B58:G58,K62,B59:G59)</f>
        <v>0</v>
      </c>
      <c r="M62">
        <f>SUMIF(B58:G58,K62,B60:G60)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K63" s="43"/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1</v>
      </c>
      <c r="E65" s="16">
        <v>0</v>
      </c>
      <c r="F65" s="16">
        <v>0</v>
      </c>
      <c r="G65" s="23">
        <v>3</v>
      </c>
      <c r="K65" s="43" t="s">
        <v>89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K66" s="42"/>
      <c r="L66" s="42" t="s">
        <v>0</v>
      </c>
      <c r="M66" s="42" t="s">
        <v>53</v>
      </c>
      <c r="N66" s="42" t="s">
        <v>54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K67" s="1" t="s">
        <v>36</v>
      </c>
      <c r="L67" s="1">
        <f>(SUMIF(B58:G58,K67,B59:G59))+(SUMIF(B58:G58,K67,B62:G62))+(SUMIF(B58:G58,K67,B65:G65))</f>
        <v>5</v>
      </c>
      <c r="M67" s="1">
        <f>(SUMIF(B59:G59,K67,B60:G60))+(SUMIF(B59:G59,K67,B63:G63))+(SUMIF(B59:G59,K67,B66:G66))</f>
        <v>0</v>
      </c>
      <c r="N67" s="1">
        <f>(SUMIF(B58:G58,K67,B61:G61))+(SUMIF(B58:G58,K67,B64:G64))+(SUMIF(B58:G58,K67,B67:G67))</f>
        <v>2</v>
      </c>
    </row>
    <row r="68" spans="1:14" x14ac:dyDescent="0.55000000000000004">
      <c r="A68" s="24" t="s">
        <v>31</v>
      </c>
      <c r="B68" s="27">
        <f t="shared" ref="B68:G68" si="12">SUM(B59:B61)</f>
        <v>4</v>
      </c>
      <c r="C68" s="27">
        <f t="shared" si="12"/>
        <v>0</v>
      </c>
      <c r="D68" s="27">
        <f t="shared" si="12"/>
        <v>0</v>
      </c>
      <c r="E68" s="27">
        <f t="shared" si="12"/>
        <v>0</v>
      </c>
      <c r="F68" s="27">
        <f t="shared" si="12"/>
        <v>0</v>
      </c>
      <c r="G68" s="27">
        <f t="shared" si="12"/>
        <v>0</v>
      </c>
      <c r="K68" s="1" t="s">
        <v>40</v>
      </c>
      <c r="L68" s="1">
        <f>(SUMIF(B58:G58,K68,B59:G59))+(SUMIF(B58:G58,K68,B62:G62))+(SUMIF(B58:G58,K68,B65:G65))</f>
        <v>3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3</v>
      </c>
      <c r="G69" s="20">
        <f t="shared" si="13"/>
        <v>0</v>
      </c>
      <c r="K69" s="1" t="s">
        <v>27</v>
      </c>
      <c r="L69" s="1">
        <f>(SUMIF(B58:G58,K69,B59:G59))+(SUMIF(B58:G58,K69,B62:G62))+(SUMIF(B58:G58,K69,B65:G65))</f>
        <v>1</v>
      </c>
      <c r="M69" s="1">
        <f>(SUMIF(B58:G58,K69,B60:G60))+(SUMIF(B58:G58,K69,B63:G63))+(SUMIF(B58:G58,K69,B66:G66))</f>
        <v>0</v>
      </c>
      <c r="N69" s="1">
        <f>(SUMIF(B58:G58,K69,B61:G61))+(SUMIF(B58:G58,K69,B64:G64))+(SUMIF(B58:G58,K69,B67:G67))</f>
        <v>0</v>
      </c>
    </row>
    <row r="70" spans="1:14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1</v>
      </c>
      <c r="E70" s="21">
        <f t="shared" si="14"/>
        <v>0</v>
      </c>
      <c r="F70" s="21">
        <f t="shared" si="14"/>
        <v>0</v>
      </c>
      <c r="G70" s="21">
        <f t="shared" si="14"/>
        <v>3</v>
      </c>
      <c r="K70" s="1" t="s">
        <v>29</v>
      </c>
      <c r="L70" s="1">
        <f>(SUMIF(B58:G58,K70,B59:G59))+(SUMIF(B58:G58,K70,B62:G62))+(SUMIF(B58:G58,K70,B65:G65))</f>
        <v>0</v>
      </c>
      <c r="M70" s="1">
        <f>(SUMIF(B58:G58,K70,B60:G60))+(SUMIF(B58:G58,K70,B63:G63))+(SUMIF(B58:G58,K70,B66:G66))</f>
        <v>0</v>
      </c>
      <c r="N70" s="1">
        <f>(SUMIF(B58:G58,K70,B61:G61))+(SUMIF(B58:G58,K70,B64:G64))+(SUMIF(B58:G58,K70,B67:G67))</f>
        <v>0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901F-DB15-41F5-B606-09C2B39A77AA}">
  <sheetPr codeName="Sheet14"/>
  <dimension ref="A1:U70"/>
  <sheetViews>
    <sheetView topLeftCell="B55" workbookViewId="0">
      <selection activeCell="F74" sqref="F7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33203125" customWidth="1"/>
    <col min="9" max="9" width="12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26.08203125" bestFit="1" customWidth="1"/>
    <col min="18" max="18" width="18.25" bestFit="1" customWidth="1"/>
    <col min="19" max="19" width="18.1640625" bestFit="1" customWidth="1"/>
    <col min="20" max="21" width="26.08203125" bestFit="1" customWidth="1"/>
    <col min="22" max="22" width="12.25" bestFit="1" customWidth="1"/>
  </cols>
  <sheetData>
    <row r="1" spans="1:20" x14ac:dyDescent="0.55000000000000004">
      <c r="A1" s="12" t="s">
        <v>172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4"/>
    </row>
    <row r="4" spans="1:20" x14ac:dyDescent="0.55000000000000004">
      <c r="A4" s="1" t="s">
        <v>34</v>
      </c>
      <c r="B4" s="2" t="s">
        <v>36</v>
      </c>
      <c r="C4" s="2" t="s">
        <v>28</v>
      </c>
      <c r="D4" s="2" t="s">
        <v>29</v>
      </c>
      <c r="E4" s="2" t="s">
        <v>29</v>
      </c>
      <c r="F4" s="2" t="s">
        <v>163</v>
      </c>
      <c r="G4" s="2" t="s">
        <v>28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K5" t="s">
        <v>29</v>
      </c>
      <c r="L5">
        <f>SUMIF(B4:G4,K5,B5:G5)</f>
        <v>1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28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0</v>
      </c>
      <c r="S6">
        <f>SUMIF(B4:G4,K6,B12:G12)</f>
        <v>0</v>
      </c>
      <c r="T6">
        <f>SUMIF(B4:G4,K6,B13:G13)</f>
        <v>2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36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2</v>
      </c>
      <c r="P7">
        <f>SUMIF(B4:G4,K7,B9:G9)</f>
        <v>0</v>
      </c>
      <c r="Q7">
        <f>SUMIF(B4:G4,K7,B10:G10)</f>
        <v>0</v>
      </c>
      <c r="R7">
        <f>SUMIF(B4:G4,K7,B11:G11)</f>
        <v>0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2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0</v>
      </c>
      <c r="E11" s="16">
        <v>0</v>
      </c>
      <c r="F11" s="23">
        <v>0</v>
      </c>
      <c r="G11" s="23">
        <v>0</v>
      </c>
      <c r="K11" s="1" t="s">
        <v>29</v>
      </c>
      <c r="L11" s="1">
        <f>(SUMIF(B4:G4,"ダイクス",B5:G5))+(SUMIF(B4:G4,"ダイクス",B8:G8))+(SUMIF(B4:G4,"ダイクス",B11:G11))</f>
        <v>1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28</v>
      </c>
      <c r="L12" s="1">
        <f>(SUMIF(B4:G4,"中野",B5:G5))+(SUMIF(B4:G4,"中野",B8:G8))+(SUMIF(B4:G4,"中野",B11:G11))</f>
        <v>0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2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2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0</v>
      </c>
    </row>
    <row r="14" spans="1:20" x14ac:dyDescent="0.55000000000000004">
      <c r="A14" s="24" t="s">
        <v>31</v>
      </c>
      <c r="B14" s="27">
        <f t="shared" ref="B14" si="0">SUM(B5:B7)</f>
        <v>0</v>
      </c>
      <c r="C14" s="27">
        <f>SUM(C5:C13)</f>
        <v>0</v>
      </c>
      <c r="D14" s="27">
        <f>SUM(D5:D13)</f>
        <v>0</v>
      </c>
      <c r="E14" s="27">
        <f>SUM(E5:E13)</f>
        <v>1</v>
      </c>
      <c r="F14" s="27">
        <f>SUM(F5:F13)</f>
        <v>2</v>
      </c>
      <c r="G14" s="27">
        <f>SUM(G5:G13)</f>
        <v>2</v>
      </c>
    </row>
    <row r="15" spans="1:20" x14ac:dyDescent="0.55000000000000004">
      <c r="A15" s="17" t="s">
        <v>32</v>
      </c>
      <c r="B15" s="20">
        <f t="shared" ref="B15:C15" si="1">SUM(B8:B10)</f>
        <v>0</v>
      </c>
      <c r="C15" s="20">
        <f t="shared" si="1"/>
        <v>0</v>
      </c>
      <c r="D15" s="20">
        <f t="shared" ref="D15:G15" si="2">SUM(D8:D10)</f>
        <v>0</v>
      </c>
      <c r="E15" s="20">
        <f t="shared" si="2"/>
        <v>0</v>
      </c>
      <c r="F15" s="20">
        <f t="shared" si="2"/>
        <v>2</v>
      </c>
      <c r="G15" s="20">
        <f t="shared" si="2"/>
        <v>0</v>
      </c>
    </row>
    <row r="16" spans="1:20" x14ac:dyDescent="0.55000000000000004">
      <c r="A16" s="15" t="s">
        <v>33</v>
      </c>
      <c r="B16" s="21">
        <f t="shared" ref="B16:C16" si="3">SUM(B11:B13)</f>
        <v>0</v>
      </c>
      <c r="C16" s="21">
        <f t="shared" si="3"/>
        <v>0</v>
      </c>
      <c r="D16" s="21">
        <f t="shared" ref="D16:G16" si="4">SUM(D11:D13)</f>
        <v>0</v>
      </c>
      <c r="E16" s="21">
        <f t="shared" si="4"/>
        <v>0</v>
      </c>
      <c r="F16" s="21">
        <f t="shared" si="4"/>
        <v>0</v>
      </c>
      <c r="G16" s="21">
        <f t="shared" si="4"/>
        <v>2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50" t="s">
        <v>164</v>
      </c>
      <c r="C21" s="50" t="s">
        <v>164</v>
      </c>
      <c r="D21" s="50" t="s">
        <v>164</v>
      </c>
      <c r="E21" s="50" t="s">
        <v>164</v>
      </c>
      <c r="F21" s="50" t="s">
        <v>164</v>
      </c>
      <c r="G21" s="50" t="s">
        <v>425</v>
      </c>
      <c r="H21" s="50" t="s">
        <v>164</v>
      </c>
      <c r="I21" s="50" t="s">
        <v>164</v>
      </c>
    </row>
    <row r="22" spans="1:20" x14ac:dyDescent="0.55000000000000004">
      <c r="A22" s="1" t="s">
        <v>34</v>
      </c>
      <c r="B22" s="2" t="s">
        <v>29</v>
      </c>
      <c r="C22" s="2" t="s">
        <v>36</v>
      </c>
      <c r="D22" s="2" t="s">
        <v>165</v>
      </c>
      <c r="E22" s="2" t="s">
        <v>166</v>
      </c>
      <c r="F22" s="2" t="s">
        <v>424</v>
      </c>
      <c r="G22" s="2" t="s">
        <v>418</v>
      </c>
      <c r="H22" s="2" t="s">
        <v>29</v>
      </c>
      <c r="I22" s="2" t="s">
        <v>424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5">
        <v>0</v>
      </c>
      <c r="I23" s="25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5">
        <v>0</v>
      </c>
      <c r="I24" s="25">
        <v>0</v>
      </c>
      <c r="K24" t="s">
        <v>28</v>
      </c>
      <c r="L24">
        <f>SUMIF(B22:G22,K24,B23:G23)</f>
        <v>0</v>
      </c>
      <c r="M24">
        <f>SUMIF(B22:G22,K24,B24:G24)</f>
        <v>0</v>
      </c>
      <c r="N24">
        <f>SUMIF(B22:G22,K24,B25:G25)</f>
        <v>0</v>
      </c>
      <c r="O24">
        <f>SUMIF(B22:G22,K24,B26:G26)</f>
        <v>0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5">
        <v>0</v>
      </c>
      <c r="I25" s="25">
        <v>0</v>
      </c>
      <c r="K25" t="s">
        <v>36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4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18">
        <v>0</v>
      </c>
      <c r="G26" s="22">
        <v>2</v>
      </c>
      <c r="H26" s="18">
        <v>0</v>
      </c>
      <c r="I26" s="18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18">
        <v>0</v>
      </c>
      <c r="I27" s="18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18">
        <v>0</v>
      </c>
      <c r="I28" s="18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2</v>
      </c>
      <c r="E29" s="16">
        <v>0</v>
      </c>
      <c r="F29" s="16">
        <v>0</v>
      </c>
      <c r="G29" s="23">
        <v>0</v>
      </c>
      <c r="H29" s="16">
        <v>4</v>
      </c>
      <c r="I29" s="16">
        <v>0</v>
      </c>
      <c r="K29" s="1" t="s">
        <v>29</v>
      </c>
      <c r="L29" s="1">
        <f>(SUMIF(B22:I22,"ダイクス",B23:I23))+(SUMIF(B22:I22,"ダイクス",B26:I26))+(SUMIF(B22:I22,"ダイクス",B29:I29))</f>
        <v>4</v>
      </c>
      <c r="M29" s="1">
        <f>(SUMIF(B22:I22,"ダイクス",B24:I24))+(SUMIF(B22:I22,"ダイクス",B27:I27))+(SUMIF(B22:I22,"ダイクス",B30:I30))</f>
        <v>0</v>
      </c>
      <c r="N29" s="1">
        <f>(SUMIF(B22:I22,"ダイクス",B25:I25))+(SUMIF(B22:I22,"ダイクス",B28:I28))+(SUMIF(B22:I22,"ダイクス",B31:I31))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16">
        <v>0</v>
      </c>
      <c r="I30" s="16">
        <v>0</v>
      </c>
      <c r="K30" s="1" t="s">
        <v>28</v>
      </c>
      <c r="L30" s="1">
        <f>(SUMIF(B22:I22,"中野",B23:I23))+(SUMIF(B22:I22,"中野",B26:I26))+(SUMIF(B22:I22,"中野",B29:IG29))</f>
        <v>2</v>
      </c>
      <c r="M30" s="1">
        <f>(SUMIF(B22:I22,"中野",B24:I24))+(SUMIF(B22:I22,"中野",B27:I27))+(SUMIF(B22:I22,"中野",B30:I30))</f>
        <v>0</v>
      </c>
      <c r="N30" s="1">
        <f>(SUMIF(B22:I22,"中野",B25:I25))+(SUMIF(B22:I22,"中野",B28:I28))+(SUMIF(B22:I22,"中野",B31:I31))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16">
        <v>0</v>
      </c>
      <c r="I31" s="16">
        <v>0</v>
      </c>
      <c r="K31" s="1" t="s">
        <v>64</v>
      </c>
      <c r="L31" s="1">
        <f>(SUMIF(B22:I22,"渡邊",B23:I23))+(SUMIF(B22:I22,"渡邊",B26:I26))+(SUMIF(B22:I22,"渡邊",B29:I29))</f>
        <v>4</v>
      </c>
      <c r="M31" s="1">
        <f>(SUMIF(B22:I22,"渡邊",B24:I24))+(SUMIF(B22:I22,"渡邊",B27:I27))+(SUMIF(B22:I22,"渡邊",B30:I30))</f>
        <v>0</v>
      </c>
      <c r="N31" s="1">
        <f>(SUMIF(B22:I22,"渡邊",B25:I25))+(SUMIF(B22:I22,"渡邊",B28:I28))+(SUMIF(B22:I22,"渡邊",B31:I31))</f>
        <v>0</v>
      </c>
    </row>
    <row r="32" spans="1:20" x14ac:dyDescent="0.55000000000000004">
      <c r="A32" s="24" t="s">
        <v>31</v>
      </c>
      <c r="B32" s="27">
        <f t="shared" ref="B32:D32" si="5">SUM(B23:B25)</f>
        <v>0</v>
      </c>
      <c r="C32" s="27">
        <f t="shared" si="5"/>
        <v>0</v>
      </c>
      <c r="D32" s="27">
        <f t="shared" si="5"/>
        <v>0</v>
      </c>
      <c r="E32" s="27">
        <f t="shared" ref="E32:F32" si="6">SUM(E23:E25)</f>
        <v>0</v>
      </c>
      <c r="F32" s="27">
        <f t="shared" si="6"/>
        <v>0</v>
      </c>
      <c r="G32" s="27">
        <f t="shared" ref="G32" si="7">SUM(G23:G25)</f>
        <v>0</v>
      </c>
      <c r="H32" s="27">
        <f t="shared" ref="H32:I32" si="8">SUM(H23:H25)</f>
        <v>0</v>
      </c>
      <c r="I32" s="27">
        <f t="shared" si="8"/>
        <v>0</v>
      </c>
      <c r="K32" s="1" t="s">
        <v>27</v>
      </c>
      <c r="L32" s="1">
        <f>(SUMIF(B22:I22,"木村",B23:I23))+(SUMIF(B22:I22,"木村",B26:I26))+(SUMIF(B23:I23,"木村",B29:I29))</f>
        <v>0</v>
      </c>
      <c r="M32" s="1">
        <f>(SUMIF(B22:I22,"渡邊",B24:I24))+(SUMIF(B22:I22,"渡邊",B27:I27))+(SUMIF(B22:I22,"渡邊",B30:I30))</f>
        <v>0</v>
      </c>
      <c r="N32" s="1">
        <f>(SUMIF(B22:I22,"木村",B25:I25))+(SUMIF(B22:I22,"渡邊",B28:I28))+(SUMIF(B22:I22,"渡邊",B31:I31))</f>
        <v>0</v>
      </c>
    </row>
    <row r="33" spans="1:20" x14ac:dyDescent="0.55000000000000004">
      <c r="A33" s="17" t="s">
        <v>32</v>
      </c>
      <c r="B33" s="20">
        <f t="shared" ref="B33:D33" si="9">SUM(B26:B28)</f>
        <v>0</v>
      </c>
      <c r="C33" s="20">
        <f t="shared" si="9"/>
        <v>2</v>
      </c>
      <c r="D33" s="20">
        <f t="shared" si="9"/>
        <v>0</v>
      </c>
      <c r="E33" s="20">
        <f t="shared" ref="E33:G33" si="10">SUM(E26:E28)</f>
        <v>0</v>
      </c>
      <c r="F33" s="20">
        <f t="shared" si="10"/>
        <v>0</v>
      </c>
      <c r="G33" s="20">
        <f t="shared" si="10"/>
        <v>2</v>
      </c>
      <c r="H33" s="20">
        <f t="shared" ref="H33:I33" si="11">SUM(H26:H28)</f>
        <v>0</v>
      </c>
      <c r="I33" s="20">
        <f t="shared" si="11"/>
        <v>0</v>
      </c>
    </row>
    <row r="34" spans="1:20" x14ac:dyDescent="0.55000000000000004">
      <c r="A34" s="15" t="s">
        <v>33</v>
      </c>
      <c r="B34" s="21">
        <f t="shared" ref="B34:D34" si="12">SUM(B29:B31)</f>
        <v>0</v>
      </c>
      <c r="C34" s="21">
        <f t="shared" si="12"/>
        <v>0</v>
      </c>
      <c r="D34" s="21">
        <f t="shared" si="12"/>
        <v>2</v>
      </c>
      <c r="E34" s="21">
        <f t="shared" ref="E34:G34" si="13">SUM(E29:E31)</f>
        <v>0</v>
      </c>
      <c r="F34" s="21">
        <f t="shared" si="13"/>
        <v>0</v>
      </c>
      <c r="G34" s="21">
        <f t="shared" si="13"/>
        <v>0</v>
      </c>
      <c r="H34" s="21">
        <f t="shared" ref="H34:I34" si="14">SUM(H29:H31)</f>
        <v>4</v>
      </c>
      <c r="I34" s="21">
        <f t="shared" si="14"/>
        <v>0</v>
      </c>
    </row>
    <row r="39" spans="1:20" x14ac:dyDescent="0.55000000000000004">
      <c r="A39" s="1" t="s">
        <v>23</v>
      </c>
      <c r="B39" s="50" t="s">
        <v>426</v>
      </c>
      <c r="C39" s="50" t="s">
        <v>426</v>
      </c>
      <c r="D39" s="50" t="s">
        <v>426</v>
      </c>
      <c r="E39" s="50" t="s">
        <v>426</v>
      </c>
      <c r="F39" s="50" t="s">
        <v>426</v>
      </c>
      <c r="G39" s="50" t="s">
        <v>427</v>
      </c>
    </row>
    <row r="40" spans="1:20" x14ac:dyDescent="0.55000000000000004">
      <c r="A40" s="1" t="s">
        <v>34</v>
      </c>
      <c r="B40" s="2" t="s">
        <v>29</v>
      </c>
      <c r="C40" s="2" t="s">
        <v>28</v>
      </c>
      <c r="D40" s="2" t="s">
        <v>36</v>
      </c>
      <c r="E40" s="2" t="s">
        <v>27</v>
      </c>
      <c r="F40" s="2" t="s">
        <v>413</v>
      </c>
      <c r="G40" s="2" t="s">
        <v>418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29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1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28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1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36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2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1</v>
      </c>
      <c r="D44" s="22">
        <v>0</v>
      </c>
      <c r="E44" s="18">
        <v>0</v>
      </c>
      <c r="F44" s="18">
        <v>0</v>
      </c>
      <c r="G44" s="22">
        <v>0</v>
      </c>
      <c r="K44" t="s">
        <v>424</v>
      </c>
      <c r="L44">
        <f>SUMIF(B40:G40,K44,B41:G41)</f>
        <v>0</v>
      </c>
      <c r="M44">
        <f>SUMIF(B40:G40,K44,B42:G42)</f>
        <v>0</v>
      </c>
      <c r="N44">
        <f>SUMIF(B40:G40,K44,B43:G43)</f>
        <v>0</v>
      </c>
      <c r="O44">
        <f>SUMIF(B40:G40,K44,B44:G44)</f>
        <v>0</v>
      </c>
      <c r="P44">
        <f>SUMIF(B40:G40,K44,B45:G45)</f>
        <v>0</v>
      </c>
      <c r="Q44">
        <f>SUMIF(B40:G40,K44,B46:G46)</f>
        <v>0</v>
      </c>
      <c r="R44">
        <f>SUMIF(B40:G40,K44,B47:G47)</f>
        <v>0</v>
      </c>
      <c r="S44">
        <f>SUMIF(B40:G40,K44,B48:G48)</f>
        <v>0</v>
      </c>
      <c r="T44">
        <f>SUMIF(B40:G40,K44,B49:G49)</f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K45" s="43" t="s">
        <v>417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1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1</v>
      </c>
      <c r="E47" s="16">
        <v>0</v>
      </c>
      <c r="F47" s="16">
        <v>0</v>
      </c>
      <c r="G47" s="23">
        <v>1</v>
      </c>
      <c r="K47" s="1" t="s">
        <v>29</v>
      </c>
      <c r="L47" s="1">
        <f>(SUMIF(B40:I40,"ダイクス",B41:I41))+(SUMIF(B40:I40,"ダイクス",B44:I44))+(SUMIF(B40:I40,"ダイクス",B47:I47))</f>
        <v>0</v>
      </c>
      <c r="M47" s="1">
        <f>(SUMIF(B40:I40,"ダイクス",B42:I42))+(SUMIF(B40:I40,"ダイクス",B45:I45))+(SUMIF(B40:I40,"ダイクス",B48:I48))</f>
        <v>0</v>
      </c>
      <c r="N47" s="1">
        <f>(SUMIF(B40:I40,"ダイクス",B43:I43))+(SUMIF(B40:I40,"ダイクス",B46:I46))+(SUMIF(B40:I40,"ダイクス",B49:I49))</f>
        <v>1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(SUMIF(B40:I40,"中野",B41:I41))+(SUMIF(B40:I40,"中野",B44:I44))+(SUMIF(B40:I40,"中野",B47:IG47))</f>
        <v>1</v>
      </c>
      <c r="M48" s="1">
        <f>(SUMIF(B40:I40,"中野",B42:I42))+(SUMIF(B40:I40,"中野",B45:I45))+(SUMIF(B40:I40,"中野",B48:I48))</f>
        <v>0</v>
      </c>
      <c r="N48" s="1">
        <f>(SUMIF(B40:I40,"中野",B43:I43))+(SUMIF(B40:I40,"中野",B46:I46))+(SUMIF(B40:I40,"中野",B49:I49))</f>
        <v>0</v>
      </c>
    </row>
    <row r="49" spans="1:21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64</v>
      </c>
      <c r="L49" s="1">
        <f>(SUMIF(B40:I40,"渡邊",B41:I41))+(SUMIF(B40:I40,"渡邊",B44:I44))+(SUMIF(B40:I40,"渡邊",B47:I47))</f>
        <v>2</v>
      </c>
      <c r="M49" s="1">
        <f>(SUMIF(B40:I40,"渡邊",B42:I42))+(SUMIF(B40:I40,"渡邊",B45:I45))+(SUMIF(B40:I40,"渡邊",B48:I48))</f>
        <v>0</v>
      </c>
      <c r="N49" s="1">
        <f>(SUMIF(B40:I40,"渡邊",B43:I43))+(SUMIF(B40:I40,"渡邊",B46:I46))+(SUMIF(B40:I40,"渡邊",B49:I49))</f>
        <v>0</v>
      </c>
    </row>
    <row r="50" spans="1:21" x14ac:dyDescent="0.55000000000000004">
      <c r="A50" s="24" t="s">
        <v>31</v>
      </c>
      <c r="B50" s="27">
        <f t="shared" ref="B50:D50" si="15">SUM(B41:B43)</f>
        <v>0</v>
      </c>
      <c r="C50" s="27">
        <f t="shared" si="15"/>
        <v>0</v>
      </c>
      <c r="D50" s="27">
        <f t="shared" si="15"/>
        <v>0</v>
      </c>
      <c r="E50" s="27">
        <f t="shared" ref="E50:F50" si="16">SUM(E41:E43)</f>
        <v>0</v>
      </c>
      <c r="F50" s="27">
        <f t="shared" si="16"/>
        <v>0</v>
      </c>
      <c r="G50" s="27">
        <f t="shared" ref="G50" si="17">SUM(G41:G43)</f>
        <v>0</v>
      </c>
      <c r="K50" s="1" t="s">
        <v>27</v>
      </c>
      <c r="L50" s="1">
        <f>(SUMIF(B40:I40,"木村",B41:I41))+(SUMIF(B40:I40,"木村",B44:I44))+(SUMIF(B41:I41,"木村",B47:I47))</f>
        <v>0</v>
      </c>
      <c r="M50" s="1">
        <f>(SUMIF(B40:I40,"渡邊",B42:I42))+(SUMIF(B40:I40,"渡邊",B45:I45))+(SUMIF(B40:I40,"渡邊",B48:I48))</f>
        <v>0</v>
      </c>
      <c r="N50" s="1">
        <f>(SUMIF(B40:I40,"木村",B43:I43))+(SUMIF(B40:I40,"渡邊",B46:I46))+(SUMIF(B40:I40,"渡邊",B49:I49))</f>
        <v>0</v>
      </c>
    </row>
    <row r="51" spans="1:21" x14ac:dyDescent="0.55000000000000004">
      <c r="A51" s="17" t="s">
        <v>32</v>
      </c>
      <c r="B51" s="20">
        <f t="shared" ref="B51:G51" si="18">SUM(B44:B46)</f>
        <v>0</v>
      </c>
      <c r="C51" s="20">
        <f t="shared" si="18"/>
        <v>1</v>
      </c>
      <c r="D51" s="20">
        <f t="shared" si="18"/>
        <v>0</v>
      </c>
      <c r="E51" s="20">
        <f t="shared" si="18"/>
        <v>0</v>
      </c>
      <c r="F51" s="20">
        <f t="shared" si="18"/>
        <v>1</v>
      </c>
      <c r="G51" s="20">
        <f t="shared" si="18"/>
        <v>0</v>
      </c>
    </row>
    <row r="52" spans="1:21" x14ac:dyDescent="0.55000000000000004">
      <c r="A52" s="15" t="s">
        <v>33</v>
      </c>
      <c r="B52" s="21">
        <f t="shared" ref="B52:G52" si="19">SUM(B47:B49)</f>
        <v>0</v>
      </c>
      <c r="C52" s="21">
        <f t="shared" si="19"/>
        <v>0</v>
      </c>
      <c r="D52" s="21">
        <f t="shared" si="19"/>
        <v>1</v>
      </c>
      <c r="E52" s="21">
        <f t="shared" si="19"/>
        <v>0</v>
      </c>
      <c r="F52" s="21">
        <f t="shared" si="19"/>
        <v>0</v>
      </c>
      <c r="G52" s="21">
        <f t="shared" si="19"/>
        <v>1</v>
      </c>
    </row>
    <row r="57" spans="1:21" x14ac:dyDescent="0.55000000000000004">
      <c r="A57" s="1" t="s">
        <v>23</v>
      </c>
      <c r="B57" s="50" t="s">
        <v>443</v>
      </c>
      <c r="C57" s="50" t="s">
        <v>443</v>
      </c>
      <c r="D57" s="50" t="s">
        <v>443</v>
      </c>
      <c r="E57" s="50" t="s">
        <v>443</v>
      </c>
      <c r="F57" s="50" t="s">
        <v>443</v>
      </c>
      <c r="G57" s="50" t="s">
        <v>443</v>
      </c>
      <c r="H57" s="50" t="s">
        <v>443</v>
      </c>
      <c r="I57" s="50" t="s">
        <v>443</v>
      </c>
    </row>
    <row r="58" spans="1:21" x14ac:dyDescent="0.55000000000000004">
      <c r="A58" s="1" t="s">
        <v>34</v>
      </c>
      <c r="B58" s="2" t="s">
        <v>330</v>
      </c>
      <c r="C58" s="2" t="s">
        <v>28</v>
      </c>
      <c r="D58" s="2" t="s">
        <v>36</v>
      </c>
      <c r="E58" s="2"/>
      <c r="F58" s="2"/>
      <c r="G58" s="2"/>
      <c r="H58" s="2"/>
      <c r="I58" s="2"/>
      <c r="L58" t="s">
        <v>13</v>
      </c>
      <c r="M58" t="s">
        <v>55</v>
      </c>
      <c r="N58" t="s">
        <v>56</v>
      </c>
      <c r="O58" t="s">
        <v>57</v>
      </c>
      <c r="P58" t="s">
        <v>58</v>
      </c>
      <c r="Q58" t="s">
        <v>59</v>
      </c>
      <c r="R58" t="s">
        <v>60</v>
      </c>
      <c r="S58" t="s">
        <v>61</v>
      </c>
      <c r="T58" t="s">
        <v>62</v>
      </c>
      <c r="U58" t="s">
        <v>63</v>
      </c>
    </row>
    <row r="59" spans="1:21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H59" s="26">
        <v>0</v>
      </c>
      <c r="I59" s="25">
        <v>0</v>
      </c>
      <c r="L59" t="s">
        <v>29</v>
      </c>
      <c r="M59">
        <f>SUMIF(C58:I58,L59,C59:I59)</f>
        <v>0</v>
      </c>
      <c r="N59">
        <f>SUMIF(C58:I58,L59,C60:I60)</f>
        <v>0</v>
      </c>
      <c r="O59">
        <f>SUMIF(C58:I58,L59,C61:I61)</f>
        <v>0</v>
      </c>
      <c r="P59">
        <f>SUMIF(C58:I58,L59,C62:I62)</f>
        <v>0</v>
      </c>
      <c r="Q59">
        <f>SUMIF(C58:I58,L59,C63:I63)</f>
        <v>0</v>
      </c>
      <c r="R59">
        <f>SUMIF(C58:I58,L59,C64:I64)</f>
        <v>0</v>
      </c>
      <c r="S59">
        <f>SUMIF(C58:I58,L59,C65:I65)</f>
        <v>0</v>
      </c>
      <c r="T59">
        <f>SUMIF(C58:I58,L59,C66:I66)</f>
        <v>0</v>
      </c>
      <c r="U59">
        <f>SUMIF(C58:I58,L59,C67:I67)</f>
        <v>0</v>
      </c>
    </row>
    <row r="60" spans="1:21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25">
        <v>0</v>
      </c>
      <c r="L60" t="s">
        <v>28</v>
      </c>
      <c r="M60">
        <f>SUMIF(C58:I58,L60,C59:I59)</f>
        <v>0</v>
      </c>
      <c r="N60">
        <f>SUMIF(C58:I58,L60,C60:I60)</f>
        <v>0</v>
      </c>
      <c r="O60">
        <f>SUMIF(C58:I58,L60,C61:I61)</f>
        <v>0</v>
      </c>
      <c r="P60">
        <f>SUMIF(C58:I58,L60,C62:I62)</f>
        <v>0</v>
      </c>
      <c r="Q60">
        <f>SUMIF(C58:I58,L60,C63:I63)</f>
        <v>0</v>
      </c>
      <c r="R60">
        <f>SUMIF(C58:I58,L60,C64:I64)</f>
        <v>0</v>
      </c>
      <c r="S60">
        <f>SUMIF(C58:I58,L60,C65:I65)</f>
        <v>0</v>
      </c>
      <c r="T60">
        <f>SUMIF(C58:I58,L60,C66:I66)</f>
        <v>0</v>
      </c>
      <c r="U60">
        <f>SUMIF(C58:I58,L60,C67:I67)</f>
        <v>0</v>
      </c>
    </row>
    <row r="61" spans="1:21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25">
        <v>0</v>
      </c>
      <c r="L61" t="s">
        <v>36</v>
      </c>
      <c r="M61">
        <f>SUMIF(C58:I58,L61,C59:I59)</f>
        <v>0</v>
      </c>
      <c r="N61">
        <f>SUMIF(C58:I58,L61,C60:I60)</f>
        <v>0</v>
      </c>
      <c r="O61">
        <f>SUMIF(C58:H58,L61,C61:I61)</f>
        <v>0</v>
      </c>
      <c r="P61">
        <f>SUMIF(C58:I58,L61,C62:I62)</f>
        <v>0</v>
      </c>
      <c r="Q61">
        <f>SUMIF(C58:I58,L61,C63:I63)</f>
        <v>0</v>
      </c>
      <c r="R61">
        <f>SUMIF(C58:I58,L61,C64:I64)</f>
        <v>0</v>
      </c>
      <c r="S61">
        <f>SUMIF(C58:I58,L61,C65:I65)</f>
        <v>0</v>
      </c>
      <c r="T61">
        <f>SUMIF(C58:I58,L61,C66:I66)</f>
        <v>0</v>
      </c>
      <c r="U61">
        <f>SUMIF(C58:I58,L61,C67:I67)</f>
        <v>0</v>
      </c>
    </row>
    <row r="62" spans="1:21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18">
        <v>0</v>
      </c>
      <c r="L62" t="s">
        <v>27</v>
      </c>
      <c r="M62">
        <f>SUMIF(C58:I58,L62,C59:I59)</f>
        <v>0</v>
      </c>
      <c r="N62">
        <f>SUMIF(C58:I58,L62,C60:I60)</f>
        <v>0</v>
      </c>
      <c r="O62">
        <f>SUMIF(C58:I58,L62,C61:I61)</f>
        <v>0</v>
      </c>
      <c r="P62">
        <f>SUMIF(C58:I58,L62,C62:I62)</f>
        <v>0</v>
      </c>
      <c r="Q62">
        <f>SUMIF(C58:I58,L62,C63:I63)</f>
        <v>0</v>
      </c>
      <c r="R62">
        <f>SUMIF(C58:I58,L62,C64:I64)</f>
        <v>0</v>
      </c>
      <c r="S62">
        <f>SUMIF(C58:I58,L62,C65:I65)</f>
        <v>0</v>
      </c>
      <c r="T62">
        <f>SUMIF(C58:I58,L62,C66:I66)</f>
        <v>0</v>
      </c>
      <c r="U62">
        <f>SUMIF(C58:I58,L62,C67:I67)</f>
        <v>0</v>
      </c>
    </row>
    <row r="63" spans="1:21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18">
        <v>0</v>
      </c>
      <c r="L63" t="s">
        <v>330</v>
      </c>
      <c r="M63">
        <f>SUMIF(C58:I58,L63,C59:I59)</f>
        <v>0</v>
      </c>
      <c r="N63">
        <f>SUMIF(C58:I58,L63,C60:I60)</f>
        <v>0</v>
      </c>
      <c r="O63">
        <f>SUMIF(C58:I58,L63,C61:I61)</f>
        <v>0</v>
      </c>
      <c r="P63">
        <f>SUMIF(C58:I58,L63,C62:I62)</f>
        <v>0</v>
      </c>
      <c r="Q63">
        <f>SUMIF(C58:I58,L63,C63:I63)</f>
        <v>0</v>
      </c>
      <c r="R63">
        <f>SUMIF(C58:I58,L63,C64:I64)</f>
        <v>0</v>
      </c>
      <c r="S63">
        <f>SUMIF(C58:I58,L63,C65:I65)</f>
        <v>0</v>
      </c>
      <c r="T63">
        <f>SUMIF(C58:I58,L63,C66:I66)</f>
        <v>0</v>
      </c>
      <c r="U63">
        <f>SUMIF(C58:I58,L63,C67:I67)</f>
        <v>0</v>
      </c>
    </row>
    <row r="64" spans="1:21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18">
        <v>0</v>
      </c>
      <c r="K64" s="43"/>
      <c r="L64" s="43" t="s">
        <v>444</v>
      </c>
    </row>
    <row r="65" spans="1:15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>
        <v>0</v>
      </c>
      <c r="F65" s="16">
        <v>0</v>
      </c>
      <c r="G65" s="23">
        <v>0</v>
      </c>
      <c r="H65" s="23">
        <v>0</v>
      </c>
      <c r="I65" s="16">
        <v>0</v>
      </c>
      <c r="L65" s="42"/>
      <c r="M65" s="42" t="s">
        <v>0</v>
      </c>
      <c r="N65" s="42" t="s">
        <v>53</v>
      </c>
      <c r="O65" s="42" t="s">
        <v>54</v>
      </c>
    </row>
    <row r="66" spans="1:15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16">
        <v>0</v>
      </c>
      <c r="L66" s="1" t="s">
        <v>29</v>
      </c>
      <c r="M66" s="1">
        <f>(SUMIF(C57:J57,"ダイクス",C58:J58))+(SUMIF(C57:J57,"ダイクス",C61:J61))+(SUMIF(C57:J57,"ダイクス",C64:J64))</f>
        <v>0</v>
      </c>
      <c r="N66" s="1">
        <f>(SUMIF(C57:J57,"ダイクス",C59:J59))+(SUMIF(C57:J57,"ダイクス",C62:J62))+(SUMIF(C57:J57,"ダイクス",C65:J65))</f>
        <v>0</v>
      </c>
      <c r="O66" s="1">
        <f>(SUMIF(C57:J57,"ダイクス",C60:J60))+(SUMIF(C57:J57,"ダイクス",C63:J63))+(SUMIF(C57:J57,"ダイクス",C66:J66))</f>
        <v>0</v>
      </c>
    </row>
    <row r="67" spans="1:15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16">
        <v>0</v>
      </c>
      <c r="L67" s="1" t="s">
        <v>28</v>
      </c>
      <c r="M67" s="1">
        <f>(SUMIF(C57:J57,"中野",C58:J58))+(SUMIF(C57:J57,"中野",C61:J61))+(SUMIF(C57:J57,"中野",C64:IH64))</f>
        <v>0</v>
      </c>
      <c r="N67" s="1">
        <f>(SUMIF(C57:J57,"中野",C59:J59))+(SUMIF(C57:J57,"中野",C62:J62))+(SUMIF(C57:J57,"中野",C65:J65))</f>
        <v>0</v>
      </c>
      <c r="O67" s="1">
        <f>(SUMIF(C57:J57,"中野",C60:J60))+(SUMIF(C57:J57,"中野",C63:J63))+(SUMIF(C57:J57,"中野",C66:J66))</f>
        <v>0</v>
      </c>
    </row>
    <row r="68" spans="1:15" x14ac:dyDescent="0.55000000000000004">
      <c r="A68" s="24" t="s">
        <v>31</v>
      </c>
      <c r="B68" s="27">
        <f t="shared" ref="B68:D68" si="20">SUM(B59:B61)</f>
        <v>0</v>
      </c>
      <c r="C68" s="27">
        <f t="shared" si="20"/>
        <v>0</v>
      </c>
      <c r="D68" s="27">
        <f t="shared" si="20"/>
        <v>0</v>
      </c>
      <c r="E68" s="27">
        <f t="shared" ref="E68:I68" si="21">SUM(E59:E61)</f>
        <v>0</v>
      </c>
      <c r="F68" s="27">
        <f t="shared" si="21"/>
        <v>0</v>
      </c>
      <c r="G68" s="27">
        <f t="shared" si="21"/>
        <v>0</v>
      </c>
      <c r="H68" s="27">
        <f t="shared" si="21"/>
        <v>0</v>
      </c>
      <c r="I68" s="27">
        <f t="shared" si="21"/>
        <v>0</v>
      </c>
      <c r="L68" s="1" t="s">
        <v>64</v>
      </c>
      <c r="M68" s="1">
        <f>(SUMIF(C57:J57,"渡邊",C58:J58))+(SUMIF(C57:J57,"渡邊",C61:J61))+(SUMIF(C57:J57,"渡邊",C64:J64))</f>
        <v>0</v>
      </c>
      <c r="N68" s="1">
        <f>(SUMIF(C57:J57,"渡邊",C59:J59))+(SUMIF(C57:J57,"渡邊",C62:J62))+(SUMIF(C57:J57,"渡邊",C65:J65))</f>
        <v>0</v>
      </c>
      <c r="O68" s="1">
        <f>(SUMIF(C57:J57,"渡邊",C60:J60))+(SUMIF(C57:J57,"渡邊",C63:J63))+(SUMIF(C57:J57,"渡邊",C66:J66))</f>
        <v>0</v>
      </c>
    </row>
    <row r="69" spans="1:15" x14ac:dyDescent="0.55000000000000004">
      <c r="A69" s="17" t="s">
        <v>32</v>
      </c>
      <c r="B69" s="20">
        <f t="shared" ref="B69:D69" si="22">SUM(B62:B64)</f>
        <v>0</v>
      </c>
      <c r="C69" s="20">
        <f t="shared" si="22"/>
        <v>0</v>
      </c>
      <c r="D69" s="20">
        <f t="shared" si="22"/>
        <v>0</v>
      </c>
      <c r="E69" s="20">
        <f t="shared" ref="E69:I69" si="23">SUM(E62:E64)</f>
        <v>0</v>
      </c>
      <c r="F69" s="20">
        <f t="shared" si="23"/>
        <v>0</v>
      </c>
      <c r="G69" s="20">
        <f t="shared" si="23"/>
        <v>0</v>
      </c>
      <c r="H69" s="20">
        <f t="shared" si="23"/>
        <v>0</v>
      </c>
      <c r="I69" s="20">
        <f t="shared" si="23"/>
        <v>0</v>
      </c>
      <c r="L69" s="1" t="s">
        <v>27</v>
      </c>
      <c r="M69" s="1">
        <f>(SUMIF(C57:J57,"木村",C58:J58))+(SUMIF(C57:J57,"木村",C61:J61))+(SUMIF(C58:J58,"木村",C64:J64))</f>
        <v>0</v>
      </c>
      <c r="N69" s="1">
        <f>(SUMIF(C57:J57,"渡邊",C59:J59))+(SUMIF(C57:J57,"渡邊",C62:J62))+(SUMIF(C57:J57,"渡邊",C65:J65))</f>
        <v>0</v>
      </c>
      <c r="O69" s="1">
        <f>(SUMIF(C57:J57,"木村",C60:J60))+(SUMIF(C57:J57,"渡邊",C63:J63))+(SUMIF(C57:J57,"渡邊",C66:J66))</f>
        <v>0</v>
      </c>
    </row>
    <row r="70" spans="1:15" x14ac:dyDescent="0.55000000000000004">
      <c r="A70" s="15" t="s">
        <v>33</v>
      </c>
      <c r="B70" s="21">
        <f t="shared" ref="B70:I70" si="24">SUM(B65:B67)</f>
        <v>0</v>
      </c>
      <c r="C70" s="21">
        <f t="shared" si="24"/>
        <v>0</v>
      </c>
      <c r="D70" s="21">
        <f t="shared" si="24"/>
        <v>0</v>
      </c>
      <c r="E70" s="21">
        <f t="shared" si="24"/>
        <v>0</v>
      </c>
      <c r="F70" s="21">
        <f t="shared" si="24"/>
        <v>0</v>
      </c>
      <c r="G70" s="21">
        <f t="shared" si="24"/>
        <v>0</v>
      </c>
      <c r="H70" s="21">
        <f t="shared" si="24"/>
        <v>0</v>
      </c>
      <c r="I70" s="21">
        <f t="shared" si="24"/>
        <v>0</v>
      </c>
      <c r="L70" s="1" t="s">
        <v>330</v>
      </c>
      <c r="M70" s="1">
        <f>(SUMIF(C58:J58,"木村",C59:J59))+(SUMIF(C58:J58,"木村",C62:J62))+(SUMIF(C59:J59,"木村",C65:J65))</f>
        <v>0</v>
      </c>
      <c r="N70" s="1">
        <f>(SUMIF(C58:J58,"渡邊",C60:J60))+(SUMIF(C58:J58,"渡邊",C63:J63))+(SUMIF(C58:J58,"渡邊",C66:J66))</f>
        <v>0</v>
      </c>
      <c r="O70" s="1">
        <f>(SUMIF(C58:J58,"木村",C61:J61))+(SUMIF(C58:J58,"渡邊",C64:J64))+(SUMIF(C58:J58,"渡邊",C67:J67))</f>
        <v>0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01D0-378A-4B21-B6D8-5E8A1032CF5E}">
  <sheetPr codeName="Sheet13"/>
  <dimension ref="A1:Z73"/>
  <sheetViews>
    <sheetView topLeftCell="A60" workbookViewId="0">
      <selection activeCell="B68" sqref="B68:B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13" width="12.1640625" customWidth="1"/>
    <col min="18" max="18" width="18.4140625" customWidth="1"/>
    <col min="19" max="19" width="17.5" customWidth="1"/>
    <col min="20" max="20" width="26.08203125" bestFit="1" customWidth="1"/>
    <col min="21" max="21" width="19.5" customWidth="1"/>
    <col min="22" max="22" width="14.83203125" customWidth="1"/>
    <col min="23" max="23" width="14.4140625" customWidth="1"/>
    <col min="24" max="24" width="18.25" bestFit="1" customWidth="1"/>
    <col min="25" max="25" width="18.1640625" bestFit="1" customWidth="1"/>
    <col min="26" max="26" width="26.08203125" bestFit="1" customWidth="1"/>
    <col min="27" max="27" width="12.33203125" bestFit="1" customWidth="1"/>
    <col min="28" max="28" width="12.25" bestFit="1" customWidth="1"/>
  </cols>
  <sheetData>
    <row r="1" spans="1:26" x14ac:dyDescent="0.55000000000000004">
      <c r="A1" s="12" t="s">
        <v>95</v>
      </c>
      <c r="B1" s="8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26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26" x14ac:dyDescent="0.55000000000000004">
      <c r="A3" s="1" t="s">
        <v>23</v>
      </c>
      <c r="B3" s="50" t="s">
        <v>97</v>
      </c>
      <c r="C3" s="50" t="s">
        <v>97</v>
      </c>
      <c r="D3" s="50" t="s">
        <v>97</v>
      </c>
      <c r="E3" s="50" t="s">
        <v>97</v>
      </c>
      <c r="F3" s="50" t="s">
        <v>97</v>
      </c>
      <c r="G3" s="50" t="s">
        <v>97</v>
      </c>
      <c r="H3" s="50" t="s">
        <v>97</v>
      </c>
      <c r="I3" s="50" t="s">
        <v>97</v>
      </c>
      <c r="J3" s="50" t="s">
        <v>97</v>
      </c>
      <c r="K3" s="50" t="s">
        <v>97</v>
      </c>
      <c r="L3" s="50" t="s">
        <v>97</v>
      </c>
      <c r="M3" s="50" t="s">
        <v>97</v>
      </c>
    </row>
    <row r="4" spans="1:26" x14ac:dyDescent="0.55000000000000004">
      <c r="A4" s="1" t="s">
        <v>34</v>
      </c>
      <c r="B4" s="2" t="s">
        <v>29</v>
      </c>
      <c r="C4" s="2" t="s">
        <v>27</v>
      </c>
      <c r="D4" s="2" t="s">
        <v>28</v>
      </c>
      <c r="E4" s="2" t="s">
        <v>29</v>
      </c>
      <c r="F4" s="2" t="s">
        <v>27</v>
      </c>
      <c r="G4" s="2" t="s">
        <v>28</v>
      </c>
      <c r="H4" s="2" t="s">
        <v>36</v>
      </c>
      <c r="I4" s="2" t="s">
        <v>29</v>
      </c>
      <c r="J4" s="2" t="s">
        <v>27</v>
      </c>
      <c r="K4" s="2" t="s">
        <v>27</v>
      </c>
      <c r="L4" s="2" t="s">
        <v>28</v>
      </c>
      <c r="M4" s="2" t="s">
        <v>27</v>
      </c>
      <c r="Q4" t="s">
        <v>13</v>
      </c>
      <c r="R4" t="s">
        <v>55</v>
      </c>
      <c r="S4" t="s">
        <v>56</v>
      </c>
      <c r="T4" t="s">
        <v>57</v>
      </c>
      <c r="U4" t="s">
        <v>58</v>
      </c>
      <c r="V4" t="s">
        <v>59</v>
      </c>
      <c r="W4" t="s">
        <v>60</v>
      </c>
      <c r="X4" t="s">
        <v>61</v>
      </c>
      <c r="Y4" t="s">
        <v>62</v>
      </c>
      <c r="Z4" t="s">
        <v>63</v>
      </c>
    </row>
    <row r="5" spans="1:26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H5" s="25">
        <v>3</v>
      </c>
      <c r="I5" s="25">
        <v>0</v>
      </c>
      <c r="J5" s="25">
        <v>0</v>
      </c>
      <c r="K5" s="25">
        <v>0</v>
      </c>
      <c r="L5" s="26">
        <v>0</v>
      </c>
      <c r="M5" s="26">
        <v>0</v>
      </c>
      <c r="Q5" t="s">
        <v>27</v>
      </c>
      <c r="R5">
        <f>SUMIF(B4:M4,Q5,B5:M5)</f>
        <v>0</v>
      </c>
      <c r="S5">
        <f>SUMIF(B4:M4,Q5,B6:M6)</f>
        <v>0</v>
      </c>
      <c r="T5">
        <f>SUMIF(B4:M4,Q5,B7:M7)</f>
        <v>0</v>
      </c>
      <c r="U5">
        <f>SUMIF(B4:M4,Q5,B8:M8)</f>
        <v>0</v>
      </c>
      <c r="V5">
        <f>SUMIF(B4:M4,Q5,B9:M9)</f>
        <v>0</v>
      </c>
      <c r="W5">
        <f>SUMIF(B4:M4,Q5,B10:M10)</f>
        <v>0</v>
      </c>
      <c r="X5">
        <f>SUMIF(B4:M4,Q5,B11:M11)</f>
        <v>0</v>
      </c>
      <c r="Y5">
        <f>SUMIF(B4:M4,Q5,B12:M12)</f>
        <v>0</v>
      </c>
      <c r="Z5">
        <f>SUMIF(B4:M4,Q5,B13:M13)</f>
        <v>0</v>
      </c>
    </row>
    <row r="6" spans="1:26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H6" s="25">
        <v>0</v>
      </c>
      <c r="I6" s="25">
        <v>0</v>
      </c>
      <c r="J6" s="25">
        <v>0</v>
      </c>
      <c r="K6" s="25">
        <v>0</v>
      </c>
      <c r="L6" s="26">
        <v>0</v>
      </c>
      <c r="M6" s="26">
        <v>0</v>
      </c>
      <c r="Q6" t="s">
        <v>29</v>
      </c>
      <c r="R6">
        <f>SUMIF(B4:M4,Q6,B5:M5)</f>
        <v>1</v>
      </c>
      <c r="S6">
        <f>SUMIF(B4:M4,Q6,B6:M6)</f>
        <v>0</v>
      </c>
      <c r="T6">
        <f>SUMIF(B4:M4,Q6,B7:M7)</f>
        <v>0</v>
      </c>
      <c r="U6">
        <f>SUMIF(B4:M4,Q6,B8:M8)</f>
        <v>0</v>
      </c>
      <c r="V6">
        <f>SUMIF(B4:M4,Q6,B9:M9)</f>
        <v>0</v>
      </c>
      <c r="W6">
        <f>SUMIF(B4:M4,Q6,B10:M10)</f>
        <v>0</v>
      </c>
      <c r="X6">
        <f>SUMIF(B4:M4,Q6,B11:M11)</f>
        <v>0</v>
      </c>
      <c r="Y6">
        <f>SUMIF(B4:M4,Q6,B12:M12)</f>
        <v>0</v>
      </c>
      <c r="Z6">
        <f>SUMIF(B4:M4,Q6,B13:M13)</f>
        <v>0</v>
      </c>
    </row>
    <row r="7" spans="1:26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H7" s="25">
        <v>0</v>
      </c>
      <c r="I7" s="25">
        <v>0</v>
      </c>
      <c r="J7" s="25">
        <v>0</v>
      </c>
      <c r="K7" s="25">
        <v>0</v>
      </c>
      <c r="L7" s="26">
        <v>0</v>
      </c>
      <c r="M7" s="26">
        <v>0</v>
      </c>
      <c r="Q7" t="s">
        <v>28</v>
      </c>
      <c r="R7">
        <f>SUMIF(B4:M4,Q7,B5:M5)</f>
        <v>0</v>
      </c>
      <c r="S7">
        <f>SUMIF(B4:M4,Q7,B6:M6)</f>
        <v>0</v>
      </c>
      <c r="T7">
        <f>SUMIF(B4:M4,Q7,B7:M7)</f>
        <v>0</v>
      </c>
      <c r="U7">
        <f>SUMIF(B4:M4,Q7,B8:M8)</f>
        <v>6</v>
      </c>
      <c r="V7">
        <f>SUMIF(B4:M4,Q7,B9:M9)</f>
        <v>0</v>
      </c>
      <c r="W7">
        <f>SUMIF(B4:M4,Q7,B10:M10)</f>
        <v>0</v>
      </c>
      <c r="X7">
        <f>SUMIF(B4:M4,Q7,B11:M11)</f>
        <v>4</v>
      </c>
      <c r="Y7">
        <f>SUMIF(B4:M4,Q7,B12:M12)</f>
        <v>1</v>
      </c>
      <c r="Z7">
        <f>SUMIF(B4:M4,Q7,B13:M13)</f>
        <v>2</v>
      </c>
    </row>
    <row r="8" spans="1:26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  <c r="H8" s="18">
        <v>0</v>
      </c>
      <c r="I8" s="18">
        <v>0</v>
      </c>
      <c r="J8" s="18">
        <v>0</v>
      </c>
      <c r="K8" s="18">
        <v>0</v>
      </c>
      <c r="L8" s="22">
        <v>6</v>
      </c>
      <c r="M8" s="22">
        <v>0</v>
      </c>
      <c r="Q8" t="s">
        <v>36</v>
      </c>
      <c r="R8">
        <f>SUMIF(B4:M4,Q8,B5:M5)</f>
        <v>3</v>
      </c>
      <c r="S8">
        <f>SUMIF(B4:M4,Q8,B6:M6)</f>
        <v>0</v>
      </c>
      <c r="T8">
        <f>SUMIF(B4:M4,Q8,B7:M7)</f>
        <v>0</v>
      </c>
      <c r="U8">
        <f>SUMIF(B4:M4,Q8,B8:M8)</f>
        <v>0</v>
      </c>
      <c r="V8">
        <f>SUMIF(B4:M4,Q8,B9:M9)</f>
        <v>0</v>
      </c>
      <c r="W8">
        <f>SUMIF(B4:M4,Q8,B10:M10)</f>
        <v>0</v>
      </c>
      <c r="X8">
        <f>SUMIF(B4:M4,Q8,B11:M11)</f>
        <v>0</v>
      </c>
      <c r="Y8">
        <f>SUMIF(B4:M4,Q8,B12:M12)</f>
        <v>0</v>
      </c>
      <c r="Z8">
        <f>SUMIF(B4:M4,Q8,B13:M13)</f>
        <v>0</v>
      </c>
    </row>
    <row r="9" spans="1:26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H9" s="18">
        <v>0</v>
      </c>
      <c r="I9" s="18">
        <v>0</v>
      </c>
      <c r="J9" s="18">
        <v>0</v>
      </c>
      <c r="K9" s="18">
        <v>0</v>
      </c>
      <c r="L9" s="22">
        <v>0</v>
      </c>
      <c r="M9" s="22">
        <v>0</v>
      </c>
    </row>
    <row r="10" spans="1:26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H10" s="18">
        <v>0</v>
      </c>
      <c r="I10" s="18">
        <v>0</v>
      </c>
      <c r="J10" s="18">
        <v>0</v>
      </c>
      <c r="K10" s="18">
        <v>0</v>
      </c>
      <c r="L10" s="22">
        <v>0</v>
      </c>
      <c r="M10" s="22">
        <v>0</v>
      </c>
      <c r="Q10" s="43" t="s">
        <v>78</v>
      </c>
    </row>
    <row r="11" spans="1:26" x14ac:dyDescent="0.55000000000000004">
      <c r="A11" s="15" t="s">
        <v>24</v>
      </c>
      <c r="B11" s="16">
        <v>0</v>
      </c>
      <c r="C11" s="16">
        <v>0</v>
      </c>
      <c r="D11" s="16">
        <v>3</v>
      </c>
      <c r="E11" s="16">
        <v>0</v>
      </c>
      <c r="F11" s="23">
        <v>0</v>
      </c>
      <c r="G11" s="23">
        <v>1</v>
      </c>
      <c r="H11" s="16">
        <v>0</v>
      </c>
      <c r="I11" s="16">
        <v>0</v>
      </c>
      <c r="J11" s="16">
        <v>0</v>
      </c>
      <c r="K11" s="16">
        <v>0</v>
      </c>
      <c r="L11" s="23">
        <v>0</v>
      </c>
      <c r="M11" s="23">
        <v>0</v>
      </c>
      <c r="Q11" s="42"/>
      <c r="R11" s="42" t="s">
        <v>0</v>
      </c>
      <c r="S11" s="42" t="s">
        <v>53</v>
      </c>
      <c r="T11" s="42" t="s">
        <v>54</v>
      </c>
    </row>
    <row r="12" spans="1:26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6">
        <v>0</v>
      </c>
      <c r="F12" s="23">
        <v>0</v>
      </c>
      <c r="G12" s="23">
        <v>0</v>
      </c>
      <c r="H12" s="16">
        <v>0</v>
      </c>
      <c r="I12" s="16">
        <v>0</v>
      </c>
      <c r="J12" s="16">
        <v>0</v>
      </c>
      <c r="K12" s="16">
        <v>0</v>
      </c>
      <c r="L12" s="23">
        <v>0</v>
      </c>
      <c r="M12" s="23">
        <v>0</v>
      </c>
      <c r="Q12" s="1" t="s">
        <v>27</v>
      </c>
      <c r="R12" s="1">
        <f>(SUMIF(B4:M4,Q12,B5:M5))+(SUMIF(B4:M4,Q12,B8:M8))+(SUMIF(B4:M4,Q12,B11:M11))</f>
        <v>0</v>
      </c>
      <c r="S12" s="1">
        <f>(SUMIF(B4:M4,Q12,B6:M6))+(SUMIF(B4:G4,Q12,B9:G9))+(SUMIF(B4:G4,Q12,B12:G12))</f>
        <v>0</v>
      </c>
      <c r="T12" s="1">
        <f>(SUMIF(B4:G4,Q12,B7:G7))+(SUMIF(B4:G4,Q12,B10:G10))+(SUMIF(B4:G4,Q12,B13:G13))</f>
        <v>0</v>
      </c>
    </row>
    <row r="13" spans="1:26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H13" s="16">
        <v>0</v>
      </c>
      <c r="I13" s="16">
        <v>0</v>
      </c>
      <c r="J13" s="16">
        <v>0</v>
      </c>
      <c r="K13" s="16">
        <v>0</v>
      </c>
      <c r="L13" s="23">
        <v>0</v>
      </c>
      <c r="M13" s="23">
        <v>0</v>
      </c>
      <c r="Q13" s="1" t="s">
        <v>29</v>
      </c>
      <c r="R13" s="1">
        <f>(SUMIF(B4:M4,Q13,B5:M5))+(SUMIF(B4:M4,Q13,B8:M8))+(SUMIF(B4:G4,Q13,B11:M11))</f>
        <v>1</v>
      </c>
      <c r="S13" s="1">
        <f>(SUMIF(B4:M4,Q13,B6:M6))+(SUMIF(B4:G4,Q13,B9:M9))+(SUMIF(B4:G4,Q13,B12:M12))</f>
        <v>0</v>
      </c>
      <c r="T13" s="1">
        <f>(SUMIF(B4:G4,Q12,B7:G7))+(SUMIF(B4:G4,Q12,B10:G10))+(SUMIF(B4:G4,Q12,B13:G13))</f>
        <v>0</v>
      </c>
    </row>
    <row r="14" spans="1:26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1</v>
      </c>
      <c r="F14" s="27">
        <f t="shared" si="0"/>
        <v>0</v>
      </c>
      <c r="G14" s="27">
        <f t="shared" si="0"/>
        <v>0</v>
      </c>
      <c r="H14" s="27">
        <f t="shared" ref="H14:M14" si="1">SUM(H5:H7)</f>
        <v>3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Q14" s="1" t="s">
        <v>28</v>
      </c>
      <c r="R14" s="1">
        <f>(SUMIF(B4:M4,Q14,B5:M5))+(SUMIF(B4:M4,Q14,B8:M8))+(SUMIF(B4:M4,Q14,B11:M11))</f>
        <v>10</v>
      </c>
      <c r="S14" s="1">
        <f>(SUMIF(B4:M4,Q14,B6:M6))+(SUMIF(B4:M4,Q14,B9:M9))+(SUMIF(B4:M4,Q14,B12:M12))</f>
        <v>1</v>
      </c>
      <c r="T14" s="1">
        <f>(SUMIF(B4:M4,Q14,B7:M7))+(SUMIF(B4:M4,Q14,B10:M10))+(SUMIF(B4:M4,Q14,B13:M13))</f>
        <v>2</v>
      </c>
    </row>
    <row r="15" spans="1:26" x14ac:dyDescent="0.55000000000000004">
      <c r="A15" s="17" t="s">
        <v>32</v>
      </c>
      <c r="B15" s="20">
        <f t="shared" ref="B15:G15" si="2">SUM(B8:B10)</f>
        <v>0</v>
      </c>
      <c r="C15" s="20">
        <f t="shared" si="2"/>
        <v>0</v>
      </c>
      <c r="D15" s="20">
        <f t="shared" si="2"/>
        <v>0</v>
      </c>
      <c r="E15" s="20">
        <f t="shared" si="2"/>
        <v>0</v>
      </c>
      <c r="F15" s="20">
        <f t="shared" si="2"/>
        <v>0</v>
      </c>
      <c r="G15" s="20">
        <f t="shared" si="2"/>
        <v>0</v>
      </c>
      <c r="H15" s="20">
        <f t="shared" ref="H15:M15" si="3">SUM(H8:H10)</f>
        <v>0</v>
      </c>
      <c r="I15" s="20">
        <f t="shared" si="3"/>
        <v>0</v>
      </c>
      <c r="J15" s="20">
        <f t="shared" si="3"/>
        <v>0</v>
      </c>
      <c r="K15" s="20">
        <f t="shared" si="3"/>
        <v>0</v>
      </c>
      <c r="L15" s="20">
        <f t="shared" si="3"/>
        <v>6</v>
      </c>
      <c r="M15" s="20">
        <f t="shared" si="3"/>
        <v>0</v>
      </c>
      <c r="Q15" s="1" t="s">
        <v>36</v>
      </c>
      <c r="R15" s="1">
        <f>(SUMIF(B4:M4,Q15,B5:M5))+(SUMIF(B4:M4,Q15,B8:M8))+(SUMIF(B4:M4,Q15,B11:M11))</f>
        <v>3</v>
      </c>
      <c r="S15" s="1">
        <f>(SUMIF(B4:M4,Q15,B6:M6))+(SUMIF(B4:M4,Q15,B9:M9))+(SUMIF(B4:M4,Q15,B12:M12))</f>
        <v>0</v>
      </c>
      <c r="T15" s="1">
        <f>(SUMIF(B4:M4,Q15,B7:M7))+(SUMIF(B4:M4,Q15,B10:M10))+(SUMIF(B4:M4,Q15,B13:M13))</f>
        <v>0</v>
      </c>
    </row>
    <row r="16" spans="1:26" x14ac:dyDescent="0.55000000000000004">
      <c r="A16" s="15" t="s">
        <v>33</v>
      </c>
      <c r="B16" s="21">
        <f t="shared" ref="B16:G16" si="4">SUM(B11:B13)</f>
        <v>0</v>
      </c>
      <c r="C16" s="21">
        <f t="shared" si="4"/>
        <v>0</v>
      </c>
      <c r="D16" s="21">
        <f t="shared" si="4"/>
        <v>6</v>
      </c>
      <c r="E16" s="21">
        <f t="shared" si="4"/>
        <v>0</v>
      </c>
      <c r="F16" s="21">
        <f t="shared" si="4"/>
        <v>0</v>
      </c>
      <c r="G16" s="21">
        <f t="shared" si="4"/>
        <v>1</v>
      </c>
      <c r="H16" s="21">
        <f t="shared" ref="H16:M16" si="5">SUM(H11:H13)</f>
        <v>0</v>
      </c>
      <c r="I16" s="21">
        <f t="shared" si="5"/>
        <v>0</v>
      </c>
      <c r="J16" s="21">
        <f t="shared" si="5"/>
        <v>0</v>
      </c>
      <c r="K16" s="21">
        <f t="shared" si="5"/>
        <v>0</v>
      </c>
      <c r="L16" s="21">
        <f t="shared" si="5"/>
        <v>0</v>
      </c>
      <c r="M16" s="21">
        <f t="shared" si="5"/>
        <v>0</v>
      </c>
    </row>
    <row r="17" spans="1:26" x14ac:dyDescent="0.55000000000000004">
      <c r="A17" s="32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</row>
    <row r="18" spans="1:26" x14ac:dyDescent="0.55000000000000004"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21" spans="1:26" x14ac:dyDescent="0.55000000000000004">
      <c r="A21" s="1" t="s">
        <v>23</v>
      </c>
      <c r="B21" s="51" t="s">
        <v>153</v>
      </c>
      <c r="C21" s="51" t="s">
        <v>153</v>
      </c>
      <c r="D21" s="51" t="s">
        <v>153</v>
      </c>
      <c r="E21" s="51" t="s">
        <v>153</v>
      </c>
      <c r="F21" s="51" t="s">
        <v>153</v>
      </c>
      <c r="G21" s="51" t="s">
        <v>153</v>
      </c>
      <c r="H21" s="50" t="s">
        <v>154</v>
      </c>
      <c r="I21" s="50" t="s">
        <v>153</v>
      </c>
      <c r="J21" s="50" t="s">
        <v>153</v>
      </c>
      <c r="K21" s="50" t="s">
        <v>153</v>
      </c>
      <c r="L21" s="50" t="s">
        <v>153</v>
      </c>
      <c r="M21" s="3"/>
    </row>
    <row r="22" spans="1:26" x14ac:dyDescent="0.55000000000000004">
      <c r="A22" s="1" t="s">
        <v>34</v>
      </c>
      <c r="B22" s="2" t="s">
        <v>36</v>
      </c>
      <c r="C22" s="2" t="s">
        <v>27</v>
      </c>
      <c r="D22" s="2" t="s">
        <v>27</v>
      </c>
      <c r="E22" s="2" t="s">
        <v>29</v>
      </c>
      <c r="F22" s="2" t="s">
        <v>36</v>
      </c>
      <c r="G22" s="2" t="s">
        <v>29</v>
      </c>
      <c r="H22" s="2" t="s">
        <v>27</v>
      </c>
      <c r="I22" s="2" t="s">
        <v>36</v>
      </c>
      <c r="J22" s="2" t="s">
        <v>28</v>
      </c>
      <c r="K22" s="2" t="s">
        <v>29</v>
      </c>
      <c r="L22" s="2" t="s">
        <v>27</v>
      </c>
      <c r="M22" s="3"/>
    </row>
    <row r="23" spans="1:26" x14ac:dyDescent="0.55000000000000004">
      <c r="A23" s="24" t="s">
        <v>17</v>
      </c>
      <c r="B23" s="26">
        <v>1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52"/>
      <c r="Q23" t="s">
        <v>13</v>
      </c>
      <c r="R23" t="s">
        <v>55</v>
      </c>
      <c r="S23" t="s">
        <v>56</v>
      </c>
      <c r="T23" t="s">
        <v>57</v>
      </c>
      <c r="U23" t="s">
        <v>58</v>
      </c>
      <c r="V23" t="s">
        <v>59</v>
      </c>
      <c r="W23" t="s">
        <v>60</v>
      </c>
      <c r="X23" t="s">
        <v>61</v>
      </c>
      <c r="Y23" t="s">
        <v>62</v>
      </c>
      <c r="Z23" t="s">
        <v>63</v>
      </c>
    </row>
    <row r="24" spans="1:26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52"/>
      <c r="Q24" t="s">
        <v>29</v>
      </c>
      <c r="R24">
        <f>SUMIF(B22:L22,Q24,B23:L23)</f>
        <v>0</v>
      </c>
      <c r="S24">
        <f>SUMIF(B22:L22,Q24,B24:L24)</f>
        <v>0</v>
      </c>
      <c r="T24">
        <f>SUMIF(B22:L22,Q24,B25:L25)</f>
        <v>0</v>
      </c>
      <c r="U24">
        <f>SUMIF(B22:L22,Q24,B26:L26)</f>
        <v>0</v>
      </c>
      <c r="V24">
        <f>SUMIF(B22:L22,Q24,B27:L27)</f>
        <v>0</v>
      </c>
      <c r="W24">
        <f>SUMIF(B22:L22,Q24,B28:L28)</f>
        <v>0</v>
      </c>
      <c r="X24">
        <f>SUMIF(B22:L22,Q24,B29:L29)</f>
        <v>0</v>
      </c>
      <c r="Y24">
        <f>SUMIF(B22:L22,Q24,B30:L30)</f>
        <v>0</v>
      </c>
      <c r="Z24">
        <f>SUMIF(B22:L22,Q24,B31:L31)</f>
        <v>0</v>
      </c>
    </row>
    <row r="25" spans="1:26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52"/>
      <c r="Q25" t="s">
        <v>28</v>
      </c>
      <c r="R25">
        <f>SUMIF(B22:L22,Q25,B23:L23)</f>
        <v>0</v>
      </c>
      <c r="S25">
        <f>SUMIF(B22:L22,Q25,B24:L24)</f>
        <v>0</v>
      </c>
      <c r="T25">
        <f>SUMIF(B22:L22,Q25,B25:L25)</f>
        <v>0</v>
      </c>
      <c r="U25">
        <f>SUMIF(B22:L22,Q25,B26:L26)</f>
        <v>1</v>
      </c>
      <c r="V25">
        <f>SUMIF(B22:L22,Q25,B27:L27)</f>
        <v>0</v>
      </c>
      <c r="W25">
        <f>SUMIF(B22:L22,Q25,B28:L28)</f>
        <v>0</v>
      </c>
      <c r="X25">
        <f>SUMIF(B22:L22,Q25,B29:L29)</f>
        <v>0</v>
      </c>
      <c r="Y25">
        <f>SUMIF(B22:L22,Q25,B30:L30)</f>
        <v>0</v>
      </c>
      <c r="Z25">
        <f>SUMIF(B22:L22,Q25,B31:L31)</f>
        <v>0</v>
      </c>
    </row>
    <row r="26" spans="1:26" x14ac:dyDescent="0.55000000000000004">
      <c r="A26" s="17" t="s">
        <v>20</v>
      </c>
      <c r="B26" s="22">
        <v>0</v>
      </c>
      <c r="C26" s="22">
        <v>0</v>
      </c>
      <c r="D26" s="22">
        <v>0</v>
      </c>
      <c r="E26" s="18">
        <v>0</v>
      </c>
      <c r="F26" s="18">
        <v>0</v>
      </c>
      <c r="G26" s="22">
        <v>0</v>
      </c>
      <c r="H26" s="22">
        <v>0</v>
      </c>
      <c r="I26" s="22">
        <v>0</v>
      </c>
      <c r="J26" s="22">
        <v>1</v>
      </c>
      <c r="K26" s="22">
        <v>0</v>
      </c>
      <c r="L26" s="22">
        <v>0</v>
      </c>
      <c r="M26" s="52"/>
      <c r="Q26" t="s">
        <v>27</v>
      </c>
      <c r="R26">
        <f>SUMIF(B22:L22,Q26,B23:L23)</f>
        <v>0</v>
      </c>
      <c r="S26">
        <f>SUMIF(B22:L22,Q26,B24:L24)</f>
        <v>0</v>
      </c>
      <c r="T26">
        <f>SUMIF(B22:L22,Q26,B25:L25)</f>
        <v>0</v>
      </c>
      <c r="U26">
        <f>SUMIF(B22:L22,Q26,B26:L26)</f>
        <v>0</v>
      </c>
      <c r="V26">
        <f>SUMIF(B22:L22,Q26,B27:L27)</f>
        <v>0</v>
      </c>
      <c r="W26">
        <f>SUMIF(B22:L22,Q26,B28:L28)</f>
        <v>0</v>
      </c>
      <c r="X26">
        <f>SUMIF(B22:L22,Q26,B29:L29)</f>
        <v>0</v>
      </c>
      <c r="Y26">
        <f>SUMIF(B22:L22,Q26,B30:L30)</f>
        <v>0</v>
      </c>
      <c r="Z26">
        <f>SUMIF(B22:L22,Q26,B31:L31)</f>
        <v>0</v>
      </c>
    </row>
    <row r="27" spans="1:26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52"/>
      <c r="Q27" t="s">
        <v>36</v>
      </c>
      <c r="R27">
        <f>SUMIF(B22:L22,Q27,B23:L23)</f>
        <v>1</v>
      </c>
      <c r="S27">
        <f>SUMIF(B22:L22,Q27,B24:L24)</f>
        <v>0</v>
      </c>
      <c r="T27">
        <f>SUMIF(B22:L22,Q27,B24:L24)</f>
        <v>0</v>
      </c>
      <c r="U27">
        <f>SUMIF(B22:L22,Q27,B26:L26)</f>
        <v>0</v>
      </c>
      <c r="V27">
        <f>SUMIF(B22:L22,Q27,B26:L26)</f>
        <v>0</v>
      </c>
      <c r="W27">
        <f>SUMIF(B22:L22,Q27,B26:L26)</f>
        <v>0</v>
      </c>
      <c r="X27">
        <f>SUMIF(B22:L22,Q27,B26:L26)</f>
        <v>0</v>
      </c>
      <c r="Y27">
        <f>SUMIF(B22:L22,Q27,B30:L30)</f>
        <v>0</v>
      </c>
      <c r="Z27">
        <f>SUMIF(B22:L22,Q27,B31:L31)</f>
        <v>0</v>
      </c>
    </row>
    <row r="28" spans="1:26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52"/>
    </row>
    <row r="29" spans="1:26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52"/>
      <c r="Q29" s="43" t="s">
        <v>79</v>
      </c>
    </row>
    <row r="30" spans="1:26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52"/>
      <c r="Q30" s="42"/>
      <c r="R30" s="42" t="s">
        <v>0</v>
      </c>
      <c r="S30" s="42" t="s">
        <v>53</v>
      </c>
      <c r="T30" s="42" t="s">
        <v>54</v>
      </c>
    </row>
    <row r="31" spans="1:26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52"/>
      <c r="Q31" s="1" t="s">
        <v>29</v>
      </c>
      <c r="R31" s="1">
        <f>(SUMIF(B22:L22,Q31,B23:L23))+(SUMIF(B22:L22,Q31,B26:L26))+(SUMIF(B22:L22,Q31,B29:L29))</f>
        <v>0</v>
      </c>
      <c r="S31" s="1">
        <f>(SUMIF(B22:L22,Q31,B24:L24))+(SUMIF(B22:L22,Q31,B27:L27))+(SUMIF(B22:L22,Q31,B30:L30))</f>
        <v>0</v>
      </c>
      <c r="T31" s="1">
        <f>(SUMIF(B22:L22,Q31,B25:L25))+(SUMIF(B22:L22,Q31,B28:L28))+(SUMIF(B22:L22,Q31,B31:L31))</f>
        <v>0</v>
      </c>
    </row>
    <row r="32" spans="1:26" x14ac:dyDescent="0.55000000000000004">
      <c r="A32" s="24" t="s">
        <v>31</v>
      </c>
      <c r="B32" s="27">
        <f t="shared" ref="B32:L32" si="6">SUM(B23:B31)</f>
        <v>1</v>
      </c>
      <c r="C32" s="27">
        <f t="shared" si="6"/>
        <v>0</v>
      </c>
      <c r="D32" s="27">
        <f t="shared" si="6"/>
        <v>0</v>
      </c>
      <c r="E32" s="27">
        <f t="shared" si="6"/>
        <v>0</v>
      </c>
      <c r="F32" s="27">
        <f t="shared" si="6"/>
        <v>0</v>
      </c>
      <c r="G32" s="27">
        <f t="shared" si="6"/>
        <v>0</v>
      </c>
      <c r="H32" s="27">
        <f t="shared" si="6"/>
        <v>0</v>
      </c>
      <c r="I32" s="27">
        <f t="shared" si="6"/>
        <v>0</v>
      </c>
      <c r="J32" s="27">
        <f t="shared" si="6"/>
        <v>1</v>
      </c>
      <c r="K32" s="27">
        <f t="shared" si="6"/>
        <v>0</v>
      </c>
      <c r="L32" s="27">
        <f t="shared" si="6"/>
        <v>0</v>
      </c>
      <c r="M32" s="31"/>
      <c r="Q32" s="1" t="s">
        <v>28</v>
      </c>
      <c r="R32" s="1">
        <f>(SUMIF(B22:L22,Q32,B23:L23))+(SUMIF(B22:L22,Q32,B26:L26))+(SUMIF(B22:L22,Q32,B29:L29))</f>
        <v>1</v>
      </c>
      <c r="S32" s="1">
        <f>(SUMIF(B22:L22,Q32,B24:L24))+(SUMIF(B22:L22,Q32,B27:L27))+(SUMIF(B22:L22,Q32,B30:L30))</f>
        <v>0</v>
      </c>
      <c r="T32" s="1">
        <f>(SUMIF(B22:L22,Q32,B25:L25))+(SUMIF(B22:L22,Q32,B28:L28))+(SUMIF(B22:L22,Q32,B31:L31))</f>
        <v>0</v>
      </c>
    </row>
    <row r="33" spans="1:26" x14ac:dyDescent="0.55000000000000004">
      <c r="A33" s="17" t="s">
        <v>32</v>
      </c>
      <c r="B33" s="20">
        <f t="shared" ref="B33:L33" si="7">SUM(B26:B28)</f>
        <v>0</v>
      </c>
      <c r="C33" s="20">
        <f t="shared" si="7"/>
        <v>0</v>
      </c>
      <c r="D33" s="20">
        <f t="shared" si="7"/>
        <v>0</v>
      </c>
      <c r="E33" s="20">
        <f t="shared" si="7"/>
        <v>0</v>
      </c>
      <c r="F33" s="20">
        <f t="shared" si="7"/>
        <v>0</v>
      </c>
      <c r="G33" s="20">
        <f t="shared" si="7"/>
        <v>0</v>
      </c>
      <c r="H33" s="20">
        <f t="shared" si="7"/>
        <v>0</v>
      </c>
      <c r="I33" s="20">
        <f t="shared" si="7"/>
        <v>0</v>
      </c>
      <c r="J33" s="20">
        <f t="shared" si="7"/>
        <v>1</v>
      </c>
      <c r="K33" s="20">
        <f t="shared" si="7"/>
        <v>0</v>
      </c>
      <c r="L33" s="20">
        <f t="shared" si="7"/>
        <v>0</v>
      </c>
      <c r="M33" s="31"/>
      <c r="Q33" s="39" t="s">
        <v>27</v>
      </c>
      <c r="R33" s="1">
        <f>(SUMIF(B22:L22,Q33,B23:L23))+(SUMIF(B22:L22,Q33,B26:L26))+(SUMIF(B22:L22,Q33,B29:L29))</f>
        <v>0</v>
      </c>
      <c r="S33" s="1">
        <f>(SUMIF(B22:L22,Q33,B24:L24))+(SUMIF(B22:L22,Q33,B27:L27))+(SUMIF(B22:L22,Q33,B30:L30))</f>
        <v>0</v>
      </c>
      <c r="T33" s="1">
        <f>(SUMIF(B22:L22,Q33,B25:L25))+(SUMIF(B22:L22,Q33,B28:L28))+(SUMIF(B22:L22,Q33,B31:L31))</f>
        <v>0</v>
      </c>
    </row>
    <row r="34" spans="1:26" x14ac:dyDescent="0.55000000000000004">
      <c r="A34" s="15" t="s">
        <v>33</v>
      </c>
      <c r="B34" s="21">
        <f t="shared" ref="B34:G34" si="8">SUM(B29:B31)</f>
        <v>0</v>
      </c>
      <c r="C34" s="21">
        <f t="shared" si="8"/>
        <v>0</v>
      </c>
      <c r="D34" s="21">
        <f t="shared" si="8"/>
        <v>0</v>
      </c>
      <c r="E34" s="21">
        <f t="shared" si="8"/>
        <v>0</v>
      </c>
      <c r="F34" s="21">
        <f t="shared" si="8"/>
        <v>0</v>
      </c>
      <c r="G34" s="21">
        <f t="shared" si="8"/>
        <v>0</v>
      </c>
      <c r="H34" s="21">
        <f>SUM(H29:H31)</f>
        <v>0</v>
      </c>
      <c r="I34" s="21">
        <f>SUM(I29:I31)</f>
        <v>0</v>
      </c>
      <c r="J34" s="21">
        <f>SUM(J29:J31)</f>
        <v>0</v>
      </c>
      <c r="K34" s="21">
        <f>SUM(K29:K31)</f>
        <v>0</v>
      </c>
      <c r="L34" s="21">
        <f>SUM(L29:L31)</f>
        <v>0</v>
      </c>
      <c r="M34" s="31"/>
      <c r="Q34" s="1" t="s">
        <v>36</v>
      </c>
      <c r="R34" s="53">
        <f>(SUMIF(B22:L22,Q34,B23:L23))+(SUMIF(B22:L22,Q34,B26:L26))+(SUMIF(B22:L22,Q34,B29:L29))</f>
        <v>1</v>
      </c>
      <c r="S34" s="1">
        <f>(SUMIF(B22:L22,Q34,B24:L24))+(SUMIF(B22:L22,Q34,B27:L27))+(SUMIF(B22:L22,Q34,B30:L30))</f>
        <v>0</v>
      </c>
      <c r="T34" s="1">
        <f>(SUMIF(B22:L22,Q34,B25:L25))+(SUMIF(B22:L22,Q34,B28:L28))+(SUMIF(B22:L22,Q34,B31:L31))</f>
        <v>0</v>
      </c>
    </row>
    <row r="39" spans="1:26" x14ac:dyDescent="0.55000000000000004">
      <c r="A39" s="1" t="s">
        <v>23</v>
      </c>
      <c r="B39" s="50" t="s">
        <v>157</v>
      </c>
      <c r="C39" s="50" t="s">
        <v>157</v>
      </c>
      <c r="D39" s="50" t="s">
        <v>157</v>
      </c>
      <c r="E39" s="50" t="s">
        <v>157</v>
      </c>
      <c r="F39" s="50" t="s">
        <v>157</v>
      </c>
      <c r="G39" s="50" t="s">
        <v>157</v>
      </c>
      <c r="H39" s="50" t="s">
        <v>157</v>
      </c>
      <c r="I39" s="50" t="s">
        <v>157</v>
      </c>
      <c r="J39" s="50" t="s">
        <v>157</v>
      </c>
      <c r="K39" s="50" t="s">
        <v>157</v>
      </c>
      <c r="L39" s="50" t="s">
        <v>157</v>
      </c>
      <c r="M39" s="3"/>
    </row>
    <row r="40" spans="1:26" x14ac:dyDescent="0.55000000000000004">
      <c r="A40" s="1" t="s">
        <v>34</v>
      </c>
      <c r="B40" s="2" t="s">
        <v>29</v>
      </c>
      <c r="C40" s="2" t="s">
        <v>29</v>
      </c>
      <c r="D40" s="2" t="s">
        <v>28</v>
      </c>
      <c r="E40" s="2" t="s">
        <v>27</v>
      </c>
      <c r="F40" s="2" t="s">
        <v>36</v>
      </c>
      <c r="G40" s="2" t="s">
        <v>29</v>
      </c>
      <c r="H40" s="2" t="s">
        <v>28</v>
      </c>
      <c r="I40" s="2" t="s">
        <v>27</v>
      </c>
      <c r="J40" s="2" t="s">
        <v>28</v>
      </c>
      <c r="K40" s="2" t="s">
        <v>29</v>
      </c>
      <c r="L40" s="2" t="s">
        <v>29</v>
      </c>
      <c r="M40" s="3"/>
    </row>
    <row r="41" spans="1:26" x14ac:dyDescent="0.55000000000000004">
      <c r="A41" s="24" t="s">
        <v>17</v>
      </c>
      <c r="B41" s="26">
        <v>1</v>
      </c>
      <c r="C41" s="26">
        <v>2</v>
      </c>
      <c r="D41" s="26">
        <v>0</v>
      </c>
      <c r="E41" s="25">
        <v>0</v>
      </c>
      <c r="F41" s="25">
        <v>3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52"/>
    </row>
    <row r="42" spans="1:26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52"/>
      <c r="Q42" t="s">
        <v>13</v>
      </c>
      <c r="R42" t="s">
        <v>55</v>
      </c>
      <c r="S42" t="s">
        <v>56</v>
      </c>
      <c r="T42" t="s">
        <v>57</v>
      </c>
      <c r="U42" t="s">
        <v>58</v>
      </c>
      <c r="V42" t="s">
        <v>59</v>
      </c>
      <c r="W42" t="s">
        <v>60</v>
      </c>
      <c r="X42" t="s">
        <v>61</v>
      </c>
      <c r="Y42" t="s">
        <v>62</v>
      </c>
      <c r="Z42" t="s">
        <v>63</v>
      </c>
    </row>
    <row r="43" spans="1:26" x14ac:dyDescent="0.55000000000000004">
      <c r="A43" s="24" t="s">
        <v>19</v>
      </c>
      <c r="B43" s="26">
        <v>1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52"/>
      <c r="Q43" t="s">
        <v>28</v>
      </c>
      <c r="R43">
        <f>SUMIF(B40:L40,Q43,B41:L41)</f>
        <v>0</v>
      </c>
      <c r="S43">
        <f>SUMIF(B40:L40,Q43,B42:L42)</f>
        <v>0</v>
      </c>
      <c r="T43">
        <f>SUMIF(B40:L40,Q43,B43:L43)</f>
        <v>0</v>
      </c>
      <c r="U43">
        <f>SUMIF(B40:L40,Q43,B44:L44)</f>
        <v>0</v>
      </c>
      <c r="V43">
        <f>SUMIF(B40:L40,Q43,B45:L45)</f>
        <v>0</v>
      </c>
      <c r="W43">
        <f>SUMIF(B40:L40,Q43,B46:L46)</f>
        <v>0</v>
      </c>
      <c r="X43">
        <f>SUMIF(B40:L40,Q43,B47:L47)</f>
        <v>5</v>
      </c>
      <c r="Y43">
        <f>SUMIF(B40:L40,Q43,B48:L48)</f>
        <v>0</v>
      </c>
      <c r="Z43">
        <f>SUMIF(B40:L40,Q43,B49:L49)</f>
        <v>0</v>
      </c>
    </row>
    <row r="44" spans="1:26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52"/>
      <c r="Q44" t="s">
        <v>27</v>
      </c>
      <c r="R44">
        <f>SUMIF(B40:L40,Q44,B41:L41)</f>
        <v>0</v>
      </c>
      <c r="S44">
        <f>SUMIF(B40:L40,Q44,B42:L42)</f>
        <v>0</v>
      </c>
      <c r="T44">
        <f>SUMIF(B40:L40,Q44,B43:L43)</f>
        <v>0</v>
      </c>
      <c r="U44">
        <f>SUMIF(B40:L40,Q44,B44:L44)</f>
        <v>0</v>
      </c>
      <c r="V44">
        <f>SUMIF(B40:L40,Q44,B45:L45)</f>
        <v>0</v>
      </c>
      <c r="W44">
        <f>SUMIF(B40:L40,Q44,B46:L46)</f>
        <v>0</v>
      </c>
      <c r="X44">
        <f>SUMIF(B40:L40,Q44,B47:L47)</f>
        <v>0</v>
      </c>
      <c r="Y44">
        <f>SUMIF(B40:L40,Q44,B48:L48)</f>
        <v>0</v>
      </c>
      <c r="Z44">
        <f>SUMIF(B40:L40,Q44,B49:L49)</f>
        <v>0</v>
      </c>
    </row>
    <row r="45" spans="1:26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  <c r="L45" s="22">
        <v>0</v>
      </c>
      <c r="M45" s="52"/>
      <c r="Q45" t="s">
        <v>29</v>
      </c>
      <c r="R45">
        <f>SUMIF(B40:L40,Q45,B41:L41)</f>
        <v>3</v>
      </c>
      <c r="S45">
        <f>SUMIF(B40:L40,Q45,B42:L42)</f>
        <v>0</v>
      </c>
      <c r="T45">
        <f>SUMIF(B40:L40,Q45,B43:L43)</f>
        <v>1</v>
      </c>
      <c r="U45">
        <f>SUMIF(B40:L40,Q45,B44:L44)</f>
        <v>0</v>
      </c>
      <c r="V45">
        <f>SUMIF(B40:L40,Q45,B45:L45)</f>
        <v>0</v>
      </c>
      <c r="W45">
        <f>SUMIF(B40:L40,Q45,B46:L46)</f>
        <v>0</v>
      </c>
      <c r="X45">
        <f>SUMIF(B40:L40,Q45,B47:L47)</f>
        <v>2</v>
      </c>
      <c r="Y45">
        <f>SUMIF(B40:L40,Q45,B48:L48)</f>
        <v>0</v>
      </c>
      <c r="Z45">
        <f>SUMIF(B40:L40,Q45,B49:L49)</f>
        <v>0</v>
      </c>
    </row>
    <row r="46" spans="1:26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  <c r="L46" s="22">
        <v>0</v>
      </c>
      <c r="M46" s="52"/>
      <c r="Q46" t="s">
        <v>36</v>
      </c>
      <c r="R46">
        <f>SUMIF(B40:L40,Q46,B41:L41)</f>
        <v>3</v>
      </c>
      <c r="S46">
        <f>SUMIF(B40:L40,Q46,B42:L42)</f>
        <v>0</v>
      </c>
      <c r="T46">
        <f>SUMIF(B40:L40,Q46,B43:L43)</f>
        <v>0</v>
      </c>
      <c r="U46">
        <f>SUMIF(B40:L40,Q46,B44:L44)</f>
        <v>0</v>
      </c>
      <c r="V46">
        <f>SUMIF(B40:L40,Q46,B45:L45)</f>
        <v>0</v>
      </c>
      <c r="W46">
        <f>SUMIF(B40:L40,Q46,B46:L46)</f>
        <v>0</v>
      </c>
      <c r="X46">
        <f>SUMIF(B40:L40,Q46,B47:L47)</f>
        <v>0</v>
      </c>
      <c r="Y46">
        <f>SUMIF(B40:L40,Q46,B48:L48)</f>
        <v>0</v>
      </c>
      <c r="Z46">
        <f>SUMIF(B40:L40,Q46,B49:L49)</f>
        <v>0</v>
      </c>
    </row>
    <row r="47" spans="1:26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H47" s="23">
        <v>5</v>
      </c>
      <c r="I47" s="23">
        <v>0</v>
      </c>
      <c r="J47" s="23">
        <v>0</v>
      </c>
      <c r="K47" s="23">
        <v>2</v>
      </c>
      <c r="L47" s="23">
        <v>0</v>
      </c>
      <c r="M47" s="52"/>
    </row>
    <row r="48" spans="1:26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H48" s="23">
        <v>0</v>
      </c>
      <c r="I48" s="23">
        <v>0</v>
      </c>
      <c r="J48" s="23">
        <v>0</v>
      </c>
      <c r="K48" s="23">
        <v>0</v>
      </c>
      <c r="L48" s="23">
        <v>0</v>
      </c>
      <c r="M48" s="52"/>
      <c r="Q48" s="43" t="s">
        <v>85</v>
      </c>
    </row>
    <row r="49" spans="1:26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H49" s="23">
        <v>0</v>
      </c>
      <c r="I49" s="23">
        <v>0</v>
      </c>
      <c r="J49" s="23">
        <v>0</v>
      </c>
      <c r="K49" s="23">
        <v>0</v>
      </c>
      <c r="L49" s="23">
        <v>0</v>
      </c>
      <c r="M49" s="52"/>
      <c r="Q49" s="42"/>
      <c r="R49" s="42" t="s">
        <v>0</v>
      </c>
      <c r="S49" s="42" t="s">
        <v>53</v>
      </c>
      <c r="T49" s="42" t="s">
        <v>54</v>
      </c>
    </row>
    <row r="50" spans="1:26" x14ac:dyDescent="0.55000000000000004">
      <c r="A50" s="24" t="s">
        <v>31</v>
      </c>
      <c r="B50" s="27">
        <f t="shared" ref="B50:L50" si="9">SUM(B41:B49)</f>
        <v>2</v>
      </c>
      <c r="C50" s="27">
        <f t="shared" si="9"/>
        <v>2</v>
      </c>
      <c r="D50" s="27">
        <f t="shared" si="9"/>
        <v>0</v>
      </c>
      <c r="E50" s="27">
        <f t="shared" si="9"/>
        <v>0</v>
      </c>
      <c r="F50" s="27">
        <f t="shared" si="9"/>
        <v>3</v>
      </c>
      <c r="G50" s="27">
        <f t="shared" si="9"/>
        <v>0</v>
      </c>
      <c r="H50" s="27">
        <f t="shared" si="9"/>
        <v>5</v>
      </c>
      <c r="I50" s="27">
        <f t="shared" si="9"/>
        <v>0</v>
      </c>
      <c r="J50" s="27">
        <f t="shared" si="9"/>
        <v>0</v>
      </c>
      <c r="K50" s="27">
        <f t="shared" si="9"/>
        <v>2</v>
      </c>
      <c r="L50" s="27">
        <f t="shared" si="9"/>
        <v>0</v>
      </c>
      <c r="M50" s="31"/>
      <c r="Q50" s="1" t="s">
        <v>29</v>
      </c>
      <c r="R50" s="1">
        <f>(SUMIF(B40:L40,Q50,B41:L41))+(SUMIF(B40:L40,Q50,B44:L44))+(SUMIF(B40:L40,Q50,B47:L47))</f>
        <v>5</v>
      </c>
      <c r="S50" s="1">
        <f>(SUMIF(B40:L40,Q50,B42:L42))+(SUMIF(B40:L40,Q50,B45:L45))+(SUMIF(B40:L40,Q50,B48:L48))</f>
        <v>0</v>
      </c>
      <c r="T50" s="1">
        <f>(SUMIF(B40:L40,Q50,B43:L43))+(SUMIF(B40:L40,Q50,B46:L46))+(SUMIF(B40:L40,Q50,B49:L49))</f>
        <v>1</v>
      </c>
    </row>
    <row r="51" spans="1:26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0</v>
      </c>
      <c r="G51" s="20">
        <f t="shared" si="10"/>
        <v>0</v>
      </c>
      <c r="H51" s="20">
        <f>SUM(H44:H46)</f>
        <v>0</v>
      </c>
      <c r="I51" s="20">
        <f>SUM(I44:I46)</f>
        <v>0</v>
      </c>
      <c r="J51" s="20">
        <f>SUM(J44:J46)</f>
        <v>0</v>
      </c>
      <c r="K51" s="20">
        <f>SUM(K44:K46)</f>
        <v>0</v>
      </c>
      <c r="L51" s="20">
        <f>SUM(L44:L46)</f>
        <v>0</v>
      </c>
      <c r="M51" s="31"/>
      <c r="Q51" s="1" t="s">
        <v>28</v>
      </c>
      <c r="R51" s="1">
        <f>(SUMIF(B40:L40,Q51,B41:L41))+(SUMIF(B40:L40,Q51,B44:L44))+(SUMIF(B40:L40,Q51,B47:L47))</f>
        <v>5</v>
      </c>
      <c r="S51" s="1">
        <f>(SUMIF(B40:L40,Q51,B42:L42))+(SUMIF(B40:L40,Q51,B45:L45))+(SUMIF(B40:L40,Q51,B48:L48))</f>
        <v>0</v>
      </c>
      <c r="T51" s="1">
        <f>(SUMIF(B40:L40,Q51,B43:L43))+(SUMIF(B40:L40,Q51,B46:L46))+(SUMIF(B40:L40,Q51,B49:L49))</f>
        <v>0</v>
      </c>
    </row>
    <row r="52" spans="1:26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  <c r="H52" s="21">
        <f>SUM(H47:H49)</f>
        <v>5</v>
      </c>
      <c r="I52" s="21">
        <f>SUM(I47:I49)</f>
        <v>0</v>
      </c>
      <c r="J52" s="21">
        <f>SUM(J47:J49)</f>
        <v>0</v>
      </c>
      <c r="K52" s="21">
        <f>SUM(K47:K49)</f>
        <v>2</v>
      </c>
      <c r="L52" s="21">
        <f>SUM(L47:L49)</f>
        <v>0</v>
      </c>
      <c r="M52" s="31"/>
      <c r="Q52" s="1" t="s">
        <v>27</v>
      </c>
      <c r="R52" s="1">
        <f>(SUMIF(B40:L40,Q52,B41:L41))+(SUMIF(B40:L40,Q52,B44:L44))+(SUMIF(B40:L40,Q52,B47:L47))</f>
        <v>0</v>
      </c>
      <c r="S52" s="1">
        <f>(SUMIF(B40:L40,Q52,B42:L42))+(SUMIF(B40:L40,Q52,B45:L45))+(SUMIF(B40:L40,Q52,B48:L48))</f>
        <v>0</v>
      </c>
      <c r="T52" s="1">
        <f>(SUMIF(B40:G40,Q52,B43:G43))+(SUMIF(B40:G40,Q52,B46:G46))+(SUMIF(B40:G40,Q52,B49:G49))</f>
        <v>0</v>
      </c>
    </row>
    <row r="53" spans="1:26" x14ac:dyDescent="0.55000000000000004">
      <c r="Q53" s="1" t="s">
        <v>64</v>
      </c>
      <c r="R53" s="1">
        <f>(SUMIF(B40:L40,Q53,B41:L41))+(SUMIF(B41:L41,Q53,B45:L45))+(SUMIF(B41:L41,Q53,B48:L48))</f>
        <v>3</v>
      </c>
      <c r="S53" s="1">
        <f>(SUMIF(B40:L40,Q53,B42:L42))+(SUMIF(B41:L41,Q53,B45:L45))+(SUMIF(B41:L41,Q53,B48:L48))</f>
        <v>0</v>
      </c>
      <c r="T53">
        <f>(SUMIF(B40:G40,Q53,B43:G43))+(SUMIF(B41:G41,Q53,B47:G47))+(SUMIF(B41:G41,Q53,B50:G50))</f>
        <v>0</v>
      </c>
    </row>
    <row r="57" spans="1:26" x14ac:dyDescent="0.55000000000000004">
      <c r="A57" s="1" t="s">
        <v>23</v>
      </c>
      <c r="B57" s="50" t="s">
        <v>161</v>
      </c>
      <c r="C57" s="50" t="s">
        <v>161</v>
      </c>
      <c r="D57" s="50" t="s">
        <v>161</v>
      </c>
      <c r="E57" s="50" t="s">
        <v>161</v>
      </c>
      <c r="F57" s="50" t="s">
        <v>161</v>
      </c>
      <c r="G57" s="50" t="s">
        <v>161</v>
      </c>
      <c r="H57" s="50" t="s">
        <v>161</v>
      </c>
      <c r="I57" s="3"/>
      <c r="J57" s="3"/>
      <c r="K57" s="3"/>
      <c r="L57" s="3"/>
      <c r="M57" s="3"/>
    </row>
    <row r="58" spans="1:26" x14ac:dyDescent="0.55000000000000004">
      <c r="A58" s="1" t="s">
        <v>34</v>
      </c>
      <c r="B58" s="2" t="s">
        <v>36</v>
      </c>
      <c r="C58" s="2" t="s">
        <v>27</v>
      </c>
      <c r="D58" s="2" t="s">
        <v>28</v>
      </c>
      <c r="E58" s="2" t="s">
        <v>28</v>
      </c>
      <c r="F58" s="2" t="s">
        <v>29</v>
      </c>
      <c r="G58" s="2" t="s">
        <v>27</v>
      </c>
      <c r="H58" s="2" t="s">
        <v>29</v>
      </c>
      <c r="I58" s="3"/>
      <c r="J58" s="3"/>
      <c r="K58" s="3"/>
      <c r="L58" s="3"/>
      <c r="M58" s="3"/>
    </row>
    <row r="59" spans="1:26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2</v>
      </c>
      <c r="F59" s="25">
        <v>0</v>
      </c>
      <c r="G59" s="26">
        <v>0</v>
      </c>
      <c r="H59" s="26">
        <v>1</v>
      </c>
      <c r="I59" s="52"/>
      <c r="J59" s="52"/>
      <c r="K59" s="52"/>
      <c r="L59" s="52"/>
      <c r="M59" s="52"/>
    </row>
    <row r="60" spans="1:26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52"/>
      <c r="J60" s="52"/>
      <c r="K60" s="52"/>
      <c r="L60" s="52"/>
      <c r="M60" s="52"/>
    </row>
    <row r="61" spans="1:26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52"/>
      <c r="J61" s="52"/>
      <c r="K61" s="52"/>
      <c r="L61" s="52"/>
      <c r="M61" s="52"/>
      <c r="Q61" t="s">
        <v>13</v>
      </c>
      <c r="R61" t="s">
        <v>55</v>
      </c>
      <c r="S61" t="s">
        <v>56</v>
      </c>
      <c r="T61" t="s">
        <v>57</v>
      </c>
      <c r="U61" t="s">
        <v>58</v>
      </c>
      <c r="V61" t="s">
        <v>59</v>
      </c>
      <c r="W61" t="s">
        <v>60</v>
      </c>
      <c r="X61" t="s">
        <v>61</v>
      </c>
      <c r="Y61" t="s">
        <v>62</v>
      </c>
      <c r="Z61" t="s">
        <v>63</v>
      </c>
    </row>
    <row r="62" spans="1:26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52"/>
      <c r="J62" s="52"/>
      <c r="K62" s="52"/>
      <c r="L62" s="52"/>
      <c r="M62" s="52"/>
      <c r="Q62" t="s">
        <v>36</v>
      </c>
      <c r="R62">
        <f>SUMIF(B58:H58,Q62,B59:H59)</f>
        <v>2</v>
      </c>
      <c r="S62">
        <f>SUMIF(B58:H58,Q62,B60:H60)</f>
        <v>0</v>
      </c>
      <c r="T62">
        <f>SUMIF(B58:H58,Q62,B61:H61)</f>
        <v>0</v>
      </c>
      <c r="U62">
        <f>SUMIF(B58:H58,Q62,B62:H62)</f>
        <v>0</v>
      </c>
      <c r="V62">
        <f>SUMIF(B58:H58,Q62,B63:H63)</f>
        <v>0</v>
      </c>
      <c r="W62">
        <f>SUMIF(B58:H58,Q62,B64:H64)</f>
        <v>0</v>
      </c>
      <c r="X62">
        <f>SUMIF(B58:H58,Q62,B65:H65)</f>
        <v>0</v>
      </c>
      <c r="Y62">
        <f>SUMIF(B58:H58,Q62,B66:H66)</f>
        <v>0</v>
      </c>
      <c r="Z62">
        <f>SUMIF(B58:H58,Q62,B67:H67)</f>
        <v>0</v>
      </c>
    </row>
    <row r="63" spans="1:26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52"/>
      <c r="J63" s="52"/>
      <c r="K63" s="52"/>
      <c r="L63" s="52"/>
      <c r="M63" s="52"/>
      <c r="Q63" t="s">
        <v>27</v>
      </c>
      <c r="R63">
        <f>SUMIF(B58:H58,Q63,B59:H59)</f>
        <v>0</v>
      </c>
      <c r="S63">
        <f>SUMIF(B58:H58,Q63,B60:H60)</f>
        <v>0</v>
      </c>
      <c r="T63">
        <f>SUMIF(B58:H58,Q63,B61:H61)</f>
        <v>0</v>
      </c>
      <c r="U63">
        <f>SUMIF(B58:H58,Q63,B62:H62)</f>
        <v>0</v>
      </c>
      <c r="V63">
        <f>SUMIF(B58:H58,Q63,B63:H63)</f>
        <v>0</v>
      </c>
      <c r="W63">
        <f>SUMIF(B58:H58,Q63,B64:H64)</f>
        <v>0</v>
      </c>
      <c r="X63">
        <f>SUMIF(B58:H58,Q63,B65:H65)</f>
        <v>0</v>
      </c>
      <c r="Y63">
        <f>SUMIF(B58:H58,Q63,B66:H66)</f>
        <v>0</v>
      </c>
      <c r="Z63">
        <f>SUMIF(B58:H58,Q63,B67:H67)</f>
        <v>0</v>
      </c>
    </row>
    <row r="64" spans="1:26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52"/>
      <c r="J64" s="52"/>
      <c r="K64" s="52"/>
      <c r="L64" s="52"/>
      <c r="M64" s="52"/>
      <c r="Q64" t="s">
        <v>29</v>
      </c>
      <c r="R64">
        <f>SUMIF(B58:H58,Q64,B59:H59)</f>
        <v>1</v>
      </c>
      <c r="S64">
        <f>SUMIF(B58:H58,Q64,B60:H60)</f>
        <v>0</v>
      </c>
      <c r="T64">
        <f>SUMIF(B58:H58,Q64,B61:H61)</f>
        <v>0</v>
      </c>
      <c r="U64">
        <f>SUMIF(B58:H58,Q64,B62:H62)</f>
        <v>0</v>
      </c>
      <c r="V64">
        <f>SUMIF(B58:H58,Q64,B63:H63)</f>
        <v>0</v>
      </c>
      <c r="W64">
        <f>SUMIF(B58:H58,Q64,B64:H64)</f>
        <v>0</v>
      </c>
      <c r="X64">
        <f>SUMIF(B58:H58,Q64,B65:H65)</f>
        <v>0</v>
      </c>
      <c r="Y64">
        <f>SUMIF(B58:H58,Q64,B66:H66)</f>
        <v>0</v>
      </c>
      <c r="Z64">
        <f>SUMIF(B58:H58,Q64,B67:H67)</f>
        <v>0</v>
      </c>
    </row>
    <row r="65" spans="1:26" x14ac:dyDescent="0.55000000000000004">
      <c r="A65" s="15" t="s">
        <v>24</v>
      </c>
      <c r="B65" s="23">
        <v>0</v>
      </c>
      <c r="C65" s="23">
        <v>0</v>
      </c>
      <c r="D65" s="23">
        <v>7</v>
      </c>
      <c r="E65" s="16">
        <v>0</v>
      </c>
      <c r="F65" s="16">
        <v>0</v>
      </c>
      <c r="G65" s="23">
        <v>0</v>
      </c>
      <c r="H65" s="23">
        <v>0</v>
      </c>
      <c r="I65" s="52"/>
      <c r="J65" s="52"/>
      <c r="K65" s="52"/>
      <c r="L65" s="52"/>
      <c r="M65" s="52"/>
      <c r="Q65" t="s">
        <v>28</v>
      </c>
      <c r="R65">
        <f>SUMIF(B58:H58,Q65,B59:H59)</f>
        <v>2</v>
      </c>
      <c r="S65">
        <f>SUMIF(B58:H58,Q65,B60:H60)</f>
        <v>0</v>
      </c>
      <c r="T65">
        <f>SUMIF(B58:H58,Q65,B61:H61)</f>
        <v>0</v>
      </c>
      <c r="U65">
        <f>SUMIF(B58:H58,Q65,B62:H62)</f>
        <v>0</v>
      </c>
      <c r="V65">
        <f>SUMIF(B58:H58,Q65,B63:H63)</f>
        <v>0</v>
      </c>
      <c r="W65">
        <f>SUMIF(B58:H58,Q65,B64:H64)</f>
        <v>0</v>
      </c>
      <c r="X65">
        <f>SUMIF(B58:H58,Q65,B65:H65)</f>
        <v>7</v>
      </c>
      <c r="Y65">
        <f>SUMIF(B58:H58,Q65,B66:H66)</f>
        <v>0</v>
      </c>
      <c r="Z65">
        <f>SUMIF(B58:H58,Q65,B67:H67)</f>
        <v>0</v>
      </c>
    </row>
    <row r="66" spans="1:26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52"/>
      <c r="J66" s="52"/>
      <c r="K66" s="52"/>
      <c r="L66" s="52"/>
      <c r="M66" s="52"/>
      <c r="Q66" s="43"/>
    </row>
    <row r="67" spans="1:26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52"/>
      <c r="J67" s="52"/>
      <c r="K67" s="52"/>
      <c r="L67" s="52"/>
      <c r="M67" s="52"/>
    </row>
    <row r="68" spans="1:26" x14ac:dyDescent="0.55000000000000004">
      <c r="A68" s="24" t="s">
        <v>31</v>
      </c>
      <c r="B68" s="27">
        <f t="shared" ref="B68:G68" si="12">SUM(B59:B61)</f>
        <v>2</v>
      </c>
      <c r="C68" s="27">
        <f t="shared" si="12"/>
        <v>0</v>
      </c>
      <c r="D68" s="27">
        <f t="shared" si="12"/>
        <v>0</v>
      </c>
      <c r="E68" s="27">
        <f t="shared" si="12"/>
        <v>2</v>
      </c>
      <c r="F68" s="27">
        <f t="shared" si="12"/>
        <v>0</v>
      </c>
      <c r="G68" s="27">
        <f t="shared" si="12"/>
        <v>0</v>
      </c>
      <c r="H68" s="27">
        <f>SUM(H59:H61)</f>
        <v>1</v>
      </c>
      <c r="I68" s="31"/>
      <c r="J68" s="31"/>
      <c r="K68" s="31"/>
      <c r="L68" s="31"/>
      <c r="M68" s="31"/>
      <c r="Q68" s="43" t="s">
        <v>89</v>
      </c>
    </row>
    <row r="69" spans="1:26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0</v>
      </c>
      <c r="G69" s="20">
        <f t="shared" si="13"/>
        <v>0</v>
      </c>
      <c r="H69" s="20">
        <f>SUM(H62:H64)</f>
        <v>0</v>
      </c>
      <c r="I69" s="31"/>
      <c r="J69" s="31"/>
      <c r="K69" s="31"/>
      <c r="L69" s="31"/>
      <c r="M69" s="31"/>
      <c r="Q69" s="42"/>
      <c r="R69" s="42" t="s">
        <v>0</v>
      </c>
      <c r="S69" s="42" t="s">
        <v>53</v>
      </c>
      <c r="T69" s="42" t="s">
        <v>54</v>
      </c>
    </row>
    <row r="70" spans="1:26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7</v>
      </c>
      <c r="E70" s="21">
        <f t="shared" si="14"/>
        <v>0</v>
      </c>
      <c r="F70" s="21">
        <f t="shared" si="14"/>
        <v>0</v>
      </c>
      <c r="G70" s="21">
        <f t="shared" si="14"/>
        <v>0</v>
      </c>
      <c r="H70" s="21">
        <f>SUM(H65:H67)</f>
        <v>0</v>
      </c>
      <c r="I70" s="31"/>
      <c r="J70" s="31"/>
      <c r="K70" s="31"/>
      <c r="L70" s="31"/>
      <c r="M70" s="31"/>
      <c r="Q70" s="1" t="s">
        <v>36</v>
      </c>
      <c r="R70" s="1">
        <f>(SUMIF(B58:H58,Q70,B59:H59))+(SUMIF(B58:H58,Q70,B62:H62))+(SUMIF(B58:H58,Q70,B65:H65))</f>
        <v>2</v>
      </c>
      <c r="S70" s="1">
        <f>(SUMIF(B59:H59,Q70,B60:H60))+(SUMIF(B59:G59,Q70,B63:H63))+(SUMIF(B59:G59,Q70,B66:H66))</f>
        <v>0</v>
      </c>
      <c r="T70" s="1">
        <f>(SUMIF(B58:G58,Q70,B61:H61))+(SUMIF(B58:G58,Q70,B64:H64))+(SUMIF(B58:G58,Q70,B67:H67))</f>
        <v>0</v>
      </c>
    </row>
    <row r="71" spans="1:26" x14ac:dyDescent="0.55000000000000004">
      <c r="Q71" s="1" t="s">
        <v>28</v>
      </c>
      <c r="R71" s="1">
        <f>(SUMIF(B58:H58,Q71,B59:H59))+(SUMIF(B58:H58,Q71,B62:H62))+(SUMIF(B58:H58,Q71,B65:H65))</f>
        <v>9</v>
      </c>
      <c r="S71" s="1">
        <f>(SUMIF(B58:H58,Q71,B60:H60))+(SUMIF(B58:H58,Q71,B63:H63))+(SUMIF(B58:H58,Q71,B66:H66))</f>
        <v>0</v>
      </c>
      <c r="T71" s="1">
        <f>(SUMIF(B58:H58,Q71,B61:H61))+(SUMIF(B58:H58,Q71,B64:H64))+(SUMIF(B58:H58,Q71,B67:H67))</f>
        <v>0</v>
      </c>
    </row>
    <row r="72" spans="1:26" x14ac:dyDescent="0.55000000000000004">
      <c r="Q72" s="1" t="s">
        <v>27</v>
      </c>
      <c r="R72" s="1">
        <f>(SUMIF(B58:H58,Q72,B59:H59))+(SUMIF(B58:H58,Q72,B62:H62))+(SUMIF(B58:H58,Q72,B65:H65))</f>
        <v>0</v>
      </c>
      <c r="S72" s="1">
        <f>(SUMIF(B58:H58,Q72,B60:H60))+(SUMIF(B58:H58,Q72,B63:H63))+(SUMIF(B58:H58,Q72,B66:H66))</f>
        <v>0</v>
      </c>
      <c r="T72" s="1">
        <f>(SUMIF(B58:H58,Q72,B61:H61))+(SUMIF(B58:H58,Q72,B64:H64))+(SUMIF(B58:H58,Q72,B67:H67))</f>
        <v>0</v>
      </c>
    </row>
    <row r="73" spans="1:26" x14ac:dyDescent="0.55000000000000004">
      <c r="Q73" s="1" t="s">
        <v>29</v>
      </c>
      <c r="R73" s="1">
        <f>(SUMIF(B58:H58,Q73,B59:H59))+(SUMIF(B58:H58,Q73,B62:H62))+(SUMIF(B58:H58,Q73,B65:H65))</f>
        <v>1</v>
      </c>
      <c r="S73" s="1">
        <f>(SUMIF(B58:H58,Q73,B60:H60))+(SUMIF(B58:H58,Q73,B63:H63))+(SUMIF(B58:H58,Q73,B66:H66))</f>
        <v>0</v>
      </c>
      <c r="T73" s="1">
        <f>(SUMIF(B58:H58,Q73,B61:H61))+(SUMIF(B58:H58,Q73,B64:H64))+(SUMIF(B58:H58,Q73,B67:H67))</f>
        <v>0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6083E-376D-490E-AD5B-06D575B8D23C}">
  <sheetPr codeName="Sheet22"/>
  <dimension ref="A1:K28"/>
  <sheetViews>
    <sheetView topLeftCell="A2" workbookViewId="0">
      <selection activeCell="A32" sqref="A3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1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1" x14ac:dyDescent="0.55000000000000004">
      <c r="A1" s="55" t="s">
        <v>451</v>
      </c>
      <c r="B1" s="56"/>
      <c r="C1" s="57"/>
      <c r="D1" s="57"/>
      <c r="E1" s="57"/>
      <c r="F1" s="57"/>
      <c r="G1" s="57"/>
    </row>
    <row r="2" spans="1:11" x14ac:dyDescent="0.55000000000000004">
      <c r="A2" s="57"/>
      <c r="B2" s="56"/>
      <c r="C2" s="57"/>
      <c r="D2" s="57"/>
      <c r="E2" s="57"/>
      <c r="F2" s="57"/>
      <c r="G2" s="57"/>
    </row>
    <row r="3" spans="1:11" x14ac:dyDescent="0.55000000000000004">
      <c r="A3" s="1" t="s">
        <v>23</v>
      </c>
      <c r="B3" s="50" t="s">
        <v>443</v>
      </c>
      <c r="C3" s="50" t="s">
        <v>443</v>
      </c>
      <c r="D3" s="50" t="s">
        <v>443</v>
      </c>
      <c r="E3" s="50" t="s">
        <v>443</v>
      </c>
      <c r="F3" s="50" t="s">
        <v>443</v>
      </c>
      <c r="G3" s="50" t="s">
        <v>443</v>
      </c>
      <c r="H3" s="50" t="s">
        <v>443</v>
      </c>
      <c r="I3" s="50" t="s">
        <v>443</v>
      </c>
      <c r="J3" s="50" t="s">
        <v>443</v>
      </c>
      <c r="K3" s="50" t="s">
        <v>443</v>
      </c>
    </row>
    <row r="4" spans="1:11" x14ac:dyDescent="0.55000000000000004">
      <c r="A4" s="1" t="s">
        <v>34</v>
      </c>
      <c r="B4" s="2" t="s">
        <v>390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2" t="s">
        <v>167</v>
      </c>
      <c r="K4" s="2" t="s">
        <v>391</v>
      </c>
    </row>
    <row r="5" spans="1:11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2</v>
      </c>
      <c r="H5" s="26">
        <v>0</v>
      </c>
      <c r="I5" s="26">
        <v>0</v>
      </c>
      <c r="J5" s="26">
        <v>0</v>
      </c>
      <c r="K5" s="26">
        <v>0</v>
      </c>
    </row>
    <row r="6" spans="1:11" x14ac:dyDescent="0.55000000000000004">
      <c r="A6" s="24" t="s">
        <v>178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</row>
    <row r="7" spans="1:11" x14ac:dyDescent="0.55000000000000004">
      <c r="A7" s="24" t="s">
        <v>447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</row>
    <row r="8" spans="1:11" x14ac:dyDescent="0.55000000000000004">
      <c r="A8" s="24" t="s">
        <v>448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</row>
    <row r="9" spans="1:11" x14ac:dyDescent="0.55000000000000004">
      <c r="A9" s="24" t="s">
        <v>177</v>
      </c>
      <c r="B9" s="26">
        <v>0</v>
      </c>
      <c r="C9" s="26">
        <v>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</row>
    <row r="10" spans="1:11" x14ac:dyDescent="0.55000000000000004">
      <c r="A10" s="17" t="s">
        <v>179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55000000000000004">
      <c r="A11" s="17" t="s">
        <v>181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55000000000000004">
      <c r="A12" s="17" t="s">
        <v>449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55000000000000004">
      <c r="A13" s="17" t="s">
        <v>450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55000000000000004">
      <c r="A14" s="17" t="s">
        <v>180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55000000000000004">
      <c r="A15" s="15" t="s">
        <v>182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1" x14ac:dyDescent="0.55000000000000004">
      <c r="A16" s="15" t="s">
        <v>184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</row>
    <row r="17" spans="1:11" x14ac:dyDescent="0.55000000000000004">
      <c r="A17" s="15" t="s">
        <v>452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</row>
    <row r="18" spans="1:11" x14ac:dyDescent="0.55000000000000004">
      <c r="A18" s="15" t="s">
        <v>453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</row>
    <row r="19" spans="1:11" x14ac:dyDescent="0.55000000000000004">
      <c r="A19" s="15" t="s">
        <v>183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</row>
    <row r="20" spans="1:11" x14ac:dyDescent="0.55000000000000004">
      <c r="A20" s="58" t="s">
        <v>185</v>
      </c>
      <c r="B20" s="59"/>
      <c r="C20" s="59"/>
      <c r="D20" s="59"/>
      <c r="E20" s="59"/>
      <c r="F20" s="59"/>
      <c r="G20" s="59"/>
      <c r="H20" s="59"/>
      <c r="I20" s="59"/>
      <c r="J20" s="59"/>
      <c r="K20" s="59"/>
    </row>
    <row r="21" spans="1:11" x14ac:dyDescent="0.55000000000000004">
      <c r="A21" s="58" t="s">
        <v>187</v>
      </c>
      <c r="B21" s="59"/>
      <c r="C21" s="59"/>
      <c r="D21" s="59"/>
      <c r="E21" s="59"/>
      <c r="F21" s="59"/>
      <c r="G21" s="59"/>
      <c r="H21" s="59"/>
      <c r="I21" s="59"/>
      <c r="J21" s="59"/>
      <c r="K21" s="59"/>
    </row>
    <row r="22" spans="1:11" x14ac:dyDescent="0.55000000000000004">
      <c r="A22" s="58" t="s">
        <v>454</v>
      </c>
      <c r="B22" s="59"/>
      <c r="C22" s="59"/>
      <c r="D22" s="59"/>
      <c r="E22" s="59"/>
      <c r="F22" s="59"/>
      <c r="G22" s="59"/>
      <c r="H22" s="59"/>
      <c r="I22" s="59"/>
      <c r="J22" s="59"/>
      <c r="K22" s="59"/>
    </row>
    <row r="23" spans="1:11" x14ac:dyDescent="0.55000000000000004">
      <c r="A23" s="58" t="s">
        <v>455</v>
      </c>
      <c r="B23" s="59"/>
      <c r="C23" s="59"/>
      <c r="D23" s="59"/>
      <c r="E23" s="59"/>
      <c r="F23" s="59"/>
      <c r="G23" s="59"/>
      <c r="H23" s="59"/>
      <c r="I23" s="59"/>
      <c r="J23" s="59"/>
      <c r="K23" s="59"/>
    </row>
    <row r="24" spans="1:11" x14ac:dyDescent="0.55000000000000004">
      <c r="A24" s="58" t="s">
        <v>186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</row>
    <row r="25" spans="1:11" x14ac:dyDescent="0.55000000000000004">
      <c r="A25" s="24" t="s">
        <v>198</v>
      </c>
      <c r="B25" s="27">
        <f t="shared" ref="B25:K25" si="0">B5+B10+B15+B20</f>
        <v>0</v>
      </c>
      <c r="C25" s="27">
        <f t="shared" si="0"/>
        <v>0</v>
      </c>
      <c r="D25" s="27">
        <f t="shared" si="0"/>
        <v>0</v>
      </c>
      <c r="E25" s="27">
        <f t="shared" si="0"/>
        <v>0</v>
      </c>
      <c r="F25" s="27">
        <f t="shared" si="0"/>
        <v>0</v>
      </c>
      <c r="G25" s="27">
        <f t="shared" si="0"/>
        <v>2</v>
      </c>
      <c r="H25" s="27">
        <f t="shared" si="0"/>
        <v>0</v>
      </c>
      <c r="I25" s="27">
        <f t="shared" si="0"/>
        <v>0</v>
      </c>
      <c r="J25" s="27">
        <f t="shared" si="0"/>
        <v>0</v>
      </c>
      <c r="K25" s="27">
        <f t="shared" si="0"/>
        <v>0</v>
      </c>
    </row>
    <row r="26" spans="1:11" x14ac:dyDescent="0.55000000000000004">
      <c r="A26" s="17" t="s">
        <v>199</v>
      </c>
      <c r="B26" s="20">
        <f t="shared" ref="B26:K26" si="1">B6+B11+B16+B21</f>
        <v>0</v>
      </c>
      <c r="C26" s="20">
        <f t="shared" si="1"/>
        <v>0</v>
      </c>
      <c r="D26" s="20">
        <f t="shared" si="1"/>
        <v>0</v>
      </c>
      <c r="E26" s="20">
        <f t="shared" si="1"/>
        <v>0</v>
      </c>
      <c r="F26" s="20">
        <f t="shared" si="1"/>
        <v>0</v>
      </c>
      <c r="G26" s="20">
        <f t="shared" si="1"/>
        <v>0</v>
      </c>
      <c r="H26" s="20">
        <f t="shared" si="1"/>
        <v>0</v>
      </c>
      <c r="I26" s="20">
        <f t="shared" si="1"/>
        <v>0</v>
      </c>
      <c r="J26" s="20">
        <f t="shared" si="1"/>
        <v>0</v>
      </c>
      <c r="K26" s="20">
        <f t="shared" si="1"/>
        <v>0</v>
      </c>
    </row>
    <row r="27" spans="1:11" x14ac:dyDescent="0.55000000000000004">
      <c r="A27" s="15" t="s">
        <v>200</v>
      </c>
      <c r="B27" s="21">
        <f t="shared" ref="B27:K27" si="2">B7+B12+B17+B22</f>
        <v>0</v>
      </c>
      <c r="C27" s="21">
        <f t="shared" si="2"/>
        <v>0</v>
      </c>
      <c r="D27" s="21">
        <f t="shared" si="2"/>
        <v>0</v>
      </c>
      <c r="E27" s="21">
        <f t="shared" si="2"/>
        <v>0</v>
      </c>
      <c r="F27" s="21">
        <f t="shared" si="2"/>
        <v>0</v>
      </c>
      <c r="G27" s="21">
        <f t="shared" si="2"/>
        <v>0</v>
      </c>
      <c r="H27" s="21">
        <f t="shared" si="2"/>
        <v>0</v>
      </c>
      <c r="I27" s="21">
        <f t="shared" si="2"/>
        <v>0</v>
      </c>
      <c r="J27" s="21">
        <f t="shared" si="2"/>
        <v>0</v>
      </c>
      <c r="K27" s="21">
        <f t="shared" si="2"/>
        <v>0</v>
      </c>
    </row>
    <row r="28" spans="1:11" x14ac:dyDescent="0.55000000000000004">
      <c r="B28" s="31"/>
      <c r="C28" s="31"/>
      <c r="D28" s="31"/>
      <c r="E28" s="31"/>
      <c r="F28" s="31"/>
      <c r="G28" s="31"/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B766A-2CFE-4E49-A7D9-855826EFE6D7}">
  <sheetPr codeName="Sheet15"/>
  <dimension ref="A1:J39"/>
  <sheetViews>
    <sheetView topLeftCell="A7" workbookViewId="0">
      <selection activeCell="B17" sqref="B17:B19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173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0" t="s">
        <v>162</v>
      </c>
      <c r="I3" s="50" t="s">
        <v>162</v>
      </c>
      <c r="J3" s="60"/>
    </row>
    <row r="4" spans="1:10" x14ac:dyDescent="0.55000000000000004">
      <c r="A4" s="1" t="s">
        <v>34</v>
      </c>
      <c r="B4" s="2" t="s">
        <v>68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3"/>
    </row>
    <row r="5" spans="1:10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177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178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179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180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181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182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183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184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185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186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187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24" t="s">
        <v>201</v>
      </c>
      <c r="B17" s="27">
        <f>B5+B8+B11+B14</f>
        <v>0</v>
      </c>
      <c r="C17" s="27">
        <f t="shared" ref="C17:I17" si="0">C5+C8+C11+C14</f>
        <v>2</v>
      </c>
      <c r="D17" s="27">
        <f t="shared" si="0"/>
        <v>0</v>
      </c>
      <c r="E17" s="27">
        <f t="shared" si="0"/>
        <v>1</v>
      </c>
      <c r="F17" s="27">
        <f t="shared" si="0"/>
        <v>0</v>
      </c>
      <c r="G17" s="27">
        <f t="shared" si="0"/>
        <v>3</v>
      </c>
      <c r="H17" s="27">
        <f t="shared" si="0"/>
        <v>1</v>
      </c>
      <c r="I17" s="27">
        <f t="shared" si="0"/>
        <v>0</v>
      </c>
      <c r="J17" s="31"/>
    </row>
    <row r="18" spans="1:10" x14ac:dyDescent="0.55000000000000004">
      <c r="A18" s="17" t="s">
        <v>202</v>
      </c>
      <c r="B18" s="20">
        <f>B6+B9+B12+B15</f>
        <v>0</v>
      </c>
      <c r="C18" s="20">
        <f t="shared" ref="C18:I18" si="1">C6+C9+C12+C15</f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31"/>
    </row>
    <row r="19" spans="1:10" x14ac:dyDescent="0.55000000000000004">
      <c r="A19" s="15" t="s">
        <v>203</v>
      </c>
      <c r="B19" s="21">
        <f>B7+B10+B13+B16</f>
        <v>0</v>
      </c>
      <c r="C19" s="21">
        <f t="shared" ref="C19:I19" si="2">C7+C10+C13+C16</f>
        <v>0</v>
      </c>
      <c r="D19" s="21">
        <f t="shared" si="2"/>
        <v>0</v>
      </c>
      <c r="E19" s="21">
        <f t="shared" si="2"/>
        <v>0</v>
      </c>
      <c r="F19" s="21">
        <f t="shared" si="2"/>
        <v>0</v>
      </c>
      <c r="G19" s="21">
        <f t="shared" si="2"/>
        <v>0</v>
      </c>
      <c r="H19" s="21">
        <f t="shared" si="2"/>
        <v>0</v>
      </c>
      <c r="I19" s="21">
        <f t="shared" si="2"/>
        <v>0</v>
      </c>
      <c r="J19" s="31"/>
    </row>
    <row r="20" spans="1:10" x14ac:dyDescent="0.55000000000000004">
      <c r="B20" s="31"/>
      <c r="C20" s="31"/>
      <c r="D20" s="31"/>
      <c r="E20" s="31"/>
      <c r="F20" s="31"/>
      <c r="G20" s="31"/>
    </row>
    <row r="23" spans="1:10" x14ac:dyDescent="0.55000000000000004">
      <c r="A23" s="1" t="s">
        <v>23</v>
      </c>
      <c r="B23" s="50" t="s">
        <v>196</v>
      </c>
      <c r="C23" s="50" t="s">
        <v>196</v>
      </c>
      <c r="D23" s="50" t="s">
        <v>196</v>
      </c>
      <c r="E23" s="50" t="s">
        <v>196</v>
      </c>
      <c r="F23" s="50" t="s">
        <v>196</v>
      </c>
      <c r="G23" s="50" t="s">
        <v>196</v>
      </c>
      <c r="H23" s="50" t="s">
        <v>196</v>
      </c>
      <c r="I23" s="50" t="s">
        <v>196</v>
      </c>
      <c r="J23" s="50" t="s">
        <v>196</v>
      </c>
    </row>
    <row r="24" spans="1:10" x14ac:dyDescent="0.55000000000000004">
      <c r="A24" s="1" t="s">
        <v>34</v>
      </c>
      <c r="B24" s="2" t="s">
        <v>68</v>
      </c>
      <c r="C24" s="2" t="s">
        <v>100</v>
      </c>
      <c r="D24" s="2" t="s">
        <v>2</v>
      </c>
      <c r="E24" s="2" t="s">
        <v>15</v>
      </c>
      <c r="F24" s="2" t="s">
        <v>152</v>
      </c>
      <c r="G24" s="2" t="s">
        <v>150</v>
      </c>
      <c r="H24" s="2" t="s">
        <v>151</v>
      </c>
      <c r="I24" s="2" t="s">
        <v>40</v>
      </c>
      <c r="J24" s="2" t="s">
        <v>167</v>
      </c>
    </row>
    <row r="25" spans="1:10" x14ac:dyDescent="0.55000000000000004">
      <c r="A25" s="24" t="s">
        <v>176</v>
      </c>
      <c r="B25" s="26">
        <v>0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1</v>
      </c>
      <c r="J25" s="26">
        <v>0</v>
      </c>
    </row>
    <row r="26" spans="1:10" x14ac:dyDescent="0.55000000000000004">
      <c r="A26" s="24" t="s">
        <v>177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</row>
    <row r="27" spans="1:10" x14ac:dyDescent="0.55000000000000004">
      <c r="A27" s="24" t="s">
        <v>178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17" t="s">
        <v>179</v>
      </c>
      <c r="B28" s="22">
        <v>0</v>
      </c>
      <c r="C28" s="22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</row>
    <row r="29" spans="1:10" x14ac:dyDescent="0.55000000000000004">
      <c r="A29" s="17" t="s">
        <v>180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181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5" t="s">
        <v>182</v>
      </c>
      <c r="B31" s="23">
        <v>0</v>
      </c>
      <c r="C31" s="23">
        <v>2</v>
      </c>
      <c r="D31" s="23">
        <v>0</v>
      </c>
      <c r="E31" s="23">
        <v>0</v>
      </c>
      <c r="F31" s="23">
        <v>0</v>
      </c>
      <c r="G31" s="23">
        <v>1</v>
      </c>
      <c r="H31" s="23">
        <v>0</v>
      </c>
      <c r="I31" s="23">
        <v>1</v>
      </c>
      <c r="J31" s="23">
        <v>0</v>
      </c>
    </row>
    <row r="32" spans="1:10" x14ac:dyDescent="0.55000000000000004">
      <c r="A32" s="15" t="s">
        <v>183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</row>
    <row r="33" spans="1:10" x14ac:dyDescent="0.55000000000000004">
      <c r="A33" s="15" t="s">
        <v>184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58" t="s">
        <v>185</v>
      </c>
      <c r="B34" s="59">
        <v>0</v>
      </c>
      <c r="C34" s="59">
        <v>1</v>
      </c>
      <c r="D34" s="59">
        <v>0</v>
      </c>
      <c r="E34" s="59">
        <v>0</v>
      </c>
      <c r="F34" s="59">
        <v>0</v>
      </c>
      <c r="G34" s="59">
        <v>2</v>
      </c>
      <c r="H34" s="59">
        <v>0</v>
      </c>
      <c r="I34" s="59">
        <v>0</v>
      </c>
      <c r="J34" s="59">
        <v>0</v>
      </c>
    </row>
    <row r="35" spans="1:10" x14ac:dyDescent="0.55000000000000004">
      <c r="A35" s="58" t="s">
        <v>186</v>
      </c>
      <c r="B35" s="59">
        <v>0</v>
      </c>
      <c r="C35" s="59">
        <v>0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</row>
    <row r="36" spans="1:10" x14ac:dyDescent="0.55000000000000004">
      <c r="A36" s="58" t="s">
        <v>187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24" t="s">
        <v>198</v>
      </c>
      <c r="B37" s="27">
        <f>B25+B28+B31+B34</f>
        <v>0</v>
      </c>
      <c r="C37" s="27">
        <f t="shared" ref="C37:I37" si="3">C25+C28+C31+C34</f>
        <v>4</v>
      </c>
      <c r="D37" s="27">
        <f t="shared" si="3"/>
        <v>0</v>
      </c>
      <c r="E37" s="27">
        <f t="shared" si="3"/>
        <v>0</v>
      </c>
      <c r="F37" s="27">
        <f t="shared" si="3"/>
        <v>0</v>
      </c>
      <c r="G37" s="27">
        <f t="shared" si="3"/>
        <v>3</v>
      </c>
      <c r="H37" s="27">
        <f t="shared" si="3"/>
        <v>0</v>
      </c>
      <c r="I37" s="27">
        <f t="shared" si="3"/>
        <v>2</v>
      </c>
      <c r="J37" s="27">
        <f t="shared" ref="J37" si="4">J25+J28+J31+J34</f>
        <v>0</v>
      </c>
    </row>
    <row r="38" spans="1:10" x14ac:dyDescent="0.55000000000000004">
      <c r="A38" s="17" t="s">
        <v>199</v>
      </c>
      <c r="B38" s="20">
        <f>B26+B29+B32+B35</f>
        <v>0</v>
      </c>
      <c r="C38" s="20">
        <f t="shared" ref="C38:I38" si="5">C26+C29+C32+C35</f>
        <v>0</v>
      </c>
      <c r="D38" s="20">
        <f t="shared" si="5"/>
        <v>0</v>
      </c>
      <c r="E38" s="20">
        <f t="shared" si="5"/>
        <v>0</v>
      </c>
      <c r="F38" s="20">
        <f t="shared" si="5"/>
        <v>0</v>
      </c>
      <c r="G38" s="20">
        <f t="shared" si="5"/>
        <v>0</v>
      </c>
      <c r="H38" s="20">
        <f t="shared" si="5"/>
        <v>0</v>
      </c>
      <c r="I38" s="20">
        <f t="shared" si="5"/>
        <v>0</v>
      </c>
      <c r="J38" s="20">
        <f t="shared" ref="J38" si="6">J26+J29+J32+J35</f>
        <v>0</v>
      </c>
    </row>
    <row r="39" spans="1:10" x14ac:dyDescent="0.55000000000000004">
      <c r="A39" s="15" t="s">
        <v>200</v>
      </c>
      <c r="B39" s="21">
        <f>B27+B30+B33+B36</f>
        <v>0</v>
      </c>
      <c r="C39" s="21">
        <f t="shared" ref="C39:I39" si="7">C27+C30+C33+C36</f>
        <v>0</v>
      </c>
      <c r="D39" s="21">
        <f t="shared" si="7"/>
        <v>0</v>
      </c>
      <c r="E39" s="21">
        <f t="shared" si="7"/>
        <v>0</v>
      </c>
      <c r="F39" s="21">
        <f t="shared" si="7"/>
        <v>0</v>
      </c>
      <c r="G39" s="21">
        <f t="shared" si="7"/>
        <v>0</v>
      </c>
      <c r="H39" s="21">
        <f t="shared" si="7"/>
        <v>0</v>
      </c>
      <c r="I39" s="21">
        <f t="shared" si="7"/>
        <v>0</v>
      </c>
      <c r="J39" s="21">
        <f t="shared" ref="J39" si="8">J27+J30+J33+J36</f>
        <v>0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FD9D-F672-4679-A254-D008435DBC5D}">
  <sheetPr codeName="Sheet16"/>
  <dimension ref="A1:J46"/>
  <sheetViews>
    <sheetView topLeftCell="A10" workbookViewId="0">
      <selection activeCell="A24" sqref="A2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173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162</v>
      </c>
      <c r="C3" s="50" t="s">
        <v>162</v>
      </c>
      <c r="D3" s="50" t="s">
        <v>162</v>
      </c>
      <c r="E3" s="50" t="s">
        <v>162</v>
      </c>
      <c r="F3" s="50" t="s">
        <v>162</v>
      </c>
      <c r="G3" s="50" t="s">
        <v>162</v>
      </c>
      <c r="H3" s="50" t="s">
        <v>162</v>
      </c>
      <c r="I3" s="50" t="s">
        <v>162</v>
      </c>
      <c r="J3" s="60"/>
    </row>
    <row r="4" spans="1:10" x14ac:dyDescent="0.55000000000000004">
      <c r="A4" s="1" t="s">
        <v>34</v>
      </c>
      <c r="B4" s="2" t="s">
        <v>68</v>
      </c>
      <c r="C4" s="2" t="s">
        <v>100</v>
      </c>
      <c r="D4" s="2" t="s">
        <v>2</v>
      </c>
      <c r="E4" s="2" t="s">
        <v>15</v>
      </c>
      <c r="F4" s="2" t="s">
        <v>152</v>
      </c>
      <c r="G4" s="2" t="s">
        <v>150</v>
      </c>
      <c r="H4" s="2" t="s">
        <v>151</v>
      </c>
      <c r="I4" s="2" t="s">
        <v>40</v>
      </c>
      <c r="J4" s="3"/>
    </row>
    <row r="5" spans="1:10" x14ac:dyDescent="0.55000000000000004">
      <c r="A5" s="24" t="s">
        <v>176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177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178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179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180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181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182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183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184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185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186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187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1" t="s">
        <v>201</v>
      </c>
      <c r="B17" s="11">
        <f>B5+B8+B11+B14</f>
        <v>0</v>
      </c>
      <c r="C17" s="11">
        <f t="shared" ref="C17:I19" si="0">C5+C8+C11+C14</f>
        <v>2</v>
      </c>
      <c r="D17" s="11">
        <f t="shared" si="0"/>
        <v>0</v>
      </c>
      <c r="E17" s="11">
        <f t="shared" si="0"/>
        <v>1</v>
      </c>
      <c r="F17" s="11">
        <f t="shared" si="0"/>
        <v>0</v>
      </c>
      <c r="G17" s="11">
        <f t="shared" si="0"/>
        <v>3</v>
      </c>
      <c r="H17" s="11">
        <f t="shared" si="0"/>
        <v>1</v>
      </c>
      <c r="I17" s="11">
        <f t="shared" si="0"/>
        <v>0</v>
      </c>
      <c r="J17" s="31"/>
    </row>
    <row r="18" spans="1:10" x14ac:dyDescent="0.55000000000000004">
      <c r="A18" s="1" t="s">
        <v>202</v>
      </c>
      <c r="B18" s="11">
        <f>B6+B9+B12+B15</f>
        <v>0</v>
      </c>
      <c r="C18" s="11">
        <f t="shared" si="0"/>
        <v>0</v>
      </c>
      <c r="D18" s="11">
        <f t="shared" si="0"/>
        <v>0</v>
      </c>
      <c r="E18" s="11">
        <f t="shared" si="0"/>
        <v>0</v>
      </c>
      <c r="F18" s="11">
        <f t="shared" si="0"/>
        <v>0</v>
      </c>
      <c r="G18" s="11">
        <f t="shared" si="0"/>
        <v>0</v>
      </c>
      <c r="H18" s="11">
        <f t="shared" si="0"/>
        <v>0</v>
      </c>
      <c r="I18" s="11">
        <f t="shared" si="0"/>
        <v>0</v>
      </c>
      <c r="J18" s="31"/>
    </row>
    <row r="19" spans="1:10" x14ac:dyDescent="0.55000000000000004">
      <c r="A19" s="1" t="s">
        <v>203</v>
      </c>
      <c r="B19" s="11">
        <f>B7+B10+B13+B16</f>
        <v>0</v>
      </c>
      <c r="C19" s="11">
        <f t="shared" si="0"/>
        <v>0</v>
      </c>
      <c r="D19" s="11">
        <f t="shared" si="0"/>
        <v>0</v>
      </c>
      <c r="E19" s="11">
        <f t="shared" si="0"/>
        <v>0</v>
      </c>
      <c r="F19" s="11">
        <f t="shared" si="0"/>
        <v>0</v>
      </c>
      <c r="G19" s="11">
        <f t="shared" si="0"/>
        <v>0</v>
      </c>
      <c r="H19" s="11">
        <f t="shared" si="0"/>
        <v>0</v>
      </c>
      <c r="I19" s="11">
        <f t="shared" si="0"/>
        <v>0</v>
      </c>
      <c r="J19" s="31"/>
    </row>
    <row r="20" spans="1:10" x14ac:dyDescent="0.55000000000000004">
      <c r="A20" s="1" t="s">
        <v>204</v>
      </c>
      <c r="B20" s="11">
        <f>SUM(B17:B19)</f>
        <v>0</v>
      </c>
      <c r="C20" s="11">
        <f t="shared" ref="C20:I20" si="1">SUM(C17:C19)</f>
        <v>2</v>
      </c>
      <c r="D20" s="11">
        <f t="shared" si="1"/>
        <v>0</v>
      </c>
      <c r="E20" s="11">
        <f t="shared" si="1"/>
        <v>1</v>
      </c>
      <c r="F20" s="11">
        <f t="shared" si="1"/>
        <v>0</v>
      </c>
      <c r="G20" s="11">
        <f t="shared" si="1"/>
        <v>3</v>
      </c>
      <c r="H20" s="11">
        <f t="shared" si="1"/>
        <v>1</v>
      </c>
      <c r="I20" s="11">
        <f t="shared" si="1"/>
        <v>0</v>
      </c>
      <c r="J20" s="31"/>
    </row>
    <row r="21" spans="1:10" x14ac:dyDescent="0.55000000000000004">
      <c r="A21" s="1" t="s">
        <v>197</v>
      </c>
      <c r="B21" s="11">
        <v>11</v>
      </c>
      <c r="C21" s="11">
        <v>15</v>
      </c>
      <c r="D21" s="11">
        <v>109</v>
      </c>
      <c r="E21" s="11">
        <v>5</v>
      </c>
      <c r="F21" s="11">
        <v>15</v>
      </c>
      <c r="G21" s="11">
        <v>440</v>
      </c>
      <c r="H21" s="1">
        <v>275</v>
      </c>
      <c r="I21" s="1">
        <v>108</v>
      </c>
    </row>
    <row r="22" spans="1:10" x14ac:dyDescent="0.55000000000000004">
      <c r="A22" s="15" t="s">
        <v>205</v>
      </c>
      <c r="B22" s="15">
        <f xml:space="preserve"> ROUND((B20/B21) * 100,1)</f>
        <v>0</v>
      </c>
      <c r="C22" s="15">
        <f t="shared" ref="C22:I22" si="2" xml:space="preserve"> ROUND((C20/C21) * 100,1)</f>
        <v>13.3</v>
      </c>
      <c r="D22" s="15">
        <f t="shared" si="2"/>
        <v>0</v>
      </c>
      <c r="E22" s="15">
        <f t="shared" si="2"/>
        <v>20</v>
      </c>
      <c r="F22" s="15">
        <f t="shared" si="2"/>
        <v>0</v>
      </c>
      <c r="G22" s="15">
        <f t="shared" si="2"/>
        <v>0.7</v>
      </c>
      <c r="H22" s="15">
        <f t="shared" si="2"/>
        <v>0.4</v>
      </c>
      <c r="I22" s="15">
        <f t="shared" si="2"/>
        <v>0</v>
      </c>
    </row>
    <row r="24" spans="1:10" x14ac:dyDescent="0.55000000000000004">
      <c r="A24" s="1" t="s">
        <v>23</v>
      </c>
      <c r="B24" s="50" t="s">
        <v>196</v>
      </c>
      <c r="C24" s="50" t="s">
        <v>196</v>
      </c>
      <c r="D24" s="50" t="s">
        <v>196</v>
      </c>
      <c r="E24" s="50" t="s">
        <v>196</v>
      </c>
      <c r="F24" s="50" t="s">
        <v>196</v>
      </c>
      <c r="G24" s="50" t="s">
        <v>196</v>
      </c>
      <c r="H24" s="50" t="s">
        <v>196</v>
      </c>
      <c r="I24" s="50" t="s">
        <v>196</v>
      </c>
      <c r="J24" s="50" t="s">
        <v>196</v>
      </c>
    </row>
    <row r="25" spans="1:10" x14ac:dyDescent="0.55000000000000004">
      <c r="A25" s="1" t="s">
        <v>34</v>
      </c>
      <c r="B25" s="2" t="s">
        <v>68</v>
      </c>
      <c r="C25" s="2" t="s">
        <v>100</v>
      </c>
      <c r="D25" s="2" t="s">
        <v>2</v>
      </c>
      <c r="E25" s="2" t="s">
        <v>15</v>
      </c>
      <c r="F25" s="2" t="s">
        <v>152</v>
      </c>
      <c r="G25" s="2" t="s">
        <v>150</v>
      </c>
      <c r="H25" s="2" t="s">
        <v>151</v>
      </c>
      <c r="I25" s="2" t="s">
        <v>40</v>
      </c>
      <c r="J25" s="2" t="s">
        <v>167</v>
      </c>
    </row>
    <row r="26" spans="1:10" x14ac:dyDescent="0.55000000000000004">
      <c r="A26" s="24" t="s">
        <v>176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1</v>
      </c>
      <c r="J26" s="26">
        <v>0</v>
      </c>
    </row>
    <row r="27" spans="1:10" x14ac:dyDescent="0.55000000000000004">
      <c r="A27" s="24" t="s">
        <v>177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24" t="s">
        <v>178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</row>
    <row r="29" spans="1:10" x14ac:dyDescent="0.55000000000000004">
      <c r="A29" s="17" t="s">
        <v>179</v>
      </c>
      <c r="B29" s="22">
        <v>0</v>
      </c>
      <c r="C29" s="22">
        <v>1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180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7" t="s">
        <v>181</v>
      </c>
      <c r="B31" s="22">
        <v>0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</row>
    <row r="32" spans="1:10" x14ac:dyDescent="0.55000000000000004">
      <c r="A32" s="15" t="s">
        <v>182</v>
      </c>
      <c r="B32" s="23">
        <v>0</v>
      </c>
      <c r="C32" s="23">
        <v>2</v>
      </c>
      <c r="D32" s="23">
        <v>0</v>
      </c>
      <c r="E32" s="23">
        <v>0</v>
      </c>
      <c r="F32" s="23">
        <v>0</v>
      </c>
      <c r="G32" s="23">
        <v>1</v>
      </c>
      <c r="H32" s="23">
        <v>1</v>
      </c>
      <c r="I32" s="23">
        <v>1</v>
      </c>
      <c r="J32" s="23">
        <v>0</v>
      </c>
    </row>
    <row r="33" spans="1:10" x14ac:dyDescent="0.55000000000000004">
      <c r="A33" s="15" t="s">
        <v>183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15" t="s">
        <v>184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55000000000000004">
      <c r="A35" s="58" t="s">
        <v>185</v>
      </c>
      <c r="B35" s="59">
        <v>0</v>
      </c>
      <c r="C35" s="59">
        <v>1</v>
      </c>
      <c r="D35" s="59">
        <v>0</v>
      </c>
      <c r="E35" s="59">
        <v>0</v>
      </c>
      <c r="F35" s="59">
        <v>0</v>
      </c>
      <c r="G35" s="59">
        <v>2</v>
      </c>
      <c r="H35" s="59">
        <v>2</v>
      </c>
      <c r="I35" s="59">
        <v>0</v>
      </c>
      <c r="J35" s="59">
        <v>0</v>
      </c>
    </row>
    <row r="36" spans="1:10" x14ac:dyDescent="0.55000000000000004">
      <c r="A36" s="58" t="s">
        <v>186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58" t="s">
        <v>187</v>
      </c>
      <c r="B37" s="59">
        <v>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</row>
    <row r="38" spans="1:10" x14ac:dyDescent="0.55000000000000004">
      <c r="A38" s="24" t="s">
        <v>198</v>
      </c>
      <c r="B38" s="27">
        <f t="shared" ref="B38:B43" si="3">B26+B29+B32+B35</f>
        <v>0</v>
      </c>
      <c r="C38" s="27">
        <f t="shared" ref="C38:J40" si="4">C26+C29+C32+C35</f>
        <v>4</v>
      </c>
      <c r="D38" s="27">
        <f t="shared" si="4"/>
        <v>0</v>
      </c>
      <c r="E38" s="27">
        <f t="shared" si="4"/>
        <v>0</v>
      </c>
      <c r="F38" s="27">
        <f t="shared" si="4"/>
        <v>0</v>
      </c>
      <c r="G38" s="27">
        <f t="shared" si="4"/>
        <v>3</v>
      </c>
      <c r="H38" s="27">
        <f t="shared" si="4"/>
        <v>3</v>
      </c>
      <c r="I38" s="27">
        <f t="shared" si="4"/>
        <v>2</v>
      </c>
      <c r="J38" s="27">
        <f t="shared" si="4"/>
        <v>0</v>
      </c>
    </row>
    <row r="39" spans="1:10" x14ac:dyDescent="0.55000000000000004">
      <c r="A39" s="17" t="s">
        <v>199</v>
      </c>
      <c r="B39" s="20">
        <f t="shared" si="3"/>
        <v>0</v>
      </c>
      <c r="C39" s="20">
        <f t="shared" si="4"/>
        <v>0</v>
      </c>
      <c r="D39" s="20">
        <f t="shared" si="4"/>
        <v>0</v>
      </c>
      <c r="E39" s="20">
        <f t="shared" si="4"/>
        <v>0</v>
      </c>
      <c r="F39" s="20">
        <f t="shared" si="4"/>
        <v>0</v>
      </c>
      <c r="G39" s="20">
        <f t="shared" si="4"/>
        <v>0</v>
      </c>
      <c r="H39" s="20">
        <f t="shared" si="4"/>
        <v>0</v>
      </c>
      <c r="I39" s="20">
        <f t="shared" si="4"/>
        <v>0</v>
      </c>
      <c r="J39" s="20">
        <f t="shared" si="4"/>
        <v>0</v>
      </c>
    </row>
    <row r="40" spans="1:10" x14ac:dyDescent="0.55000000000000004">
      <c r="A40" s="15" t="s">
        <v>200</v>
      </c>
      <c r="B40" s="21">
        <f t="shared" si="3"/>
        <v>0</v>
      </c>
      <c r="C40" s="21">
        <f t="shared" si="4"/>
        <v>0</v>
      </c>
      <c r="D40" s="21">
        <f t="shared" si="4"/>
        <v>0</v>
      </c>
      <c r="E40" s="21">
        <f t="shared" si="4"/>
        <v>0</v>
      </c>
      <c r="F40" s="21">
        <f t="shared" si="4"/>
        <v>0</v>
      </c>
      <c r="G40" s="21">
        <f t="shared" si="4"/>
        <v>0</v>
      </c>
      <c r="H40" s="21">
        <f t="shared" si="4"/>
        <v>0</v>
      </c>
      <c r="I40" s="21">
        <f t="shared" si="4"/>
        <v>0</v>
      </c>
      <c r="J40" s="21">
        <f t="shared" si="4"/>
        <v>0</v>
      </c>
    </row>
    <row r="41" spans="1:10" x14ac:dyDescent="0.55000000000000004">
      <c r="A41" s="1" t="s">
        <v>198</v>
      </c>
      <c r="B41" s="11">
        <f t="shared" si="3"/>
        <v>0</v>
      </c>
      <c r="C41" s="11">
        <f t="shared" ref="C41:I41" si="5">C29+C32+C35+C38</f>
        <v>8</v>
      </c>
      <c r="D41" s="11">
        <f t="shared" si="5"/>
        <v>0</v>
      </c>
      <c r="E41" s="11">
        <f t="shared" si="5"/>
        <v>0</v>
      </c>
      <c r="F41" s="11">
        <f t="shared" si="5"/>
        <v>0</v>
      </c>
      <c r="G41" s="11">
        <f t="shared" si="5"/>
        <v>6</v>
      </c>
      <c r="H41" s="11">
        <f t="shared" si="5"/>
        <v>6</v>
      </c>
      <c r="I41" s="11">
        <f t="shared" si="5"/>
        <v>3</v>
      </c>
      <c r="J41" s="11">
        <f t="shared" ref="J41" si="6">J29+J32+J35+J38</f>
        <v>0</v>
      </c>
    </row>
    <row r="42" spans="1:10" x14ac:dyDescent="0.55000000000000004">
      <c r="A42" s="1" t="s">
        <v>199</v>
      </c>
      <c r="B42" s="11">
        <f t="shared" si="3"/>
        <v>0</v>
      </c>
      <c r="C42" s="11">
        <f t="shared" ref="C42:I42" si="7">C30+C33+C36+C39</f>
        <v>0</v>
      </c>
      <c r="D42" s="11">
        <f t="shared" si="7"/>
        <v>0</v>
      </c>
      <c r="E42" s="11">
        <f t="shared" si="7"/>
        <v>0</v>
      </c>
      <c r="F42" s="11">
        <f t="shared" si="7"/>
        <v>0</v>
      </c>
      <c r="G42" s="11">
        <f t="shared" si="7"/>
        <v>0</v>
      </c>
      <c r="H42" s="11">
        <f t="shared" si="7"/>
        <v>0</v>
      </c>
      <c r="I42" s="11">
        <f t="shared" si="7"/>
        <v>0</v>
      </c>
      <c r="J42" s="11">
        <f t="shared" ref="J42" si="8">J30+J33+J36+J39</f>
        <v>0</v>
      </c>
    </row>
    <row r="43" spans="1:10" x14ac:dyDescent="0.55000000000000004">
      <c r="A43" s="1" t="s">
        <v>200</v>
      </c>
      <c r="B43" s="11">
        <f t="shared" si="3"/>
        <v>0</v>
      </c>
      <c r="C43" s="11">
        <f t="shared" ref="C43:I43" si="9">C31+C34+C37+C40</f>
        <v>0</v>
      </c>
      <c r="D43" s="11">
        <f t="shared" si="9"/>
        <v>0</v>
      </c>
      <c r="E43" s="11">
        <f t="shared" si="9"/>
        <v>0</v>
      </c>
      <c r="F43" s="11">
        <f t="shared" si="9"/>
        <v>0</v>
      </c>
      <c r="G43" s="11">
        <f t="shared" si="9"/>
        <v>0</v>
      </c>
      <c r="H43" s="11">
        <f t="shared" si="9"/>
        <v>0</v>
      </c>
      <c r="I43" s="11">
        <f t="shared" si="9"/>
        <v>0</v>
      </c>
      <c r="J43" s="11">
        <f t="shared" ref="J43" si="10">J31+J34+J37+J40</f>
        <v>0</v>
      </c>
    </row>
    <row r="44" spans="1:10" x14ac:dyDescent="0.55000000000000004">
      <c r="A44" s="1" t="s">
        <v>206</v>
      </c>
      <c r="B44" s="11">
        <f>SUM(B41:B43)</f>
        <v>0</v>
      </c>
      <c r="C44" s="11">
        <f t="shared" ref="C44" si="11">SUM(C41:C43)</f>
        <v>8</v>
      </c>
      <c r="D44" s="11">
        <f t="shared" ref="D44" si="12">SUM(D41:D43)</f>
        <v>0</v>
      </c>
      <c r="E44" s="11">
        <f t="shared" ref="E44" si="13">SUM(E41:E43)</f>
        <v>0</v>
      </c>
      <c r="F44" s="11">
        <f t="shared" ref="F44" si="14">SUM(F41:F43)</f>
        <v>0</v>
      </c>
      <c r="G44" s="11">
        <f t="shared" ref="G44" si="15">SUM(G41:G43)</f>
        <v>6</v>
      </c>
      <c r="H44" s="11">
        <f t="shared" ref="H44" si="16">SUM(H41:H43)</f>
        <v>6</v>
      </c>
      <c r="I44" s="11">
        <f t="shared" ref="I44:J44" si="17">SUM(I41:I43)</f>
        <v>3</v>
      </c>
      <c r="J44" s="11">
        <f t="shared" si="17"/>
        <v>0</v>
      </c>
    </row>
    <row r="45" spans="1:10" x14ac:dyDescent="0.55000000000000004">
      <c r="A45" s="1" t="s">
        <v>197</v>
      </c>
      <c r="B45" s="11">
        <v>0</v>
      </c>
      <c r="C45" s="11">
        <v>327</v>
      </c>
      <c r="D45" s="11">
        <v>297</v>
      </c>
      <c r="E45" s="11">
        <v>82</v>
      </c>
      <c r="F45" s="11">
        <v>0</v>
      </c>
      <c r="G45" s="11">
        <v>466</v>
      </c>
      <c r="H45" s="1">
        <v>787</v>
      </c>
      <c r="I45" s="1">
        <v>632</v>
      </c>
      <c r="J45" s="1">
        <v>0</v>
      </c>
    </row>
    <row r="46" spans="1:10" x14ac:dyDescent="0.55000000000000004">
      <c r="A46" s="15" t="s">
        <v>205</v>
      </c>
      <c r="B46" s="15">
        <f>IF(B45=0,0,(ROUND((B44/B45)*100,1)))</f>
        <v>0</v>
      </c>
      <c r="C46" s="15">
        <f t="shared" ref="C46:J46" si="18">IF(C45=0,0,(ROUND((C44/C45)*100,1)))</f>
        <v>2.4</v>
      </c>
      <c r="D46" s="15">
        <f t="shared" si="18"/>
        <v>0</v>
      </c>
      <c r="E46" s="15">
        <f t="shared" si="18"/>
        <v>0</v>
      </c>
      <c r="F46" s="15">
        <f t="shared" si="18"/>
        <v>0</v>
      </c>
      <c r="G46" s="15">
        <f t="shared" si="18"/>
        <v>1.3</v>
      </c>
      <c r="H46" s="15">
        <f t="shared" si="18"/>
        <v>0.8</v>
      </c>
      <c r="I46" s="15">
        <f t="shared" si="18"/>
        <v>0.5</v>
      </c>
      <c r="J46" s="15">
        <f t="shared" si="18"/>
        <v>0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D8A0-26E2-4A20-90AA-CCC6DBC87A28}">
  <sheetPr codeName="Sheet30"/>
  <dimension ref="A1:J15"/>
  <sheetViews>
    <sheetView workbookViewId="0">
      <selection activeCell="F18" sqref="F18"/>
    </sheetView>
  </sheetViews>
  <sheetFormatPr defaultRowHeight="18" x14ac:dyDescent="0.55000000000000004"/>
  <cols>
    <col min="2" max="2" width="15.33203125" style="4" customWidth="1"/>
  </cols>
  <sheetData>
    <row r="1" spans="1:10" x14ac:dyDescent="0.55000000000000004">
      <c r="A1" s="5" t="s">
        <v>4</v>
      </c>
      <c r="B1" s="8"/>
      <c r="C1" s="5"/>
      <c r="D1" s="5"/>
      <c r="E1" s="5"/>
      <c r="F1" s="5"/>
      <c r="G1" s="5"/>
      <c r="H1" s="5"/>
      <c r="I1" s="5"/>
      <c r="J1" s="5"/>
    </row>
    <row r="2" spans="1:10" x14ac:dyDescent="0.55000000000000004">
      <c r="A2" s="29" t="s">
        <v>5</v>
      </c>
      <c r="B2" s="30" t="s">
        <v>5</v>
      </c>
      <c r="C2" s="78" t="s">
        <v>41</v>
      </c>
      <c r="D2" s="78"/>
      <c r="E2" s="78"/>
      <c r="F2" s="79"/>
      <c r="G2" s="78" t="s">
        <v>42</v>
      </c>
      <c r="H2" s="78"/>
      <c r="I2" s="78"/>
      <c r="J2" s="79"/>
    </row>
    <row r="3" spans="1:10" x14ac:dyDescent="0.55000000000000004">
      <c r="A3" s="6" t="s">
        <v>5</v>
      </c>
      <c r="B3" s="9" t="s">
        <v>5</v>
      </c>
      <c r="C3" s="7" t="s">
        <v>6</v>
      </c>
      <c r="D3" s="7" t="s">
        <v>7</v>
      </c>
      <c r="E3" s="7" t="s">
        <v>8</v>
      </c>
      <c r="F3" s="7" t="s">
        <v>9</v>
      </c>
      <c r="G3" s="7" t="s">
        <v>6</v>
      </c>
      <c r="H3" s="7" t="s">
        <v>7</v>
      </c>
      <c r="I3" s="7" t="s">
        <v>8</v>
      </c>
      <c r="J3" s="7" t="s">
        <v>9</v>
      </c>
    </row>
    <row r="4" spans="1:10" x14ac:dyDescent="0.55000000000000004">
      <c r="A4" s="76" t="s">
        <v>43</v>
      </c>
      <c r="B4" s="10" t="s">
        <v>10</v>
      </c>
      <c r="C4" s="76">
        <v>1</v>
      </c>
      <c r="D4" s="7">
        <v>1</v>
      </c>
      <c r="E4" s="7"/>
      <c r="F4" s="7"/>
      <c r="G4" s="76">
        <v>14</v>
      </c>
      <c r="H4" s="7"/>
      <c r="I4" s="7">
        <v>1</v>
      </c>
      <c r="J4" s="7"/>
    </row>
    <row r="5" spans="1:10" x14ac:dyDescent="0.55000000000000004">
      <c r="A5" s="76"/>
      <c r="B5" s="10" t="s">
        <v>11</v>
      </c>
      <c r="C5" s="76"/>
      <c r="D5" s="7"/>
      <c r="E5" s="7"/>
      <c r="F5" s="7"/>
      <c r="G5" s="76"/>
      <c r="H5" s="7"/>
      <c r="I5" s="7">
        <v>12</v>
      </c>
      <c r="J5" s="7"/>
    </row>
    <row r="6" spans="1:10" x14ac:dyDescent="0.55000000000000004">
      <c r="A6" s="77"/>
      <c r="B6" s="10" t="s">
        <v>12</v>
      </c>
      <c r="C6" s="77"/>
      <c r="D6" s="7"/>
      <c r="E6" s="7"/>
      <c r="F6" s="7"/>
      <c r="G6" s="77"/>
      <c r="H6" s="7"/>
      <c r="I6" s="7">
        <v>1</v>
      </c>
      <c r="J6" s="7"/>
    </row>
    <row r="7" spans="1:10" x14ac:dyDescent="0.55000000000000004">
      <c r="A7" s="76" t="s">
        <v>14</v>
      </c>
      <c r="B7" s="10" t="s">
        <v>10</v>
      </c>
      <c r="C7" s="76">
        <v>2</v>
      </c>
      <c r="D7" s="7"/>
      <c r="E7" s="7">
        <v>2</v>
      </c>
      <c r="F7" s="7"/>
      <c r="G7" s="76">
        <v>0</v>
      </c>
      <c r="H7" s="7"/>
      <c r="I7" s="7"/>
      <c r="J7" s="7"/>
    </row>
    <row r="8" spans="1:10" x14ac:dyDescent="0.55000000000000004">
      <c r="A8" s="76"/>
      <c r="B8" s="10" t="s">
        <v>11</v>
      </c>
      <c r="C8" s="76"/>
      <c r="D8" s="7"/>
      <c r="E8" s="7"/>
      <c r="F8" s="7"/>
      <c r="G8" s="76"/>
      <c r="H8" s="7"/>
      <c r="I8" s="7"/>
      <c r="J8" s="7"/>
    </row>
    <row r="9" spans="1:10" x14ac:dyDescent="0.55000000000000004">
      <c r="A9" s="77"/>
      <c r="B9" s="10" t="s">
        <v>3</v>
      </c>
      <c r="C9" s="77"/>
      <c r="D9" s="7"/>
      <c r="E9" s="7"/>
      <c r="F9" s="7"/>
      <c r="G9" s="77"/>
      <c r="H9" s="7"/>
      <c r="I9" s="7"/>
      <c r="J9" s="7"/>
    </row>
    <row r="10" spans="1:10" x14ac:dyDescent="0.55000000000000004">
      <c r="A10" s="76" t="s">
        <v>2</v>
      </c>
      <c r="B10" s="10" t="s">
        <v>10</v>
      </c>
      <c r="C10" s="76">
        <v>1</v>
      </c>
      <c r="D10" s="7"/>
      <c r="E10" s="7"/>
      <c r="F10" s="7">
        <v>1</v>
      </c>
      <c r="G10" s="76">
        <v>0</v>
      </c>
      <c r="H10" s="7">
        <v>1</v>
      </c>
      <c r="I10" s="7"/>
      <c r="J10" s="7"/>
    </row>
    <row r="11" spans="1:10" x14ac:dyDescent="0.55000000000000004">
      <c r="A11" s="76"/>
      <c r="B11" s="10" t="s">
        <v>11</v>
      </c>
      <c r="C11" s="76"/>
      <c r="D11" s="7"/>
      <c r="E11" s="7"/>
      <c r="F11" s="7"/>
      <c r="G11" s="76"/>
      <c r="H11" s="7"/>
      <c r="I11" s="7"/>
      <c r="J11" s="7"/>
    </row>
    <row r="12" spans="1:10" x14ac:dyDescent="0.55000000000000004">
      <c r="A12" s="77"/>
      <c r="B12" s="10" t="s">
        <v>3</v>
      </c>
      <c r="C12" s="77"/>
      <c r="D12" s="7"/>
      <c r="E12" s="7"/>
      <c r="F12" s="7"/>
      <c r="G12" s="77"/>
      <c r="H12" s="7"/>
      <c r="I12" s="7"/>
      <c r="J12" s="7"/>
    </row>
    <row r="13" spans="1:10" x14ac:dyDescent="0.55000000000000004">
      <c r="A13" s="76" t="s">
        <v>15</v>
      </c>
      <c r="B13" s="10" t="s">
        <v>10</v>
      </c>
      <c r="C13" s="76">
        <v>0</v>
      </c>
      <c r="D13" s="7" t="s">
        <v>5</v>
      </c>
      <c r="E13" s="7" t="s">
        <v>5</v>
      </c>
      <c r="F13" s="7" t="s">
        <v>5</v>
      </c>
      <c r="G13" s="76">
        <v>2</v>
      </c>
      <c r="H13" s="7"/>
      <c r="I13" s="7"/>
      <c r="J13" s="7">
        <v>1</v>
      </c>
    </row>
    <row r="14" spans="1:10" x14ac:dyDescent="0.55000000000000004">
      <c r="A14" s="76"/>
      <c r="B14" s="10" t="s">
        <v>11</v>
      </c>
      <c r="C14" s="76"/>
      <c r="D14" s="7" t="s">
        <v>5</v>
      </c>
      <c r="E14" s="7" t="s">
        <v>5</v>
      </c>
      <c r="F14" s="7" t="s">
        <v>5</v>
      </c>
      <c r="G14" s="76"/>
      <c r="H14" s="7"/>
      <c r="I14" s="7"/>
      <c r="J14" s="7"/>
    </row>
    <row r="15" spans="1:10" x14ac:dyDescent="0.55000000000000004">
      <c r="A15" s="77"/>
      <c r="B15" s="10" t="s">
        <v>3</v>
      </c>
      <c r="C15" s="77"/>
      <c r="D15" s="7" t="s">
        <v>5</v>
      </c>
      <c r="E15" s="7" t="s">
        <v>5</v>
      </c>
      <c r="F15" s="7" t="s">
        <v>5</v>
      </c>
      <c r="G15" s="77"/>
      <c r="H15" s="7"/>
      <c r="I15" s="7"/>
      <c r="J15" s="7">
        <v>1</v>
      </c>
    </row>
  </sheetData>
  <mergeCells count="14">
    <mergeCell ref="A10:A12"/>
    <mergeCell ref="C10:C12"/>
    <mergeCell ref="G10:G12"/>
    <mergeCell ref="A13:A15"/>
    <mergeCell ref="C13:C15"/>
    <mergeCell ref="G13:G15"/>
    <mergeCell ref="C2:F2"/>
    <mergeCell ref="G2:J2"/>
    <mergeCell ref="A4:A6"/>
    <mergeCell ref="C4:C6"/>
    <mergeCell ref="G4:G6"/>
    <mergeCell ref="A7:A9"/>
    <mergeCell ref="C7:C9"/>
    <mergeCell ref="G7:G9"/>
  </mergeCells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034E-C364-4D64-A2F2-F675F9C3331B}">
  <sheetPr codeName="Sheet17"/>
  <dimension ref="A1:M16"/>
  <sheetViews>
    <sheetView workbookViewId="0">
      <selection activeCell="B22" sqref="B2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</cols>
  <sheetData>
    <row r="1" spans="1:13" x14ac:dyDescent="0.55000000000000004">
      <c r="A1" s="12" t="s">
        <v>16</v>
      </c>
      <c r="B1" s="8"/>
      <c r="C1" s="5"/>
      <c r="D1" s="5"/>
      <c r="E1" s="5"/>
      <c r="F1" s="5"/>
      <c r="G1" s="5"/>
      <c r="H1" s="5"/>
      <c r="I1" s="5"/>
      <c r="J1" s="5"/>
    </row>
    <row r="2" spans="1:13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</row>
    <row r="3" spans="1:13" x14ac:dyDescent="0.55000000000000004">
      <c r="A3" s="1" t="s">
        <v>34</v>
      </c>
      <c r="B3" s="2" t="s">
        <v>15</v>
      </c>
      <c r="C3" s="2" t="s">
        <v>2</v>
      </c>
      <c r="D3" s="2" t="s">
        <v>14</v>
      </c>
      <c r="E3" s="1"/>
      <c r="F3" s="1"/>
      <c r="G3" s="1"/>
      <c r="H3" s="1"/>
      <c r="I3" s="1"/>
      <c r="J3" s="1"/>
      <c r="K3" s="1"/>
      <c r="L3" s="1"/>
      <c r="M3" s="1"/>
    </row>
    <row r="4" spans="1:13" x14ac:dyDescent="0.55000000000000004">
      <c r="A4" s="1" t="s">
        <v>23</v>
      </c>
      <c r="B4" s="11" t="s">
        <v>30</v>
      </c>
      <c r="C4" s="11" t="s">
        <v>30</v>
      </c>
      <c r="D4" s="11" t="s">
        <v>30</v>
      </c>
      <c r="E4" s="1"/>
      <c r="F4" s="1"/>
      <c r="G4" s="1"/>
      <c r="H4" s="1"/>
      <c r="I4" s="1"/>
      <c r="J4" s="1"/>
      <c r="K4" s="1"/>
      <c r="L4" s="1"/>
      <c r="M4" s="1"/>
    </row>
    <row r="5" spans="1:13" x14ac:dyDescent="0.55000000000000004">
      <c r="A5" s="13" t="s">
        <v>17</v>
      </c>
      <c r="B5" s="14">
        <v>1</v>
      </c>
      <c r="C5" s="14">
        <v>0</v>
      </c>
      <c r="D5" s="14">
        <v>0</v>
      </c>
      <c r="E5" s="1"/>
      <c r="F5" s="1"/>
      <c r="G5" s="1"/>
      <c r="H5" s="1"/>
      <c r="I5" s="1"/>
      <c r="J5" s="1"/>
      <c r="K5" s="1"/>
      <c r="L5" s="1"/>
      <c r="M5" s="1"/>
    </row>
    <row r="6" spans="1:13" x14ac:dyDescent="0.55000000000000004">
      <c r="A6" s="13" t="s">
        <v>18</v>
      </c>
      <c r="B6" s="14">
        <v>0</v>
      </c>
      <c r="C6" s="14">
        <v>0</v>
      </c>
      <c r="D6" s="14">
        <v>0</v>
      </c>
      <c r="E6" s="1"/>
      <c r="F6" s="1"/>
      <c r="G6" s="1"/>
      <c r="H6" s="1"/>
      <c r="I6" s="1"/>
      <c r="J6" s="1"/>
      <c r="K6" s="1"/>
      <c r="L6" s="1"/>
      <c r="M6" s="1"/>
    </row>
    <row r="7" spans="1:13" x14ac:dyDescent="0.55000000000000004">
      <c r="A7" s="13" t="s">
        <v>19</v>
      </c>
      <c r="B7" s="14">
        <v>0</v>
      </c>
      <c r="C7" s="14">
        <v>0</v>
      </c>
      <c r="D7" s="14">
        <v>0</v>
      </c>
      <c r="E7" s="1"/>
      <c r="F7" s="1"/>
      <c r="G7" s="1"/>
      <c r="H7" s="1"/>
      <c r="I7" s="1"/>
      <c r="J7" s="1"/>
      <c r="K7" s="1"/>
      <c r="L7" s="1"/>
      <c r="M7" s="1"/>
    </row>
    <row r="8" spans="1:13" x14ac:dyDescent="0.55000000000000004">
      <c r="A8" s="17" t="s">
        <v>20</v>
      </c>
      <c r="B8" s="18">
        <v>0</v>
      </c>
      <c r="C8" s="18">
        <v>0</v>
      </c>
      <c r="D8" s="18">
        <v>0</v>
      </c>
      <c r="E8" s="1"/>
      <c r="F8" s="1"/>
      <c r="G8" s="1"/>
      <c r="H8" s="1"/>
      <c r="I8" s="1"/>
      <c r="J8" s="1"/>
      <c r="K8" s="1"/>
      <c r="L8" s="1"/>
      <c r="M8" s="1"/>
    </row>
    <row r="9" spans="1:13" x14ac:dyDescent="0.55000000000000004">
      <c r="A9" s="17" t="s">
        <v>21</v>
      </c>
      <c r="B9" s="18">
        <v>0</v>
      </c>
      <c r="C9" s="18">
        <v>2</v>
      </c>
      <c r="D9" s="18">
        <v>0</v>
      </c>
      <c r="E9" s="1"/>
      <c r="F9" s="1"/>
      <c r="G9" s="1"/>
      <c r="H9" s="1"/>
      <c r="I9" s="1"/>
      <c r="J9" s="1"/>
      <c r="K9" s="1"/>
      <c r="L9" s="1"/>
      <c r="M9" s="1"/>
    </row>
    <row r="10" spans="1:13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55000000000000004">
      <c r="A14" s="13" t="s">
        <v>31</v>
      </c>
      <c r="B14" s="19">
        <f>SUM(B5:B7)</f>
        <v>1</v>
      </c>
      <c r="C14" s="19">
        <f>SUM(C5:C7)</f>
        <v>0</v>
      </c>
      <c r="D14" s="19">
        <f>SUM(D5:D7)</f>
        <v>0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55000000000000004">
      <c r="A15" s="17" t="s">
        <v>32</v>
      </c>
      <c r="B15" s="20">
        <f>SUM(B8:B10)</f>
        <v>0</v>
      </c>
      <c r="C15" s="20">
        <f>SUM(C8:C10)</f>
        <v>2</v>
      </c>
      <c r="D15" s="20">
        <f>SUM(D8:D10)</f>
        <v>0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55000000000000004">
      <c r="A16" s="15" t="s">
        <v>33</v>
      </c>
      <c r="B16" s="21">
        <f>SUM(B11:B13)</f>
        <v>0</v>
      </c>
      <c r="C16" s="21">
        <f>SUM(C11:C13)</f>
        <v>0</v>
      </c>
      <c r="D16" s="21">
        <f>SUM(D11:D13)</f>
        <v>2</v>
      </c>
      <c r="E16" s="1"/>
      <c r="F16" s="1"/>
      <c r="G16" s="1"/>
      <c r="H16" s="1"/>
      <c r="I16" s="1"/>
      <c r="J16" s="1"/>
      <c r="K16" s="1"/>
      <c r="L16" s="1"/>
      <c r="M16" s="1"/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920D8-7716-4D1F-B81C-63B678F8C1E1}">
  <sheetPr codeName="Sheet18"/>
  <dimension ref="B3:J95"/>
  <sheetViews>
    <sheetView topLeftCell="A65" workbookViewId="0">
      <selection activeCell="B95" sqref="B95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.58203125" customWidth="1"/>
    <col min="6" max="6" width="11.75" customWidth="1"/>
    <col min="7" max="8" width="9.83203125" bestFit="1" customWidth="1"/>
  </cols>
  <sheetData>
    <row r="3" spans="2:2" ht="22.5" x14ac:dyDescent="0.55000000000000004">
      <c r="B3" s="45" t="s">
        <v>69</v>
      </c>
    </row>
    <row r="6" spans="2:2" x14ac:dyDescent="0.55000000000000004">
      <c r="B6" s="43" t="s">
        <v>70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1"/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0</v>
      </c>
      <c r="F28" s="1">
        <v>0</v>
      </c>
      <c r="G28" s="1">
        <v>2</v>
      </c>
      <c r="H28" s="1">
        <v>0</v>
      </c>
      <c r="I28" s="1"/>
      <c r="J28" s="1"/>
    </row>
    <row r="29" spans="2:10" x14ac:dyDescent="0.55000000000000004">
      <c r="B29" s="1" t="s">
        <v>28</v>
      </c>
      <c r="C29" s="1">
        <v>1</v>
      </c>
      <c r="D29" s="1">
        <v>6</v>
      </c>
      <c r="E29" s="1">
        <v>2</v>
      </c>
      <c r="F29" s="1">
        <v>0</v>
      </c>
      <c r="G29" s="1">
        <v>19</v>
      </c>
      <c r="H29" s="1">
        <v>4</v>
      </c>
      <c r="I29" s="1"/>
      <c r="J29" s="1"/>
    </row>
    <row r="30" spans="2:10" x14ac:dyDescent="0.55000000000000004">
      <c r="B30" s="1" t="s">
        <v>66</v>
      </c>
      <c r="C30" s="1">
        <v>0</v>
      </c>
      <c r="D30" s="1">
        <v>0</v>
      </c>
      <c r="E30" s="1">
        <v>0</v>
      </c>
      <c r="F30" s="1">
        <v>5</v>
      </c>
      <c r="G30" s="1">
        <v>2</v>
      </c>
      <c r="H30" s="1">
        <v>2</v>
      </c>
      <c r="I30" s="1"/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/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/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3</v>
      </c>
      <c r="G33" s="1">
        <v>0</v>
      </c>
      <c r="H33" s="1">
        <v>0</v>
      </c>
      <c r="I33" s="1"/>
      <c r="J33" s="1"/>
    </row>
    <row r="35" spans="2:10" x14ac:dyDescent="0.55000000000000004">
      <c r="B35" s="43" t="s">
        <v>71</v>
      </c>
    </row>
    <row r="55" spans="2:10" x14ac:dyDescent="0.55000000000000004">
      <c r="B55" s="1" t="s">
        <v>67</v>
      </c>
      <c r="C55" s="44">
        <v>45170</v>
      </c>
      <c r="D55" s="44">
        <v>45200</v>
      </c>
      <c r="E55" s="44">
        <v>45231</v>
      </c>
      <c r="F55" s="44">
        <v>45261</v>
      </c>
      <c r="G55" s="44">
        <v>45292</v>
      </c>
      <c r="H55" s="44">
        <v>45323</v>
      </c>
      <c r="I55" s="1"/>
      <c r="J55" s="1"/>
    </row>
    <row r="56" spans="2:10" x14ac:dyDescent="0.55000000000000004">
      <c r="B56" s="1" t="s">
        <v>39</v>
      </c>
      <c r="C56" s="1">
        <v>0</v>
      </c>
      <c r="D56" s="1">
        <v>0</v>
      </c>
      <c r="E56" s="1">
        <v>0</v>
      </c>
      <c r="F56" s="1">
        <v>0</v>
      </c>
      <c r="G56" s="1">
        <v>1</v>
      </c>
      <c r="H56" s="1">
        <v>0</v>
      </c>
      <c r="I56" s="1"/>
      <c r="J56" s="1"/>
    </row>
    <row r="57" spans="2:10" x14ac:dyDescent="0.55000000000000004">
      <c r="B57" s="1" t="s">
        <v>28</v>
      </c>
      <c r="C57" s="1">
        <v>0</v>
      </c>
      <c r="D57" s="1">
        <v>0</v>
      </c>
      <c r="E57" s="1">
        <v>1</v>
      </c>
      <c r="F57" s="1">
        <v>0</v>
      </c>
      <c r="G57" s="1">
        <v>0</v>
      </c>
      <c r="H57" s="1">
        <v>0</v>
      </c>
      <c r="I57" s="1"/>
      <c r="J57" s="1"/>
    </row>
    <row r="58" spans="2:10" x14ac:dyDescent="0.55000000000000004">
      <c r="B58" s="1" t="s">
        <v>66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/>
      <c r="J59" s="1"/>
    </row>
    <row r="60" spans="2:10" x14ac:dyDescent="0.55000000000000004">
      <c r="B60" s="1" t="s">
        <v>27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/>
      <c r="J60" s="1"/>
    </row>
    <row r="61" spans="2:10" x14ac:dyDescent="0.55000000000000004">
      <c r="B61" s="1" t="s">
        <v>90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/>
      <c r="J61" s="1"/>
    </row>
    <row r="63" spans="2:10" x14ac:dyDescent="0.55000000000000004">
      <c r="B63" s="43" t="s">
        <v>72</v>
      </c>
    </row>
    <row r="64" spans="2:10" x14ac:dyDescent="0.55000000000000004">
      <c r="B64" s="43"/>
    </row>
    <row r="65" spans="2:2" x14ac:dyDescent="0.55000000000000004">
      <c r="B65" s="43"/>
    </row>
    <row r="66" spans="2:2" x14ac:dyDescent="0.55000000000000004">
      <c r="B66" s="43"/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83" spans="2:10" x14ac:dyDescent="0.55000000000000004">
      <c r="B83" s="1" t="s">
        <v>67</v>
      </c>
      <c r="C83" s="44">
        <v>45170</v>
      </c>
      <c r="D83" s="44">
        <v>45200</v>
      </c>
      <c r="E83" s="44">
        <v>45231</v>
      </c>
      <c r="F83" s="44">
        <v>45261</v>
      </c>
      <c r="G83" s="44">
        <v>45292</v>
      </c>
      <c r="H83" s="44">
        <v>45323</v>
      </c>
      <c r="I83" s="1"/>
      <c r="J83" s="1"/>
    </row>
    <row r="84" spans="2:10" x14ac:dyDescent="0.55000000000000004">
      <c r="B84" s="1" t="s">
        <v>39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/>
      <c r="J84" s="1"/>
    </row>
    <row r="85" spans="2:10" x14ac:dyDescent="0.55000000000000004">
      <c r="B85" s="1" t="s">
        <v>28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/>
      <c r="J85" s="1"/>
    </row>
    <row r="86" spans="2:10" x14ac:dyDescent="0.55000000000000004">
      <c r="B86" s="1" t="s">
        <v>66</v>
      </c>
      <c r="C86" s="1">
        <v>0</v>
      </c>
      <c r="D86" s="1">
        <v>0</v>
      </c>
      <c r="E86" s="1">
        <v>0</v>
      </c>
      <c r="F86" s="1">
        <v>2</v>
      </c>
      <c r="G86" s="1">
        <v>2</v>
      </c>
      <c r="H86" s="1">
        <v>2</v>
      </c>
      <c r="I86" s="1"/>
      <c r="J86" s="1"/>
    </row>
    <row r="87" spans="2:10" x14ac:dyDescent="0.55000000000000004">
      <c r="B87" s="1" t="s">
        <v>68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/>
      <c r="J87" s="1"/>
    </row>
    <row r="88" spans="2:10" x14ac:dyDescent="0.55000000000000004">
      <c r="B88" s="1" t="s">
        <v>27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/>
      <c r="J88" s="1"/>
    </row>
    <row r="89" spans="2:10" x14ac:dyDescent="0.55000000000000004">
      <c r="B89" s="1" t="s">
        <v>90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/>
      <c r="J89" s="1"/>
    </row>
    <row r="95" spans="2:10" x14ac:dyDescent="0.55000000000000004">
      <c r="D95" t="s">
        <v>334</v>
      </c>
    </row>
  </sheetData>
  <phoneticPr fontId="1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6326-CD43-4D70-B7BB-4C04379B24B9}">
  <sheetPr codeName="Sheet19"/>
  <dimension ref="B3:J101"/>
  <sheetViews>
    <sheetView workbookViewId="0">
      <selection activeCell="C7" sqref="C7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174</v>
      </c>
    </row>
    <row r="6" spans="2:2" x14ac:dyDescent="0.55000000000000004">
      <c r="B6" s="43" t="s">
        <v>213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/>
      <c r="F27" s="44"/>
      <c r="G27" s="44"/>
      <c r="H27" s="44"/>
      <c r="I27" s="1"/>
      <c r="J27" s="1"/>
    </row>
    <row r="28" spans="2:10" x14ac:dyDescent="0.55000000000000004">
      <c r="B28" s="1" t="s">
        <v>188</v>
      </c>
      <c r="C28" s="1">
        <v>0</v>
      </c>
      <c r="D28" s="1">
        <v>0</v>
      </c>
      <c r="E28" s="1"/>
      <c r="F28" s="1"/>
      <c r="G28" s="1"/>
      <c r="H28" s="1"/>
      <c r="I28" s="1"/>
      <c r="J28" s="1"/>
    </row>
    <row r="29" spans="2:10" x14ac:dyDescent="0.55000000000000004">
      <c r="B29" s="1" t="s">
        <v>189</v>
      </c>
      <c r="C29" s="1">
        <v>13.3</v>
      </c>
      <c r="D29" s="1">
        <v>2.4</v>
      </c>
      <c r="E29" s="1"/>
      <c r="F29" s="1"/>
      <c r="G29" s="1"/>
      <c r="H29" s="1"/>
      <c r="I29" s="1"/>
      <c r="J29" s="1"/>
    </row>
    <row r="30" spans="2:10" x14ac:dyDescent="0.55000000000000004">
      <c r="B30" s="1" t="s">
        <v>190</v>
      </c>
      <c r="C30" s="1">
        <v>0</v>
      </c>
      <c r="D30" s="1">
        <v>0</v>
      </c>
      <c r="E30" s="1"/>
      <c r="F30" s="1"/>
      <c r="G30" s="1"/>
      <c r="H30" s="1"/>
      <c r="I30" s="1"/>
      <c r="J30" s="1"/>
    </row>
    <row r="31" spans="2:10" x14ac:dyDescent="0.55000000000000004">
      <c r="B31" s="1" t="s">
        <v>191</v>
      </c>
      <c r="C31" s="1">
        <v>20</v>
      </c>
      <c r="D31" s="1">
        <v>0</v>
      </c>
      <c r="E31" s="1"/>
      <c r="F31" s="1"/>
      <c r="G31" s="1"/>
      <c r="H31" s="1"/>
      <c r="I31" s="1"/>
      <c r="J31" s="1"/>
    </row>
    <row r="32" spans="2:10" x14ac:dyDescent="0.55000000000000004">
      <c r="B32" s="1" t="s">
        <v>192</v>
      </c>
      <c r="C32" s="1">
        <v>0</v>
      </c>
      <c r="D32" s="1">
        <v>0</v>
      </c>
      <c r="E32" s="1"/>
      <c r="F32" s="1"/>
      <c r="G32" s="1"/>
      <c r="H32" s="1"/>
      <c r="I32" s="1"/>
      <c r="J32" s="1"/>
    </row>
    <row r="33" spans="2:10" x14ac:dyDescent="0.55000000000000004">
      <c r="B33" s="1" t="s">
        <v>193</v>
      </c>
      <c r="C33" s="1">
        <v>0.7</v>
      </c>
      <c r="D33" s="1">
        <v>1.3</v>
      </c>
      <c r="E33" s="1"/>
      <c r="F33" s="1"/>
      <c r="G33" s="1"/>
      <c r="H33" s="1"/>
      <c r="I33" s="1"/>
      <c r="J33" s="1"/>
    </row>
    <row r="34" spans="2:10" x14ac:dyDescent="0.55000000000000004">
      <c r="B34" s="1" t="s">
        <v>194</v>
      </c>
      <c r="C34" s="1">
        <v>0.4</v>
      </c>
      <c r="D34" s="1">
        <v>0.8</v>
      </c>
      <c r="E34" s="1"/>
      <c r="F34" s="1"/>
      <c r="G34" s="1"/>
      <c r="H34" s="1"/>
      <c r="I34" s="1"/>
      <c r="J34" s="1"/>
    </row>
    <row r="35" spans="2:10" x14ac:dyDescent="0.55000000000000004">
      <c r="B35" s="1" t="s">
        <v>195</v>
      </c>
      <c r="C35" s="1">
        <v>0</v>
      </c>
      <c r="D35" s="1">
        <v>0.5</v>
      </c>
      <c r="E35" s="1"/>
      <c r="F35" s="1"/>
      <c r="G35" s="1"/>
      <c r="H35" s="1"/>
      <c r="I35" s="1"/>
      <c r="J35" s="1"/>
    </row>
    <row r="36" spans="2:10" x14ac:dyDescent="0.55000000000000004">
      <c r="B36" s="1" t="s">
        <v>210</v>
      </c>
      <c r="C36" s="1">
        <v>0</v>
      </c>
      <c r="D36" s="1">
        <v>0</v>
      </c>
      <c r="E36" s="1"/>
      <c r="F36" s="1"/>
      <c r="G36" s="1"/>
      <c r="H36" s="1"/>
      <c r="I36" s="1"/>
      <c r="J36" s="1"/>
    </row>
    <row r="38" spans="2:10" x14ac:dyDescent="0.55000000000000004">
      <c r="B38" s="43" t="s">
        <v>212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/>
      <c r="F58" s="44"/>
      <c r="G58" s="44"/>
      <c r="H58" s="44"/>
      <c r="I58" s="1"/>
      <c r="J58" s="1"/>
    </row>
    <row r="59" spans="2:10" x14ac:dyDescent="0.55000000000000004">
      <c r="B59" s="1" t="s">
        <v>188</v>
      </c>
      <c r="C59" s="1">
        <v>0</v>
      </c>
      <c r="D59" s="1">
        <v>0</v>
      </c>
      <c r="E59" s="1"/>
      <c r="F59" s="1"/>
      <c r="G59" s="1"/>
      <c r="H59" s="1"/>
      <c r="I59" s="1"/>
      <c r="J59" s="1"/>
    </row>
    <row r="60" spans="2:10" x14ac:dyDescent="0.55000000000000004">
      <c r="B60" s="1" t="s">
        <v>189</v>
      </c>
      <c r="C60" s="1">
        <v>0</v>
      </c>
      <c r="D60" s="1">
        <v>0</v>
      </c>
      <c r="E60" s="1"/>
      <c r="F60" s="1"/>
      <c r="G60" s="1"/>
      <c r="H60" s="1"/>
      <c r="I60" s="1"/>
      <c r="J60" s="1"/>
    </row>
    <row r="61" spans="2:10" x14ac:dyDescent="0.55000000000000004">
      <c r="B61" s="1" t="s">
        <v>190</v>
      </c>
      <c r="C61" s="1">
        <v>0</v>
      </c>
      <c r="D61" s="1">
        <v>0</v>
      </c>
      <c r="E61" s="1"/>
      <c r="F61" s="1"/>
      <c r="G61" s="1"/>
      <c r="H61" s="1"/>
      <c r="I61" s="1"/>
      <c r="J61" s="1"/>
    </row>
    <row r="62" spans="2:10" x14ac:dyDescent="0.55000000000000004">
      <c r="B62" s="1" t="s">
        <v>191</v>
      </c>
      <c r="C62" s="1">
        <v>0</v>
      </c>
      <c r="D62" s="1">
        <v>0</v>
      </c>
      <c r="E62" s="1"/>
      <c r="F62" s="1"/>
      <c r="G62" s="1"/>
      <c r="H62" s="1"/>
      <c r="I62" s="1"/>
      <c r="J62" s="1"/>
    </row>
    <row r="63" spans="2:10" x14ac:dyDescent="0.55000000000000004">
      <c r="B63" s="1" t="s">
        <v>192</v>
      </c>
      <c r="C63" s="1">
        <v>0</v>
      </c>
      <c r="D63" s="1">
        <v>0</v>
      </c>
      <c r="E63" s="1"/>
      <c r="F63" s="1"/>
      <c r="G63" s="1"/>
      <c r="H63" s="1"/>
      <c r="I63" s="1"/>
      <c r="J63" s="1"/>
    </row>
    <row r="64" spans="2:10" x14ac:dyDescent="0.55000000000000004">
      <c r="B64" s="1" t="s">
        <v>193</v>
      </c>
      <c r="C64" s="1">
        <v>0</v>
      </c>
      <c r="D64" s="1">
        <v>0</v>
      </c>
      <c r="E64" s="1"/>
      <c r="F64" s="1"/>
      <c r="G64" s="1"/>
      <c r="H64" s="1"/>
      <c r="I64" s="1"/>
      <c r="J64" s="1"/>
    </row>
    <row r="65" spans="2:10" x14ac:dyDescent="0.55000000000000004">
      <c r="B65" s="1" t="s">
        <v>194</v>
      </c>
      <c r="C65" s="1">
        <v>0</v>
      </c>
      <c r="D65" s="1">
        <v>0</v>
      </c>
      <c r="E65" s="1"/>
      <c r="F65" s="1"/>
      <c r="G65" s="1"/>
      <c r="H65" s="1"/>
      <c r="I65" s="1"/>
      <c r="J65" s="1"/>
    </row>
    <row r="66" spans="2:10" x14ac:dyDescent="0.55000000000000004">
      <c r="B66" s="1" t="s">
        <v>195</v>
      </c>
      <c r="C66" s="1">
        <v>0</v>
      </c>
      <c r="D66" s="1">
        <v>0</v>
      </c>
      <c r="E66" s="1"/>
      <c r="F66" s="1"/>
      <c r="G66" s="1"/>
      <c r="H66" s="1"/>
      <c r="I66" s="1"/>
      <c r="J66" s="1"/>
    </row>
    <row r="67" spans="2:10" x14ac:dyDescent="0.55000000000000004">
      <c r="B67" s="1" t="s">
        <v>210</v>
      </c>
      <c r="C67" s="1">
        <v>0</v>
      </c>
      <c r="D67" s="1">
        <v>0</v>
      </c>
      <c r="E67" s="1"/>
      <c r="F67" s="1"/>
      <c r="G67" s="1"/>
      <c r="H67" s="1"/>
      <c r="I67" s="1"/>
      <c r="J67" s="1"/>
    </row>
    <row r="72" spans="2:10" x14ac:dyDescent="0.55000000000000004">
      <c r="B72" s="43" t="s">
        <v>211</v>
      </c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83" spans="2:10" x14ac:dyDescent="0.55000000000000004">
      <c r="B83" s="43"/>
    </row>
    <row r="84" spans="2:10" x14ac:dyDescent="0.55000000000000004">
      <c r="B84" s="43"/>
    </row>
    <row r="92" spans="2:10" x14ac:dyDescent="0.55000000000000004">
      <c r="B92" s="1" t="s">
        <v>67</v>
      </c>
      <c r="C92" s="44">
        <v>45292</v>
      </c>
      <c r="D92" s="44">
        <v>45323</v>
      </c>
      <c r="E92" s="44"/>
      <c r="F92" s="44"/>
      <c r="G92" s="44"/>
      <c r="H92" s="44"/>
      <c r="I92" s="1"/>
      <c r="J92" s="1"/>
    </row>
    <row r="93" spans="2:10" x14ac:dyDescent="0.55000000000000004">
      <c r="B93" s="1" t="s">
        <v>188</v>
      </c>
      <c r="C93" s="1">
        <v>0</v>
      </c>
      <c r="D93" s="1">
        <v>0</v>
      </c>
      <c r="E93" s="1"/>
      <c r="F93" s="1"/>
      <c r="G93" s="1"/>
      <c r="H93" s="1"/>
      <c r="I93" s="1"/>
      <c r="J93" s="1"/>
    </row>
    <row r="94" spans="2:10" x14ac:dyDescent="0.55000000000000004">
      <c r="B94" s="1" t="s">
        <v>189</v>
      </c>
      <c r="C94" s="1">
        <v>0</v>
      </c>
      <c r="D94" s="1">
        <v>0</v>
      </c>
      <c r="E94" s="1"/>
      <c r="F94" s="1"/>
      <c r="G94" s="1"/>
      <c r="H94" s="1"/>
      <c r="I94" s="1"/>
      <c r="J94" s="1"/>
    </row>
    <row r="95" spans="2:10" x14ac:dyDescent="0.55000000000000004">
      <c r="B95" s="1" t="s">
        <v>190</v>
      </c>
      <c r="C95" s="1">
        <v>0</v>
      </c>
      <c r="D95" s="1">
        <v>0</v>
      </c>
      <c r="E95" s="1"/>
      <c r="F95" s="1"/>
      <c r="G95" s="1"/>
      <c r="H95" s="1"/>
      <c r="I95" s="1"/>
      <c r="J95" s="1"/>
    </row>
    <row r="96" spans="2:10" x14ac:dyDescent="0.55000000000000004">
      <c r="B96" s="1" t="s">
        <v>191</v>
      </c>
      <c r="C96" s="1">
        <v>0</v>
      </c>
      <c r="D96" s="1">
        <v>0</v>
      </c>
      <c r="E96" s="1"/>
      <c r="F96" s="1"/>
      <c r="G96" s="1"/>
      <c r="H96" s="1"/>
      <c r="I96" s="1"/>
      <c r="J96" s="1"/>
    </row>
    <row r="97" spans="2:10" x14ac:dyDescent="0.55000000000000004">
      <c r="B97" s="1" t="s">
        <v>192</v>
      </c>
      <c r="C97" s="1">
        <v>0</v>
      </c>
      <c r="D97" s="1">
        <v>0</v>
      </c>
      <c r="E97" s="1"/>
      <c r="F97" s="1"/>
      <c r="G97" s="1"/>
      <c r="H97" s="1"/>
      <c r="I97" s="1"/>
      <c r="J97" s="1"/>
    </row>
    <row r="98" spans="2:10" x14ac:dyDescent="0.55000000000000004">
      <c r="B98" s="1" t="s">
        <v>193</v>
      </c>
      <c r="C98" s="1">
        <v>0</v>
      </c>
      <c r="D98" s="1">
        <v>0</v>
      </c>
      <c r="E98" s="1"/>
      <c r="F98" s="1"/>
      <c r="G98" s="1"/>
      <c r="H98" s="1"/>
      <c r="I98" s="1"/>
      <c r="J98" s="1"/>
    </row>
    <row r="99" spans="2:10" x14ac:dyDescent="0.55000000000000004">
      <c r="B99" s="1" t="s">
        <v>194</v>
      </c>
      <c r="C99" s="1">
        <v>0</v>
      </c>
      <c r="D99" s="1">
        <v>0</v>
      </c>
      <c r="E99" s="1"/>
      <c r="F99" s="1"/>
      <c r="G99" s="1"/>
      <c r="H99" s="1"/>
      <c r="I99" s="1"/>
      <c r="J99" s="1"/>
    </row>
    <row r="100" spans="2:10" x14ac:dyDescent="0.55000000000000004">
      <c r="B100" s="1" t="s">
        <v>195</v>
      </c>
      <c r="C100" s="1">
        <v>0</v>
      </c>
      <c r="D100" s="1">
        <v>0</v>
      </c>
      <c r="E100" s="1"/>
      <c r="F100" s="1"/>
      <c r="G100" s="1"/>
      <c r="H100" s="1"/>
      <c r="I100" s="1"/>
      <c r="J100" s="1"/>
    </row>
    <row r="101" spans="2:10" x14ac:dyDescent="0.55000000000000004">
      <c r="B101" s="1" t="s">
        <v>210</v>
      </c>
      <c r="C101" s="1">
        <v>0</v>
      </c>
      <c r="D101" s="1">
        <v>0</v>
      </c>
      <c r="E101" s="1"/>
      <c r="F101" s="1"/>
      <c r="G101" s="1"/>
      <c r="H101" s="1"/>
      <c r="I101" s="1"/>
      <c r="J101" s="1"/>
    </row>
  </sheetData>
  <phoneticPr fontId="1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714-512E-42D6-8DA2-A2E7AD157F8F}">
  <sheetPr codeName="Sheet23"/>
  <dimension ref="B2:B20"/>
  <sheetViews>
    <sheetView topLeftCell="A8" workbookViewId="0">
      <selection activeCell="E28" sqref="E28"/>
    </sheetView>
  </sheetViews>
  <sheetFormatPr defaultRowHeight="18" x14ac:dyDescent="0.55000000000000004"/>
  <cols>
    <col min="2" max="2" width="12.33203125" bestFit="1" customWidth="1"/>
  </cols>
  <sheetData>
    <row r="2" spans="2:2" x14ac:dyDescent="0.55000000000000004">
      <c r="B2" s="1" t="s">
        <v>389</v>
      </c>
    </row>
    <row r="3" spans="2:2" x14ac:dyDescent="0.55000000000000004">
      <c r="B3" s="1" t="s">
        <v>330</v>
      </c>
    </row>
    <row r="4" spans="2:2" x14ac:dyDescent="0.55000000000000004">
      <c r="B4" s="1" t="s">
        <v>27</v>
      </c>
    </row>
    <row r="5" spans="2:2" x14ac:dyDescent="0.55000000000000004">
      <c r="B5" s="1" t="s">
        <v>29</v>
      </c>
    </row>
    <row r="6" spans="2:2" x14ac:dyDescent="0.55000000000000004">
      <c r="B6" s="1" t="s">
        <v>28</v>
      </c>
    </row>
    <row r="7" spans="2:2" x14ac:dyDescent="0.55000000000000004">
      <c r="B7" s="1" t="s">
        <v>36</v>
      </c>
    </row>
    <row r="8" spans="2:2" x14ac:dyDescent="0.55000000000000004">
      <c r="B8" s="1" t="s">
        <v>68</v>
      </c>
    </row>
    <row r="9" spans="2:2" x14ac:dyDescent="0.55000000000000004">
      <c r="B9" s="1" t="s">
        <v>329</v>
      </c>
    </row>
    <row r="10" spans="2:2" x14ac:dyDescent="0.55000000000000004">
      <c r="B10" s="1" t="s">
        <v>167</v>
      </c>
    </row>
    <row r="11" spans="2:2" x14ac:dyDescent="0.55000000000000004">
      <c r="B11" s="1" t="s">
        <v>152</v>
      </c>
    </row>
    <row r="12" spans="2:2" x14ac:dyDescent="0.55000000000000004">
      <c r="B12" s="1" t="s">
        <v>100</v>
      </c>
    </row>
    <row r="13" spans="2:2" x14ac:dyDescent="0.55000000000000004">
      <c r="B13" s="1" t="s">
        <v>151</v>
      </c>
    </row>
    <row r="14" spans="2:2" x14ac:dyDescent="0.55000000000000004">
      <c r="B14" s="1" t="s">
        <v>150</v>
      </c>
    </row>
    <row r="15" spans="2:2" x14ac:dyDescent="0.55000000000000004">
      <c r="B15" s="1" t="s">
        <v>40</v>
      </c>
    </row>
    <row r="16" spans="2:2" x14ac:dyDescent="0.55000000000000004">
      <c r="B16" s="1" t="s">
        <v>390</v>
      </c>
    </row>
    <row r="17" spans="2:2" x14ac:dyDescent="0.55000000000000004">
      <c r="B17" s="1" t="s">
        <v>14</v>
      </c>
    </row>
    <row r="18" spans="2:2" x14ac:dyDescent="0.55000000000000004">
      <c r="B18" s="1" t="s">
        <v>2</v>
      </c>
    </row>
    <row r="19" spans="2:2" x14ac:dyDescent="0.55000000000000004">
      <c r="B19" s="1" t="s">
        <v>15</v>
      </c>
    </row>
    <row r="20" spans="2:2" x14ac:dyDescent="0.55000000000000004">
      <c r="B20" s="1" t="s">
        <v>391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bc703f821cd8c774f5cd7f3c1efec799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70feb49e4ae77eedc90059d835d1b342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A64AFC-CFCD-4E47-8FD5-01F6F9C538E2}">
  <ds:schemaRefs>
    <ds:schemaRef ds:uri="http://schemas.microsoft.com/office/2006/metadata/properties"/>
    <ds:schemaRef ds:uri="http://www.w3.org/XML/1998/namespace"/>
    <ds:schemaRef ds:uri="http://purl.org/dc/dcmitype/"/>
    <ds:schemaRef ds:uri="http://purl.org/dc/terms/"/>
    <ds:schemaRef ds:uri="http://purl.org/dc/elements/1.1/"/>
    <ds:schemaRef ds:uri="2800fe1a-de70-4134-97c0-3f20be2226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dd3bebe-02df-40bc-82d6-69dfec61ed77"/>
  </ds:schemaRefs>
</ds:datastoreItem>
</file>

<file path=customXml/itemProps2.xml><?xml version="1.0" encoding="utf-8"?>
<ds:datastoreItem xmlns:ds="http://schemas.openxmlformats.org/officeDocument/2006/customXml" ds:itemID="{BF3F34D1-2E88-4D13-9C47-BA75AD87A27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BE3C1F-791B-4C40-A186-B11311827C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30</vt:i4>
      </vt:variant>
    </vt:vector>
  </HeadingPairs>
  <TitlesOfParts>
    <vt:vector size="30" baseType="lpstr">
      <vt:lpstr>myTe</vt:lpstr>
      <vt:lpstr>myTE 累積棒グラフ</vt:lpstr>
      <vt:lpstr>myTE 累積棒グラフold</vt:lpstr>
      <vt:lpstr>myTE　グラフテスト</vt:lpstr>
      <vt:lpstr>I&amp;D</vt:lpstr>
      <vt:lpstr>I&amp;D 累積棒グラフ</vt:lpstr>
      <vt:lpstr>I&amp;D 累積棒グラフold</vt:lpstr>
      <vt:lpstr>人事異動・組織改編</vt:lpstr>
      <vt:lpstr>人事異動累積棒グラフ</vt:lpstr>
      <vt:lpstr>人事異動・組織改編累積件数グラフold</vt:lpstr>
      <vt:lpstr>サーバールーム</vt:lpstr>
      <vt:lpstr>サーバールーム累積件数グラフ</vt:lpstr>
      <vt:lpstr>Jpit月次基盤</vt:lpstr>
      <vt:lpstr>Jpit月次基盤累積件数グラフ</vt:lpstr>
      <vt:lpstr>集計方法</vt:lpstr>
      <vt:lpstr>作業用 (myTE集計用)</vt:lpstr>
      <vt:lpstr>作業用 (I&amp;D集計用)</vt:lpstr>
      <vt:lpstr>作業用 (人事異動集計用)</vt:lpstr>
      <vt:lpstr>服部案 (myTE202401-202403)</vt:lpstr>
      <vt:lpstr>服部案 (myTE02309-202312)</vt:lpstr>
      <vt:lpstr>I&amp;D 202401-202403</vt:lpstr>
      <vt:lpstr>I&amp;D202309-202312 </vt:lpstr>
      <vt:lpstr>人事異動 202404-</vt:lpstr>
      <vt:lpstr>人事異動 202401-202402</vt:lpstr>
      <vt:lpstr>人事異動FB率 202401-202402</vt:lpstr>
      <vt:lpstr>大竹案 (2)</vt:lpstr>
      <vt:lpstr>服部案</vt:lpstr>
      <vt:lpstr>服部案(FB推移グラフ)</vt:lpstr>
      <vt:lpstr>人事異動・組織改編累FB率グラフ</vt:lpstr>
      <vt:lpstr>メンバー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Muramatsu, Takashi</dc:creator>
  <cp:keywords/>
  <dc:description/>
  <cp:lastModifiedBy>Hattori, Takao</cp:lastModifiedBy>
  <cp:revision/>
  <dcterms:created xsi:type="dcterms:W3CDTF">2024-02-16T05:22:46Z</dcterms:created>
  <dcterms:modified xsi:type="dcterms:W3CDTF">2024-04-23T01:23:15Z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