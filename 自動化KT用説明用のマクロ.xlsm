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自動化KT用/"/>
    </mc:Choice>
  </mc:AlternateContent>
  <xr:revisionPtr revIDLastSave="1204" documentId="8_{648241B3-C30A-4811-AC14-38907B64DD78}" xr6:coauthVersionLast="47" xr6:coauthVersionMax="47" xr10:uidLastSave="{626A6AA7-2B8F-4948-9930-4016FE15F5E4}"/>
  <bookViews>
    <workbookView xWindow="-110" yWindow="-110" windowWidth="19420" windowHeight="11500" xr2:uid="{3C37F1DD-5C81-47DF-9048-BBFD8E06B336}"/>
  </bookViews>
  <sheets>
    <sheet name="購入データ(手作業)" sheetId="1" r:id="rId1"/>
    <sheet name="購入データ(自動化)" sheetId="3" r:id="rId2"/>
  </sheets>
  <functionGroups builtInGroupCount="19"/>
  <calcPr calcId="191029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/>
  <c r="N14" i="1"/>
  <c r="N13" i="1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21" i="1"/>
  <c r="G20" i="1"/>
  <c r="G19" i="1"/>
  <c r="N8" i="1"/>
  <c r="N7" i="1"/>
  <c r="N6" i="1"/>
  <c r="N5" i="1"/>
  <c r="N4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<sst xmlns="http://schemas.openxmlformats.org/spreadsheetml/2006/main" count="104" uniqueCount="35">
  <si>
    <t>日付</t>
    <rPh sb="0" eb="2">
      <t>ヒヅケ</t>
    </rPh>
    <phoneticPr fontId="1"/>
  </si>
  <si>
    <t>購入した書籍</t>
    <rPh sb="0" eb="2">
      <t>コウニュウ</t>
    </rPh>
    <rPh sb="4" eb="6">
      <t>ショセキ</t>
    </rPh>
    <phoneticPr fontId="1"/>
  </si>
  <si>
    <t>1冊当たりの購入価格</t>
    <rPh sb="1" eb="3">
      <t>サツア</t>
    </rPh>
    <rPh sb="6" eb="8">
      <t>コウニュウ</t>
    </rPh>
    <rPh sb="8" eb="10">
      <t>カカク</t>
    </rPh>
    <phoneticPr fontId="1"/>
  </si>
  <si>
    <t>冊数</t>
    <rPh sb="0" eb="2">
      <t>サツスウ</t>
    </rPh>
    <phoneticPr fontId="1"/>
  </si>
  <si>
    <t>購入費</t>
    <rPh sb="0" eb="3">
      <t>コウニュウヒ</t>
    </rPh>
    <phoneticPr fontId="1"/>
  </si>
  <si>
    <t>スッキリわかるpython入門</t>
    <rPh sb="13" eb="15">
      <t>ニュウモン</t>
    </rPh>
    <phoneticPr fontId="1"/>
  </si>
  <si>
    <t>日経ソフトウェア</t>
    <rPh sb="0" eb="2">
      <t>ニッケイ</t>
    </rPh>
    <phoneticPr fontId="1"/>
  </si>
  <si>
    <t>デザイン思考入門</t>
    <rPh sb="4" eb="6">
      <t>シコウ</t>
    </rPh>
    <rPh sb="6" eb="8">
      <t>ニュウモン</t>
    </rPh>
    <phoneticPr fontId="1"/>
  </si>
  <si>
    <t>python1年生</t>
    <rPh sb="7" eb="9">
      <t>ネンセイ</t>
    </rPh>
    <phoneticPr fontId="1"/>
  </si>
  <si>
    <t>戦略コンサルの技術</t>
    <phoneticPr fontId="1"/>
  </si>
  <si>
    <t>スッキリわかる機械学習入門</t>
    <rPh sb="7" eb="11">
      <t>キカイガクシュウ</t>
    </rPh>
    <rPh sb="11" eb="13">
      <t>ニュウモン</t>
    </rPh>
    <phoneticPr fontId="1"/>
  </si>
  <si>
    <t>ロジカル資料作成トレーニング</t>
    <phoneticPr fontId="1"/>
  </si>
  <si>
    <t>ＰＭＯ導入フレームワーク</t>
    <phoneticPr fontId="1"/>
  </si>
  <si>
    <t>SoftWare Design</t>
    <phoneticPr fontId="1"/>
  </si>
  <si>
    <t>書籍のカテゴリー</t>
    <rPh sb="0" eb="2">
      <t>ショセキ</t>
    </rPh>
    <phoneticPr fontId="1"/>
  </si>
  <si>
    <t>雑誌</t>
    <rPh sb="0" eb="2">
      <t>ザッシ</t>
    </rPh>
    <phoneticPr fontId="1"/>
  </si>
  <si>
    <t>Microsoft 365運用マニュアル</t>
    <rPh sb="13" eb="15">
      <t>ウンヨウ</t>
    </rPh>
    <phoneticPr fontId="1"/>
  </si>
  <si>
    <t>ITIL運用 図解と実践</t>
    <rPh sb="4" eb="6">
      <t>ウンヨウ</t>
    </rPh>
    <rPh sb="7" eb="9">
      <t>ズカイ</t>
    </rPh>
    <rPh sb="10" eb="12">
      <t>ジッセン</t>
    </rPh>
    <phoneticPr fontId="1"/>
  </si>
  <si>
    <t>図解 DX時代のPLM/BOMプロセス改善入門</t>
    <phoneticPr fontId="1"/>
  </si>
  <si>
    <t>TIME TALENT ENERGY</t>
    <phoneticPr fontId="1"/>
  </si>
  <si>
    <t>AX(アジャイル・トランスフォーメーション)戦略</t>
    <phoneticPr fontId="1"/>
  </si>
  <si>
    <t>Data Science World</t>
    <phoneticPr fontId="1"/>
  </si>
  <si>
    <t>年月別</t>
    <rPh sb="0" eb="3">
      <t>ネンツキベツ</t>
    </rPh>
    <phoneticPr fontId="1"/>
  </si>
  <si>
    <t>月別購入費</t>
    <rPh sb="0" eb="5">
      <t>ツキベツコウニュウヒ</t>
    </rPh>
    <phoneticPr fontId="1"/>
  </si>
  <si>
    <t>Data Driven Stragery</t>
    <phoneticPr fontId="1"/>
  </si>
  <si>
    <t>スッキリ分かる機械学習入門</t>
    <rPh sb="4" eb="5">
      <t>ワ</t>
    </rPh>
    <rPh sb="7" eb="11">
      <t>キカイガクシュウ</t>
    </rPh>
    <rPh sb="11" eb="13">
      <t>ニュウモン</t>
    </rPh>
    <phoneticPr fontId="1"/>
  </si>
  <si>
    <t>書籍種別</t>
    <rPh sb="0" eb="4">
      <t>ショセキシュベツ</t>
    </rPh>
    <phoneticPr fontId="1"/>
  </si>
  <si>
    <t>書籍別購入費</t>
    <rPh sb="0" eb="3">
      <t>ショセキベツ</t>
    </rPh>
    <rPh sb="3" eb="6">
      <t>コウニュウヒ</t>
    </rPh>
    <phoneticPr fontId="1"/>
  </si>
  <si>
    <t>以下の表はある部署の書籍購入履歴表です。</t>
    <rPh sb="0" eb="2">
      <t>イカ</t>
    </rPh>
    <rPh sb="3" eb="4">
      <t>ヒョウ</t>
    </rPh>
    <rPh sb="7" eb="9">
      <t>ブショ</t>
    </rPh>
    <rPh sb="10" eb="12">
      <t>ショセキ</t>
    </rPh>
    <rPh sb="12" eb="14">
      <t>コウニュウ</t>
    </rPh>
    <rPh sb="14" eb="16">
      <t>リレキ</t>
    </rPh>
    <rPh sb="16" eb="17">
      <t>ヒョウ</t>
    </rPh>
    <phoneticPr fontId="1"/>
  </si>
  <si>
    <t>(問題)</t>
    <rPh sb="1" eb="3">
      <t>モンダイ</t>
    </rPh>
    <phoneticPr fontId="1"/>
  </si>
  <si>
    <t>専門書</t>
    <rPh sb="0" eb="3">
      <t>センモンショ</t>
    </rPh>
    <phoneticPr fontId="1"/>
  </si>
  <si>
    <t>月別書籍購入費一覧表</t>
    <rPh sb="0" eb="2">
      <t>ツキベツ</t>
    </rPh>
    <rPh sb="2" eb="7">
      <t>ショセキコウニュウヒ</t>
    </rPh>
    <rPh sb="7" eb="10">
      <t>イチランヒョウ</t>
    </rPh>
    <phoneticPr fontId="1"/>
  </si>
  <si>
    <t>書籍種別購入費一覧表</t>
    <rPh sb="0" eb="2">
      <t>ショセキ</t>
    </rPh>
    <rPh sb="2" eb="4">
      <t>シュベツ</t>
    </rPh>
    <rPh sb="4" eb="6">
      <t>コウニュウ</t>
    </rPh>
    <rPh sb="6" eb="7">
      <t>ヒ</t>
    </rPh>
    <rPh sb="7" eb="10">
      <t>イチランヒョウ</t>
    </rPh>
    <phoneticPr fontId="1"/>
  </si>
  <si>
    <t>(2) 雑誌、専門書毎の購入費を「書籍種別購入費一覧表」の空欄に記入してください。</t>
    <rPh sb="4" eb="6">
      <t>ザッシ</t>
    </rPh>
    <rPh sb="7" eb="10">
      <t>センモンショ</t>
    </rPh>
    <rPh sb="10" eb="11">
      <t>ゴト</t>
    </rPh>
    <rPh sb="12" eb="15">
      <t>コウニュウヒ</t>
    </rPh>
    <rPh sb="29" eb="31">
      <t>クウラン</t>
    </rPh>
    <rPh sb="32" eb="34">
      <t>キニュウ</t>
    </rPh>
    <phoneticPr fontId="1"/>
  </si>
  <si>
    <t>(1) 「月別書籍購入費一覧表」に、月別の購入費の空欄を記入してください。</t>
    <rPh sb="5" eb="7">
      <t>ツキベツ</t>
    </rPh>
    <rPh sb="7" eb="15">
      <t>ショセキコウニュウヒイチランヒョウ</t>
    </rPh>
    <rPh sb="18" eb="20">
      <t>ツキベツ</t>
    </rPh>
    <rPh sb="21" eb="24">
      <t>コウニュウヒ</t>
    </rPh>
    <rPh sb="25" eb="27">
      <t>クウラン</t>
    </rPh>
    <rPh sb="28" eb="30">
      <t>キニュウ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</si>
</sst>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55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17</xdr:row>
      <xdr:rowOff>12700</xdr:rowOff>
    </xdr:from>
    <xdr:to>
      <xdr:col>13</xdr:col>
      <xdr:colOff>673100</xdr:colOff>
      <xdr:row>18</xdr:row>
      <xdr:rowOff>222250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5C83820B-DA20-11FD-7E23-F503C4CC5104}"/>
            </a:ext>
          </a:extLst>
        </xdr:cNvPr>
        <xdr:cNvSpPr/>
      </xdr:nvSpPr>
      <xdr:spPr>
        <a:xfrm>
          <a:off x="12287250" y="4127500"/>
          <a:ext cx="1422400" cy="4381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集計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E852-1C21-48CC-AF29-D1918BA26C82}">
  <sheetPr codeName="Sheet1"/>
  <dimension ref="B1:N27"/>
  <sheetViews>
    <sheetView tabSelected="1" topLeftCell="C7" workbookViewId="0">
      <selection activeCell="N10" sqref="N10"/>
    </sheetView>
  </sheetViews>
  <sheetFormatPr defaultRowHeight="18" x14ac:dyDescent="0.55000000000000004"/>
  <cols>
    <col min="2" max="2" width="12.08203125" customWidth="1"/>
    <col min="3" max="4" width="26.6640625" customWidth="1"/>
    <col min="5" max="5" width="19.33203125" bestFit="1" customWidth="1"/>
    <col min="7" max="7" width="15.83203125" customWidth="1"/>
    <col min="8" max="8" width="5.5" customWidth="1"/>
    <col min="9" max="9" width="6.08203125" customWidth="1"/>
    <col min="10" max="10" width="6.1640625" customWidth="1"/>
    <col min="11" max="11" width="5.4140625" customWidth="1"/>
    <col min="12" max="12" width="6.33203125" customWidth="1"/>
    <col min="13" max="13" width="9.83203125" bestFit="1" customWidth="1"/>
    <col min="14" max="14" width="11.08203125" bestFit="1" customWidth="1"/>
  </cols>
  <sheetData>
    <row r="1" spans="2:14" x14ac:dyDescent="0.55000000000000004">
      <c r="B1" s="7" t="s">
        <v>28</v>
      </c>
      <c r="N1" s="3"/>
    </row>
    <row r="2" spans="2:14" x14ac:dyDescent="0.55000000000000004">
      <c r="M2" s="7" t="s">
        <v>31</v>
      </c>
    </row>
    <row r="3" spans="2:14" x14ac:dyDescent="0.55000000000000004">
      <c r="B3" s="6" t="s">
        <v>0</v>
      </c>
      <c r="C3" s="6" t="s">
        <v>1</v>
      </c>
      <c r="D3" s="6" t="s">
        <v>14</v>
      </c>
      <c r="E3" s="6" t="s">
        <v>2</v>
      </c>
      <c r="F3" s="6" t="s">
        <v>3</v>
      </c>
      <c r="G3" s="6" t="s">
        <v>4</v>
      </c>
      <c r="M3" s="5" t="s">
        <v>22</v>
      </c>
      <c r="N3" s="5" t="s">
        <v>23</v>
      </c>
    </row>
    <row r="4" spans="2:14" x14ac:dyDescent="0.55000000000000004">
      <c r="B4" s="2">
        <v>45717</v>
      </c>
      <c r="C4" s="1" t="s">
        <v>8</v>
      </c>
      <c r="D4" s="1" t="s">
        <v>30</v>
      </c>
      <c r="E4" s="1">
        <v>1500</v>
      </c>
      <c r="F4" s="1">
        <v>3</v>
      </c>
      <c r="G4" s="1">
        <f>E4*F4</f>
        <v>4500</v>
      </c>
      <c r="M4" s="4">
        <v>45717</v>
      </c>
      <c r="N4" s="1">
        <f>SUM(G4:G6)</f>
        <v>14200</v>
      </c>
    </row>
    <row r="5" spans="2:14" x14ac:dyDescent="0.55000000000000004">
      <c r="B5" s="2">
        <v>45731</v>
      </c>
      <c r="C5" s="1" t="s">
        <v>5</v>
      </c>
      <c r="D5" s="1" t="s">
        <v>30</v>
      </c>
      <c r="E5" s="1">
        <v>2500</v>
      </c>
      <c r="F5" s="1">
        <v>3</v>
      </c>
      <c r="G5" s="1">
        <f t="shared" ref="G5:G18" si="0">E5*F5</f>
        <v>7500</v>
      </c>
      <c r="M5" s="4">
        <v>45748</v>
      </c>
      <c r="N5" s="1">
        <f>SUM(G7:G8)</f>
        <v>10000</v>
      </c>
    </row>
    <row r="6" spans="2:14" x14ac:dyDescent="0.55000000000000004">
      <c r="B6" s="2">
        <v>45738</v>
      </c>
      <c r="C6" s="1" t="s">
        <v>6</v>
      </c>
      <c r="D6" s="1" t="s">
        <v>15</v>
      </c>
      <c r="E6" s="1">
        <v>2200</v>
      </c>
      <c r="F6" s="1">
        <v>1</v>
      </c>
      <c r="G6" s="1">
        <f t="shared" si="0"/>
        <v>2200</v>
      </c>
      <c r="M6" s="4">
        <v>45778</v>
      </c>
      <c r="N6" s="1">
        <f>SUM(G9:G10)</f>
        <v>13500</v>
      </c>
    </row>
    <row r="7" spans="2:14" x14ac:dyDescent="0.55000000000000004">
      <c r="B7" s="2">
        <v>45757</v>
      </c>
      <c r="C7" s="1" t="s">
        <v>7</v>
      </c>
      <c r="D7" s="1" t="s">
        <v>30</v>
      </c>
      <c r="E7" s="1">
        <v>1500</v>
      </c>
      <c r="F7" s="1">
        <v>2</v>
      </c>
      <c r="G7" s="1">
        <f t="shared" si="0"/>
        <v>3000</v>
      </c>
      <c r="M7" s="4">
        <v>45809</v>
      </c>
      <c r="N7" s="1">
        <f>SUM(G11:G15)</f>
        <v>21130</v>
      </c>
    </row>
    <row r="8" spans="2:14" x14ac:dyDescent="0.55000000000000004">
      <c r="B8" s="2">
        <v>45769</v>
      </c>
      <c r="C8" s="1" t="s">
        <v>9</v>
      </c>
      <c r="D8" s="1" t="s">
        <v>30</v>
      </c>
      <c r="E8" s="1">
        <v>3500</v>
      </c>
      <c r="F8" s="1">
        <v>2</v>
      </c>
      <c r="G8" s="1">
        <f t="shared" si="0"/>
        <v>7000</v>
      </c>
      <c r="M8" s="4">
        <v>45839</v>
      </c>
      <c r="N8" s="1">
        <f>SUM(G16:G18)</f>
        <v>11490</v>
      </c>
    </row>
    <row r="9" spans="2:14" x14ac:dyDescent="0.55000000000000004">
      <c r="B9" s="2">
        <v>45787</v>
      </c>
      <c r="C9" s="1" t="s">
        <v>10</v>
      </c>
      <c r="D9" s="1" t="s">
        <v>30</v>
      </c>
      <c r="E9" s="1">
        <v>2800</v>
      </c>
      <c r="F9" s="1">
        <v>3</v>
      </c>
      <c r="G9" s="1">
        <f t="shared" si="0"/>
        <v>8400</v>
      </c>
      <c r="M9" s="4">
        <v>45870</v>
      </c>
      <c r="N9" s="1">
        <f>SUM(G19:G21)</f>
        <v>15400</v>
      </c>
    </row>
    <row r="10" spans="2:14" x14ac:dyDescent="0.55000000000000004">
      <c r="B10" s="2">
        <v>45798</v>
      </c>
      <c r="C10" s="1" t="s">
        <v>11</v>
      </c>
      <c r="D10" s="1" t="s">
        <v>30</v>
      </c>
      <c r="E10" s="1">
        <v>1700</v>
      </c>
      <c r="F10" s="1">
        <v>3</v>
      </c>
      <c r="G10" s="1">
        <f t="shared" si="0"/>
        <v>5100</v>
      </c>
    </row>
    <row r="11" spans="2:14" x14ac:dyDescent="0.55000000000000004">
      <c r="B11" s="2">
        <v>45811</v>
      </c>
      <c r="C11" s="1" t="s">
        <v>12</v>
      </c>
      <c r="D11" s="1" t="s">
        <v>30</v>
      </c>
      <c r="E11" s="1">
        <v>3600</v>
      </c>
      <c r="F11" s="1">
        <v>1</v>
      </c>
      <c r="G11" s="1">
        <f t="shared" si="0"/>
        <v>3600</v>
      </c>
      <c r="M11" s="7" t="s">
        <v>32</v>
      </c>
    </row>
    <row r="12" spans="2:14" x14ac:dyDescent="0.55000000000000004">
      <c r="B12" s="2">
        <v>45818</v>
      </c>
      <c r="C12" s="1" t="s">
        <v>13</v>
      </c>
      <c r="D12" s="1" t="s">
        <v>15</v>
      </c>
      <c r="E12" s="1">
        <v>2000</v>
      </c>
      <c r="F12" s="1">
        <v>1</v>
      </c>
      <c r="G12" s="1">
        <f t="shared" si="0"/>
        <v>2000</v>
      </c>
      <c r="M12" s="5" t="s">
        <v>26</v>
      </c>
      <c r="N12" s="5" t="s">
        <v>27</v>
      </c>
    </row>
    <row r="13" spans="2:14" x14ac:dyDescent="0.55000000000000004">
      <c r="B13" s="2">
        <v>45830</v>
      </c>
      <c r="C13" s="1" t="s">
        <v>16</v>
      </c>
      <c r="D13" s="1" t="s">
        <v>30</v>
      </c>
      <c r="E13" s="1">
        <v>4500</v>
      </c>
      <c r="F13" s="1">
        <v>2</v>
      </c>
      <c r="G13" s="1">
        <f t="shared" si="0"/>
        <v>9000</v>
      </c>
      <c r="M13" s="1" t="s">
        <v>30</v>
      </c>
      <c r="N13" s="1">
        <f>SUMIF(D4:D21,M13,G4:G21)</f>
        <v>73520</v>
      </c>
    </row>
    <row r="14" spans="2:14" x14ac:dyDescent="0.55000000000000004">
      <c r="B14" s="2">
        <v>45834</v>
      </c>
      <c r="C14" s="1" t="s">
        <v>17</v>
      </c>
      <c r="D14" s="1" t="s">
        <v>30</v>
      </c>
      <c r="E14" s="1">
        <v>4000</v>
      </c>
      <c r="F14" s="1">
        <v>1</v>
      </c>
      <c r="G14" s="1">
        <f t="shared" si="0"/>
        <v>4000</v>
      </c>
      <c r="M14" s="1" t="s">
        <v>15</v>
      </c>
      <c r="N14" s="1">
        <f>SUMIF(D4:D21,M14,G4:G21)</f>
        <v>12200</v>
      </c>
    </row>
    <row r="15" spans="2:14" x14ac:dyDescent="0.55000000000000004">
      <c r="B15" s="2">
        <v>45834</v>
      </c>
      <c r="C15" s="1" t="s">
        <v>18</v>
      </c>
      <c r="D15" s="1" t="s">
        <v>30</v>
      </c>
      <c r="E15" s="1">
        <v>2530</v>
      </c>
      <c r="F15" s="1">
        <v>1</v>
      </c>
      <c r="G15" s="1">
        <f t="shared" si="0"/>
        <v>2530</v>
      </c>
    </row>
    <row r="16" spans="2:14" x14ac:dyDescent="0.55000000000000004">
      <c r="B16" s="2">
        <v>45861</v>
      </c>
      <c r="C16" s="1" t="s">
        <v>19</v>
      </c>
      <c r="D16" s="1" t="s">
        <v>30</v>
      </c>
      <c r="E16" s="1">
        <v>2640</v>
      </c>
      <c r="F16" s="1">
        <v>1</v>
      </c>
      <c r="G16" s="1">
        <f t="shared" si="0"/>
        <v>2640</v>
      </c>
    </row>
    <row r="17" spans="2:7" x14ac:dyDescent="0.55000000000000004">
      <c r="B17" s="2">
        <v>45861</v>
      </c>
      <c r="C17" s="1" t="s">
        <v>20</v>
      </c>
      <c r="D17" s="1" t="s">
        <v>30</v>
      </c>
      <c r="E17" s="1">
        <v>2450</v>
      </c>
      <c r="F17" s="1">
        <v>1</v>
      </c>
      <c r="G17" s="1">
        <f t="shared" si="0"/>
        <v>2450</v>
      </c>
    </row>
    <row r="18" spans="2:7" x14ac:dyDescent="0.55000000000000004">
      <c r="B18" s="2">
        <v>45864</v>
      </c>
      <c r="C18" s="1" t="s">
        <v>21</v>
      </c>
      <c r="D18" s="1" t="s">
        <v>15</v>
      </c>
      <c r="E18" s="1">
        <v>3200</v>
      </c>
      <c r="F18" s="1">
        <v>2</v>
      </c>
      <c r="G18" s="1">
        <f t="shared" si="0"/>
        <v>6400</v>
      </c>
    </row>
    <row r="19" spans="2:7" x14ac:dyDescent="0.55000000000000004">
      <c r="B19" s="2">
        <v>45871</v>
      </c>
      <c r="C19" s="1" t="s">
        <v>24</v>
      </c>
      <c r="D19" s="1" t="s">
        <v>30</v>
      </c>
      <c r="E19" s="1">
        <v>9000</v>
      </c>
      <c r="F19" s="1">
        <v>1</v>
      </c>
      <c r="G19" s="1">
        <f t="shared" ref="G19:G21" si="1">E19*F19</f>
        <v>9000</v>
      </c>
    </row>
    <row r="20" spans="2:7" x14ac:dyDescent="0.55000000000000004">
      <c r="B20" s="2">
        <v>45889</v>
      </c>
      <c r="C20" s="1" t="s">
        <v>13</v>
      </c>
      <c r="D20" s="1" t="s">
        <v>15</v>
      </c>
      <c r="E20" s="1">
        <v>1600</v>
      </c>
      <c r="F20" s="1">
        <v>1</v>
      </c>
      <c r="G20" s="1">
        <f t="shared" si="1"/>
        <v>1600</v>
      </c>
    </row>
    <row r="21" spans="2:7" x14ac:dyDescent="0.55000000000000004">
      <c r="B21" s="2">
        <v>45897</v>
      </c>
      <c r="C21" s="1" t="s">
        <v>25</v>
      </c>
      <c r="D21" s="1" t="s">
        <v>30</v>
      </c>
      <c r="E21" s="1">
        <v>2400</v>
      </c>
      <c r="F21" s="1">
        <v>2</v>
      </c>
      <c r="G21" s="1">
        <f t="shared" si="1"/>
        <v>4800</v>
      </c>
    </row>
    <row r="24" spans="2:7" x14ac:dyDescent="0.55000000000000004">
      <c r="B24" t="s">
        <v>29</v>
      </c>
    </row>
    <row r="25" spans="2:7" x14ac:dyDescent="0.55000000000000004">
      <c r="B25" t="s">
        <v>34</v>
      </c>
    </row>
    <row r="27" spans="2:7" x14ac:dyDescent="0.55000000000000004">
      <c r="B27" t="s">
        <v>33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ACBC-189E-414E-9720-63D050EAD3F4}">
  <sheetPr codeName="Sheet2"/>
  <dimension ref="B1:O21"/>
  <sheetViews>
    <sheetView topLeftCell="D1" workbookViewId="0">
      <selection activeCell="I7" sqref="I7"/>
    </sheetView>
  </sheetViews>
  <sheetFormatPr defaultRowHeight="18" x14ac:dyDescent="0.55000000000000004"/>
  <cols>
    <col min="2" max="2" width="12.08203125" customWidth="1"/>
    <col min="3" max="4" width="26.6640625" customWidth="1"/>
    <col min="5" max="5" width="19.33203125" bestFit="1" customWidth="1"/>
    <col min="7" max="7" width="15.83203125" customWidth="1"/>
    <col min="13" max="13" width="9.83203125" bestFit="1" customWidth="1"/>
    <col min="14" max="14" width="7.6640625" hidden="1" customWidth="1"/>
    <col min="15" max="15" width="13.33203125" customWidth="1"/>
  </cols>
  <sheetData>
    <row r="1" spans="2:15" x14ac:dyDescent="0.55000000000000004">
      <c r="N1" s="3"/>
    </row>
    <row r="2" spans="2:15" x14ac:dyDescent="0.55000000000000004">
      <c r="M2" s="7" t="s">
        <v>31</v>
      </c>
    </row>
    <row r="3" spans="2:15" x14ac:dyDescent="0.55000000000000004">
      <c r="B3" s="6" t="s">
        <v>0</v>
      </c>
      <c r="C3" s="6" t="s">
        <v>1</v>
      </c>
      <c r="D3" s="6" t="s">
        <v>14</v>
      </c>
      <c r="E3" s="6" t="s">
        <v>2</v>
      </c>
      <c r="F3" s="6" t="s">
        <v>3</v>
      </c>
      <c r="G3" s="6" t="s">
        <v>4</v>
      </c>
      <c r="M3" s="5" t="s">
        <v>22</v>
      </c>
      <c r="N3" s="5"/>
      <c r="O3" s="5" t="s">
        <v>23</v>
      </c>
    </row>
    <row r="4" spans="2:15" x14ac:dyDescent="0.55000000000000004">
      <c r="B4" s="2">
        <v>45717</v>
      </c>
      <c r="C4" s="1" t="s">
        <v>8</v>
      </c>
      <c r="D4" s="1" t="s">
        <v>30</v>
      </c>
      <c r="E4" s="1">
        <v>1500</v>
      </c>
      <c r="F4" s="1">
        <v>3</v>
      </c>
      <c r="G4" s="1">
        <f>E4*F4</f>
        <v>4500</v>
      </c>
      <c r="M4" s="4">
        <v>45717</v>
      </c>
      <c r="N4" s="1">
        <v>202503</v>
      </c>
      <c r="O4" s="1">
        <v>14200</v>
      </c>
    </row>
    <row r="5" spans="2:15" x14ac:dyDescent="0.55000000000000004">
      <c r="B5" s="2">
        <v>45731</v>
      </c>
      <c r="C5" s="1" t="s">
        <v>5</v>
      </c>
      <c r="D5" s="1" t="s">
        <v>30</v>
      </c>
      <c r="E5" s="1">
        <v>2500</v>
      </c>
      <c r="F5" s="1">
        <v>3</v>
      </c>
      <c r="G5" s="1">
        <f t="shared" ref="G5:G21" si="0">E5*F5</f>
        <v>7500</v>
      </c>
      <c r="M5" s="4">
        <v>45748</v>
      </c>
      <c r="N5" s="1">
        <v>202504</v>
      </c>
      <c r="O5" s="1">
        <v>10000</v>
      </c>
    </row>
    <row r="6" spans="2:15" x14ac:dyDescent="0.55000000000000004">
      <c r="B6" s="2">
        <v>45738</v>
      </c>
      <c r="C6" s="1" t="s">
        <v>6</v>
      </c>
      <c r="D6" s="1" t="s">
        <v>15</v>
      </c>
      <c r="E6" s="1">
        <v>2200</v>
      </c>
      <c r="F6" s="1">
        <v>1</v>
      </c>
      <c r="G6" s="1">
        <f t="shared" si="0"/>
        <v>2200</v>
      </c>
      <c r="M6" s="4">
        <v>45778</v>
      </c>
      <c r="N6" s="1">
        <v>202505</v>
      </c>
      <c r="O6" s="1">
        <v>13500</v>
      </c>
    </row>
    <row r="7" spans="2:15" x14ac:dyDescent="0.55000000000000004">
      <c r="B7" s="2">
        <v>45757</v>
      </c>
      <c r="C7" s="1" t="s">
        <v>7</v>
      </c>
      <c r="D7" s="1" t="s">
        <v>30</v>
      </c>
      <c r="E7" s="1">
        <v>1500</v>
      </c>
      <c r="F7" s="1">
        <v>2</v>
      </c>
      <c r="G7" s="1">
        <f t="shared" si="0"/>
        <v>3000</v>
      </c>
      <c r="M7" s="4">
        <v>45809</v>
      </c>
      <c r="N7" s="1">
        <v>202506</v>
      </c>
      <c r="O7" s="1">
        <v>21130</v>
      </c>
    </row>
    <row r="8" spans="2:15" x14ac:dyDescent="0.55000000000000004">
      <c r="B8" s="2">
        <v>45769</v>
      </c>
      <c r="C8" s="1" t="s">
        <v>9</v>
      </c>
      <c r="D8" s="1" t="s">
        <v>30</v>
      </c>
      <c r="E8" s="1">
        <v>3500</v>
      </c>
      <c r="F8" s="1">
        <v>2</v>
      </c>
      <c r="G8" s="1">
        <f t="shared" si="0"/>
        <v>7000</v>
      </c>
      <c r="M8" s="4">
        <v>45839</v>
      </c>
      <c r="N8" s="1">
        <v>202507</v>
      </c>
      <c r="O8" s="1">
        <v>11490</v>
      </c>
    </row>
    <row r="9" spans="2:15" x14ac:dyDescent="0.55000000000000004">
      <c r="B9" s="2">
        <v>45787</v>
      </c>
      <c r="C9" s="1" t="s">
        <v>10</v>
      </c>
      <c r="D9" s="1" t="s">
        <v>30</v>
      </c>
      <c r="E9" s="1">
        <v>2800</v>
      </c>
      <c r="F9" s="1">
        <v>3</v>
      </c>
      <c r="G9" s="1">
        <f t="shared" si="0"/>
        <v>8400</v>
      </c>
      <c r="M9" s="4">
        <v>45870</v>
      </c>
      <c r="N9" s="1">
        <v>202508</v>
      </c>
      <c r="O9" s="1">
        <v>15400</v>
      </c>
    </row>
    <row r="10" spans="2:15" x14ac:dyDescent="0.55000000000000004">
      <c r="B10" s="2">
        <v>45798</v>
      </c>
      <c r="C10" s="1" t="s">
        <v>11</v>
      </c>
      <c r="D10" s="1" t="s">
        <v>30</v>
      </c>
      <c r="E10" s="1">
        <v>1700</v>
      </c>
      <c r="F10" s="1">
        <v>3</v>
      </c>
      <c r="G10" s="1">
        <f t="shared" si="0"/>
        <v>5100</v>
      </c>
    </row>
    <row r="11" spans="2:15" x14ac:dyDescent="0.55000000000000004">
      <c r="B11" s="2">
        <v>45811</v>
      </c>
      <c r="C11" s="1" t="s">
        <v>12</v>
      </c>
      <c r="D11" s="1" t="s">
        <v>30</v>
      </c>
      <c r="E11" s="1">
        <v>3600</v>
      </c>
      <c r="F11" s="1">
        <v>1</v>
      </c>
      <c r="G11" s="1">
        <f t="shared" si="0"/>
        <v>3600</v>
      </c>
      <c r="M11" s="7" t="s">
        <v>32</v>
      </c>
    </row>
    <row r="12" spans="2:15" x14ac:dyDescent="0.55000000000000004">
      <c r="B12" s="2">
        <v>45818</v>
      </c>
      <c r="C12" s="1" t="s">
        <v>13</v>
      </c>
      <c r="D12" s="1" t="s">
        <v>15</v>
      </c>
      <c r="E12" s="1">
        <v>2000</v>
      </c>
      <c r="F12" s="1">
        <v>1</v>
      </c>
      <c r="G12" s="1">
        <f t="shared" si="0"/>
        <v>2000</v>
      </c>
      <c r="M12" s="5" t="s">
        <v>26</v>
      </c>
      <c r="N12" s="5"/>
      <c r="O12" s="5" t="s">
        <v>27</v>
      </c>
    </row>
    <row r="13" spans="2:15" x14ac:dyDescent="0.55000000000000004">
      <c r="B13" s="2">
        <v>45830</v>
      </c>
      <c r="C13" s="1" t="s">
        <v>16</v>
      </c>
      <c r="D13" s="1" t="s">
        <v>30</v>
      </c>
      <c r="E13" s="1">
        <v>4500</v>
      </c>
      <c r="F13" s="1">
        <v>2</v>
      </c>
      <c r="G13" s="1">
        <f t="shared" si="0"/>
        <v>9000</v>
      </c>
      <c r="M13" s="1" t="s">
        <v>30</v>
      </c>
      <c r="N13" s="1"/>
      <c r="O13" s="1">
        <v>73520</v>
      </c>
    </row>
    <row r="14" spans="2:15" x14ac:dyDescent="0.55000000000000004">
      <c r="B14" s="2">
        <v>45834</v>
      </c>
      <c r="C14" s="1" t="s">
        <v>17</v>
      </c>
      <c r="D14" s="1" t="s">
        <v>30</v>
      </c>
      <c r="E14" s="1">
        <v>4000</v>
      </c>
      <c r="F14" s="1">
        <v>1</v>
      </c>
      <c r="G14" s="1">
        <f t="shared" si="0"/>
        <v>4000</v>
      </c>
      <c r="M14" s="1" t="s">
        <v>15</v>
      </c>
      <c r="N14" s="1"/>
      <c r="O14" s="1">
        <v>12200</v>
      </c>
    </row>
    <row r="15" spans="2:15" x14ac:dyDescent="0.55000000000000004">
      <c r="B15" s="2">
        <v>45834</v>
      </c>
      <c r="C15" s="1" t="s">
        <v>18</v>
      </c>
      <c r="D15" s="1" t="s">
        <v>30</v>
      </c>
      <c r="E15" s="1">
        <v>2530</v>
      </c>
      <c r="F15" s="1">
        <v>1</v>
      </c>
      <c r="G15" s="1">
        <f t="shared" si="0"/>
        <v>2530</v>
      </c>
    </row>
    <row r="16" spans="2:15" x14ac:dyDescent="0.55000000000000004">
      <c r="B16" s="2">
        <v>45861</v>
      </c>
      <c r="C16" s="1" t="s">
        <v>19</v>
      </c>
      <c r="D16" s="1" t="s">
        <v>30</v>
      </c>
      <c r="E16" s="1">
        <v>2640</v>
      </c>
      <c r="F16" s="1">
        <v>1</v>
      </c>
      <c r="G16" s="1">
        <f t="shared" si="0"/>
        <v>2640</v>
      </c>
    </row>
    <row r="17" spans="2:7" x14ac:dyDescent="0.55000000000000004">
      <c r="B17" s="2">
        <v>45861</v>
      </c>
      <c r="C17" s="1" t="s">
        <v>20</v>
      </c>
      <c r="D17" s="1" t="s">
        <v>30</v>
      </c>
      <c r="E17" s="1">
        <v>2450</v>
      </c>
      <c r="F17" s="1">
        <v>1</v>
      </c>
      <c r="G17" s="1">
        <f t="shared" si="0"/>
        <v>2450</v>
      </c>
    </row>
    <row r="18" spans="2:7" x14ac:dyDescent="0.55000000000000004">
      <c r="B18" s="2">
        <v>45864</v>
      </c>
      <c r="C18" s="1" t="s">
        <v>21</v>
      </c>
      <c r="D18" s="1" t="s">
        <v>15</v>
      </c>
      <c r="E18" s="1">
        <v>3200</v>
      </c>
      <c r="F18" s="1">
        <v>2</v>
      </c>
      <c r="G18" s="1">
        <f t="shared" si="0"/>
        <v>6400</v>
      </c>
    </row>
    <row r="19" spans="2:7" x14ac:dyDescent="0.55000000000000004">
      <c r="B19" s="2">
        <v>45871</v>
      </c>
      <c r="C19" s="1" t="s">
        <v>24</v>
      </c>
      <c r="D19" s="1" t="s">
        <v>30</v>
      </c>
      <c r="E19" s="1">
        <v>9000</v>
      </c>
      <c r="F19" s="1">
        <v>1</v>
      </c>
      <c r="G19" s="1">
        <f t="shared" si="0"/>
        <v>9000</v>
      </c>
    </row>
    <row r="20" spans="2:7" x14ac:dyDescent="0.55000000000000004">
      <c r="B20" s="2">
        <v>45889</v>
      </c>
      <c r="C20" s="1" t="s">
        <v>13</v>
      </c>
      <c r="D20" s="1" t="s">
        <v>15</v>
      </c>
      <c r="E20" s="1">
        <v>1600</v>
      </c>
      <c r="F20" s="1">
        <v>1</v>
      </c>
      <c r="G20" s="1">
        <f t="shared" si="0"/>
        <v>1600</v>
      </c>
    </row>
    <row r="21" spans="2:7" x14ac:dyDescent="0.55000000000000004">
      <c r="B21" s="2">
        <v>45897</v>
      </c>
      <c r="C21" s="1" t="s">
        <v>25</v>
      </c>
      <c r="D21" s="1" t="s">
        <v>30</v>
      </c>
      <c r="E21" s="1">
        <v>2400</v>
      </c>
      <c r="F21" s="1">
        <v>2</v>
      </c>
      <c r="G21" s="1">
        <f t="shared" si="0"/>
        <v>4800</v>
      </c>
    </row>
  </sheetData>
  <phoneticPr fontId="1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購入データ(手作業)</vt:lpstr>
      <vt:lpstr>購入データ(自動化)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2025-12-17T01:59:42Z</dcterms:created>
  <dcterms:modified xsi:type="dcterms:W3CDTF">2025-12-22T05:20:33Z</dcterms:modified>
</cp:coreProperties>
</file>