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3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4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s.accenture.com/sites/Namamugi_Tachikawa_Satellite/Shared Documents/02_team/011010_生麦X/GL/サポートグループ/件数集約/FB集計/"/>
    </mc:Choice>
  </mc:AlternateContent>
  <xr:revisionPtr revIDLastSave="947" documentId="8_{83F09F9E-2D9F-42AF-A7CB-B783FF52A6D9}" xr6:coauthVersionLast="47" xr6:coauthVersionMax="47" xr10:uidLastSave="{5B749806-8EA7-4700-926D-8C76085ECF31}"/>
  <bookViews>
    <workbookView xWindow="-110" yWindow="-110" windowWidth="19420" windowHeight="11500" firstSheet="2" activeTab="4" xr2:uid="{D8E8A822-7503-479D-B296-CC1438AF0B41}"/>
  </bookViews>
  <sheets>
    <sheet name="myTe(FB件数)" sheetId="12" r:id="rId1"/>
    <sheet name="myTE 累積棒グラフ" sheetId="19" r:id="rId2"/>
    <sheet name="I&amp;D(FB件数)" sheetId="23" r:id="rId3"/>
    <sheet name="I&amp;D 累積棒グラフ" sheetId="37" r:id="rId4"/>
    <sheet name="人事異動・組織改編(FB件数)" sheetId="18" r:id="rId5"/>
    <sheet name="人事異動累積棒グラフ" sheetId="39" r:id="rId6"/>
    <sheet name="サーバールーム(FB件数)" sheetId="28" r:id="rId7"/>
    <sheet name="サーバールーム累積件数グラフ" sheetId="29" r:id="rId8"/>
    <sheet name="中計決算50社(FB件数)" sheetId="45" r:id="rId9"/>
    <sheet name="中計決算50社累積件数グラフ" sheetId="43" r:id="rId10"/>
    <sheet name="集計方法" sheetId="13" r:id="rId11"/>
    <sheet name="作業用 (myTE集計用)" sheetId="34" r:id="rId12"/>
    <sheet name="作業用 (I&amp;D集計用)" sheetId="36" r:id="rId13"/>
    <sheet name="作業用 (人事異動集計用)" sheetId="38" r:id="rId14"/>
    <sheet name="作業用 (中計決算50社)" sheetId="42" r:id="rId15"/>
    <sheet name="ここから先は今後使用予定→" sheetId="47" r:id="rId16"/>
    <sheet name="Jpit請求書(FB件数)" sheetId="30" r:id="rId17"/>
    <sheet name="Jpit請求書累積件数グラフ" sheetId="31" r:id="rId18"/>
    <sheet name="Update History" sheetId="48" r:id="rId19"/>
    <sheet name="→ここから先は使用しない" sheetId="46" r:id="rId20"/>
    <sheet name="myTE 累積棒グラフ(2023年9月～2024年3月)" sheetId="40" r:id="rId21"/>
    <sheet name="I&amp;D 累積棒グラフ(2023年9月～2024年3月)" sheetId="21" r:id="rId22"/>
    <sheet name="人事異動・組織改編累積件数グラフ(2024年1月～3月)" sheetId="26" r:id="rId23"/>
    <sheet name="服部案 (myTE202401-202403)" sheetId="9" r:id="rId24"/>
    <sheet name="服部案 (myTE02309-202312)" sheetId="16" r:id="rId25"/>
    <sheet name="I&amp;D 202401-202403" sheetId="22" r:id="rId26"/>
    <sheet name="I&amp;D202309-202312 " sheetId="20" r:id="rId27"/>
    <sheet name="人事異動 202404-" sheetId="33" r:id="rId28"/>
    <sheet name="人事異動 202401-202402" sheetId="25" r:id="rId29"/>
    <sheet name="人事異動FB率 202401-202402" sheetId="27" r:id="rId30"/>
    <sheet name="大竹案 (2)" sheetId="41" r:id="rId31"/>
    <sheet name="服部案" sheetId="8" r:id="rId32"/>
    <sheet name="服部案(FB推移グラフ)" sheetId="14" r:id="rId33"/>
    <sheet name="人事異動・組織改編累FB率グラフ" sheetId="24" r:id="rId34"/>
    <sheet name="myTE　グラフテスト" sheetId="35" r:id="rId35"/>
    <sheet name="メンバー" sheetId="32" r:id="rId36"/>
  </sheets>
  <definedNames>
    <definedName name="_xlnm._FilterDatabase" localSheetId="2" hidden="1">'I&amp;D(FB件数)'!$D$3:$F$119</definedName>
    <definedName name="_xlnm._FilterDatabase" localSheetId="16" hidden="1">'Jpit請求書(FB件数)'!$B$3:$E$57</definedName>
    <definedName name="_xlnm._FilterDatabase" localSheetId="0" hidden="1">'myTe(FB件数)'!$D$3:$F$48</definedName>
    <definedName name="_xlnm._FilterDatabase" localSheetId="6" hidden="1">'サーバールーム(FB件数)'!$C$3:$F$57</definedName>
    <definedName name="_xlnm._FilterDatabase" localSheetId="4" hidden="1">'人事異動・組織改編(FB件数)'!$C$3:$E$249</definedName>
    <definedName name="_xlnm._FilterDatabase" localSheetId="8" hidden="1">'中計決算50社(FB件数)'!$C$3:$E$90</definedName>
    <definedName name="業務タイトル" localSheetId="18">#REF!</definedName>
    <definedName name="業務タイトル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9" i="36" l="1"/>
  <c r="I18" i="36"/>
  <c r="I17" i="36"/>
  <c r="I16" i="36"/>
  <c r="I15" i="36"/>
  <c r="H19" i="36"/>
  <c r="H18" i="36"/>
  <c r="H17" i="36"/>
  <c r="H16" i="36"/>
  <c r="H15" i="36"/>
  <c r="G19" i="36"/>
  <c r="G18" i="36"/>
  <c r="G17" i="36"/>
  <c r="G16" i="36"/>
  <c r="G15" i="36"/>
  <c r="F19" i="36"/>
  <c r="F18" i="36"/>
  <c r="F17" i="36"/>
  <c r="F16" i="36"/>
  <c r="F15" i="36"/>
  <c r="E19" i="36"/>
  <c r="E18" i="36"/>
  <c r="E17" i="36"/>
  <c r="E16" i="36"/>
  <c r="E15" i="36"/>
  <c r="D19" i="36"/>
  <c r="D18" i="36"/>
  <c r="D17" i="36"/>
  <c r="D16" i="36"/>
  <c r="D15" i="36"/>
  <c r="C19" i="36"/>
  <c r="C18" i="36"/>
  <c r="C17" i="36"/>
  <c r="C16" i="36"/>
  <c r="C15" i="36"/>
  <c r="B19" i="36"/>
  <c r="B18" i="36"/>
  <c r="B17" i="36"/>
  <c r="B16" i="36"/>
  <c r="B15" i="36"/>
  <c r="I19" i="34" l="1"/>
  <c r="I18" i="34"/>
  <c r="I17" i="34"/>
  <c r="I16" i="34"/>
  <c r="I15" i="34"/>
  <c r="H19" i="34"/>
  <c r="H18" i="34"/>
  <c r="H17" i="34"/>
  <c r="H16" i="34"/>
  <c r="H15" i="34"/>
  <c r="G19" i="34"/>
  <c r="G18" i="34"/>
  <c r="G17" i="34"/>
  <c r="G16" i="34"/>
  <c r="G15" i="34"/>
  <c r="F19" i="34"/>
  <c r="F18" i="34"/>
  <c r="F17" i="34"/>
  <c r="F16" i="34"/>
  <c r="F15" i="34"/>
  <c r="E19" i="34"/>
  <c r="E18" i="34"/>
  <c r="E17" i="34"/>
  <c r="E16" i="34"/>
  <c r="E15" i="34"/>
  <c r="D19" i="34"/>
  <c r="D18" i="34"/>
  <c r="D17" i="34"/>
  <c r="D16" i="34"/>
  <c r="D15" i="34"/>
  <c r="C19" i="34"/>
  <c r="C18" i="34"/>
  <c r="C17" i="34"/>
  <c r="C16" i="34"/>
  <c r="C15" i="34"/>
  <c r="B19" i="34"/>
  <c r="B18" i="34"/>
  <c r="B17" i="34"/>
  <c r="B16" i="34"/>
  <c r="B15" i="34"/>
  <c r="J218" i="18"/>
  <c r="H218" i="18"/>
  <c r="H217" i="18" l="1"/>
  <c r="J217" i="18" s="1"/>
  <c r="H216" i="18" l="1"/>
  <c r="J216" i="18" s="1"/>
  <c r="H215" i="18" l="1"/>
  <c r="J215" i="18" s="1"/>
  <c r="H214" i="18" l="1"/>
  <c r="J214" i="18" s="1"/>
  <c r="H213" i="18" l="1"/>
  <c r="J213" i="18" s="1"/>
  <c r="H212" i="18" l="1"/>
  <c r="J212" i="18" s="1"/>
  <c r="H211" i="18" l="1"/>
  <c r="J211" i="18" s="1"/>
  <c r="H210" i="18" l="1"/>
  <c r="J210" i="18" s="1"/>
  <c r="H209" i="18" l="1"/>
  <c r="J209" i="18" s="1"/>
  <c r="H208" i="18" l="1"/>
  <c r="J208" i="18" s="1"/>
  <c r="H207" i="18" l="1"/>
  <c r="J207" i="18" s="1"/>
  <c r="H206" i="18" l="1"/>
  <c r="J206" i="18" s="1"/>
  <c r="H205" i="18" l="1"/>
  <c r="J205" i="18" s="1"/>
  <c r="H204" i="18" l="1"/>
  <c r="J204" i="18" s="1"/>
  <c r="H203" i="18" l="1"/>
  <c r="J203" i="18" s="1"/>
  <c r="H202" i="18" l="1"/>
  <c r="J202" i="18" s="1"/>
  <c r="H201" i="18" l="1"/>
  <c r="J201" i="18" s="1"/>
  <c r="J200" i="18" l="1"/>
  <c r="H200" i="18"/>
  <c r="H199" i="18" l="1"/>
  <c r="J199" i="18" s="1"/>
  <c r="L19" i="38" l="1"/>
  <c r="L18" i="38"/>
  <c r="L17" i="38"/>
  <c r="L16" i="38"/>
  <c r="L15" i="38"/>
  <c r="I100" i="23" l="1"/>
  <c r="I99" i="23" l="1"/>
  <c r="I98" i="23" l="1"/>
  <c r="I97" i="23" l="1"/>
  <c r="I96" i="23" l="1"/>
  <c r="I95" i="23" l="1"/>
  <c r="I81" i="12" l="1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H198" i="18"/>
  <c r="J198" i="18" s="1"/>
  <c r="H197" i="18" l="1"/>
  <c r="J197" i="18" s="1"/>
  <c r="H196" i="18" l="1"/>
  <c r="J196" i="18" s="1"/>
  <c r="H195" i="18" l="1"/>
  <c r="J195" i="18" s="1"/>
  <c r="H194" i="18" l="1"/>
  <c r="J194" i="18" s="1"/>
  <c r="H193" i="18" l="1"/>
  <c r="J193" i="18" s="1"/>
  <c r="H192" i="18" l="1"/>
  <c r="J192" i="18" s="1"/>
  <c r="H191" i="18" l="1"/>
  <c r="J191" i="18" s="1"/>
  <c r="H190" i="18" l="1"/>
  <c r="J190" i="18" s="1"/>
  <c r="H189" i="18" l="1"/>
  <c r="J189" i="18" s="1"/>
  <c r="H188" i="18" l="1"/>
  <c r="J188" i="18" s="1"/>
  <c r="H187" i="18" l="1"/>
  <c r="J187" i="18" s="1"/>
  <c r="H186" i="18" l="1"/>
  <c r="J186" i="18" s="1"/>
  <c r="H185" i="18" l="1"/>
  <c r="J185" i="18" s="1"/>
  <c r="H184" i="18" l="1"/>
  <c r="J184" i="18" s="1"/>
  <c r="H183" i="18" l="1"/>
  <c r="J183" i="18" s="1"/>
  <c r="H182" i="18" l="1"/>
  <c r="J182" i="18" s="1"/>
  <c r="H181" i="18" l="1"/>
  <c r="J181" i="18" s="1"/>
  <c r="H180" i="18"/>
  <c r="J180" i="18" s="1"/>
  <c r="I94" i="23" l="1"/>
  <c r="I93" i="23" l="1"/>
  <c r="I92" i="23" l="1"/>
  <c r="I91" i="23" l="1"/>
  <c r="I89" i="23" l="1"/>
  <c r="I90" i="23" l="1"/>
  <c r="H179" i="18" l="1"/>
  <c r="J179" i="18" s="1"/>
  <c r="H178" i="18" l="1"/>
  <c r="J178" i="18" s="1"/>
  <c r="H177" i="18" l="1"/>
  <c r="J177" i="18" s="1"/>
  <c r="I88" i="23" l="1"/>
  <c r="I87" i="23" l="1"/>
  <c r="I86" i="23" l="1"/>
  <c r="I85" i="23" l="1"/>
  <c r="I84" i="23" l="1"/>
  <c r="I83" i="23" l="1"/>
  <c r="I82" i="23" l="1"/>
  <c r="H176" i="18" l="1"/>
  <c r="J176" i="18" s="1"/>
  <c r="H175" i="18" l="1"/>
  <c r="J175" i="18" s="1"/>
  <c r="H174" i="18" l="1"/>
  <c r="J174" i="18" s="1"/>
  <c r="H173" i="18" l="1"/>
  <c r="J173" i="18" s="1"/>
  <c r="H172" i="18" l="1"/>
  <c r="J172" i="18" s="1"/>
  <c r="H171" i="18" l="1"/>
  <c r="J171" i="18" s="1"/>
  <c r="H170" i="18" l="1"/>
  <c r="J170" i="18" s="1"/>
  <c r="H169" i="18" l="1"/>
  <c r="J169" i="18" s="1"/>
  <c r="H168" i="18"/>
  <c r="J168" i="18" s="1"/>
  <c r="H167" i="18"/>
  <c r="J167" i="18" s="1"/>
  <c r="H166" i="18"/>
  <c r="J166" i="18" s="1"/>
  <c r="H165" i="18" l="1"/>
  <c r="J165" i="18" s="1"/>
  <c r="H164" i="18" l="1"/>
  <c r="J164" i="18" s="1"/>
  <c r="H163" i="18" l="1"/>
  <c r="J163" i="18" s="1"/>
  <c r="H162" i="18" l="1"/>
  <c r="J162" i="18" s="1"/>
  <c r="H161" i="18" l="1"/>
  <c r="J161" i="18" s="1"/>
  <c r="H160" i="18" l="1"/>
  <c r="J160" i="18" s="1"/>
  <c r="H159" i="18" l="1"/>
  <c r="J159" i="18" s="1"/>
  <c r="H158" i="18" l="1"/>
  <c r="J158" i="18" s="1"/>
  <c r="H157" i="18" l="1"/>
  <c r="J157" i="18" s="1"/>
  <c r="H156" i="18" l="1"/>
  <c r="J156" i="18" s="1"/>
  <c r="H155" i="18" l="1"/>
  <c r="H154" i="18"/>
  <c r="J155" i="18"/>
  <c r="J154" i="18" l="1"/>
  <c r="I70" i="12" l="1"/>
  <c r="I71" i="12"/>
  <c r="I72" i="12"/>
  <c r="I73" i="12"/>
  <c r="I74" i="12"/>
  <c r="I75" i="12"/>
  <c r="I76" i="12"/>
  <c r="I77" i="12"/>
  <c r="I78" i="12"/>
  <c r="I79" i="12"/>
  <c r="I80" i="12"/>
  <c r="H153" i="18" l="1"/>
  <c r="J153" i="18" s="1"/>
  <c r="H152" i="18" l="1"/>
  <c r="J152" i="18" s="1"/>
  <c r="H151" i="18" l="1"/>
  <c r="J151" i="18" s="1"/>
  <c r="H150" i="18" l="1"/>
  <c r="J150" i="18" s="1"/>
  <c r="H149" i="18" l="1"/>
  <c r="J149" i="18" s="1"/>
  <c r="H148" i="18" l="1"/>
  <c r="J148" i="18" s="1"/>
  <c r="H147" i="18" l="1"/>
  <c r="J147" i="18" s="1"/>
  <c r="H146" i="18" l="1"/>
  <c r="J146" i="18" s="1"/>
  <c r="H145" i="18"/>
  <c r="H144" i="18"/>
  <c r="J145" i="18" l="1"/>
  <c r="J144" i="18" l="1"/>
  <c r="H143" i="18" l="1"/>
  <c r="J143" i="18" s="1"/>
  <c r="H142" i="18" l="1"/>
  <c r="J142" i="18" s="1"/>
  <c r="H141" i="18"/>
  <c r="H140" i="18"/>
  <c r="J141" i="18" l="1"/>
  <c r="J140" i="18" l="1"/>
  <c r="I81" i="23" l="1"/>
  <c r="I80" i="23"/>
  <c r="I60" i="12" l="1"/>
  <c r="I61" i="12"/>
  <c r="I62" i="12"/>
  <c r="I63" i="12"/>
  <c r="I64" i="12"/>
  <c r="I65" i="12"/>
  <c r="I66" i="12"/>
  <c r="I67" i="12"/>
  <c r="I68" i="12"/>
  <c r="I69" i="12"/>
  <c r="K19" i="38" l="1"/>
  <c r="K18" i="38"/>
  <c r="K17" i="38"/>
  <c r="K16" i="38"/>
  <c r="K15" i="38"/>
  <c r="K19" i="42"/>
  <c r="K18" i="42"/>
  <c r="K17" i="42"/>
  <c r="K16" i="42"/>
  <c r="K15" i="42"/>
  <c r="I79" i="23"/>
  <c r="I78" i="23"/>
  <c r="I77" i="23"/>
  <c r="I76" i="23"/>
  <c r="I75" i="23"/>
  <c r="I74" i="23"/>
  <c r="I73" i="23"/>
  <c r="I72" i="23"/>
  <c r="I71" i="23"/>
  <c r="I70" i="23"/>
  <c r="I69" i="23"/>
  <c r="I68" i="23"/>
  <c r="I67" i="23"/>
  <c r="I66" i="23"/>
  <c r="I65" i="23"/>
  <c r="I64" i="23"/>
  <c r="I63" i="23"/>
  <c r="I62" i="23"/>
  <c r="I61" i="23"/>
  <c r="I60" i="23"/>
  <c r="I59" i="23"/>
  <c r="I58" i="23"/>
  <c r="I57" i="23"/>
  <c r="I56" i="23"/>
  <c r="I55" i="23"/>
  <c r="I54" i="23"/>
  <c r="I53" i="23"/>
  <c r="I52" i="23"/>
  <c r="I51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13" i="23"/>
  <c r="I12" i="23"/>
  <c r="I11" i="23"/>
  <c r="I10" i="23"/>
  <c r="I9" i="23"/>
  <c r="I8" i="23"/>
  <c r="I7" i="23"/>
  <c r="I6" i="23"/>
  <c r="I5" i="23"/>
  <c r="I4" i="23"/>
  <c r="J121" i="18"/>
  <c r="J120" i="18"/>
  <c r="J113" i="18"/>
  <c r="J106" i="18"/>
  <c r="J105" i="18"/>
  <c r="J99" i="18"/>
  <c r="J98" i="18"/>
  <c r="J71" i="18"/>
  <c r="J64" i="18"/>
  <c r="J50" i="18"/>
  <c r="J49" i="18"/>
  <c r="J38" i="18"/>
  <c r="J32" i="18"/>
  <c r="J31" i="18"/>
  <c r="J25" i="18"/>
  <c r="J24" i="18"/>
  <c r="J22" i="18"/>
  <c r="J20" i="18"/>
  <c r="J18" i="18"/>
  <c r="J17" i="18"/>
  <c r="J13" i="18"/>
  <c r="J8" i="18"/>
  <c r="J5" i="18"/>
  <c r="J134" i="18"/>
  <c r="J130" i="18"/>
  <c r="H137" i="18"/>
  <c r="J137" i="18" s="1"/>
  <c r="H136" i="18"/>
  <c r="J136" i="18" s="1"/>
  <c r="H135" i="18"/>
  <c r="J135" i="18" s="1"/>
  <c r="H134" i="18"/>
  <c r="H133" i="18"/>
  <c r="J133" i="18" s="1"/>
  <c r="H132" i="18"/>
  <c r="J132" i="18" s="1"/>
  <c r="H131" i="18"/>
  <c r="J131" i="18" s="1"/>
  <c r="H130" i="18"/>
  <c r="H129" i="18"/>
  <c r="J129" i="18" s="1"/>
  <c r="H128" i="18"/>
  <c r="J128" i="18" s="1"/>
  <c r="H127" i="18"/>
  <c r="J127" i="18" s="1"/>
  <c r="H126" i="18"/>
  <c r="J126" i="18" s="1"/>
  <c r="H125" i="18"/>
  <c r="J125" i="18" s="1"/>
  <c r="H124" i="18"/>
  <c r="J124" i="18" s="1"/>
  <c r="H123" i="18"/>
  <c r="J123" i="18" s="1"/>
  <c r="H122" i="18"/>
  <c r="J122" i="18" s="1"/>
  <c r="H121" i="18"/>
  <c r="H120" i="18"/>
  <c r="H119" i="18"/>
  <c r="J119" i="18" s="1"/>
  <c r="H118" i="18"/>
  <c r="J118" i="18" s="1"/>
  <c r="H117" i="18"/>
  <c r="J117" i="18" s="1"/>
  <c r="H116" i="18"/>
  <c r="J116" i="18" s="1"/>
  <c r="H115" i="18"/>
  <c r="J115" i="18" s="1"/>
  <c r="H114" i="18"/>
  <c r="J114" i="18" s="1"/>
  <c r="H113" i="18"/>
  <c r="H112" i="18"/>
  <c r="J112" i="18" s="1"/>
  <c r="H111" i="18"/>
  <c r="J111" i="18" s="1"/>
  <c r="H110" i="18"/>
  <c r="J110" i="18" s="1"/>
  <c r="H109" i="18"/>
  <c r="J109" i="18" s="1"/>
  <c r="H108" i="18"/>
  <c r="J108" i="18" s="1"/>
  <c r="H107" i="18"/>
  <c r="J107" i="18" s="1"/>
  <c r="H106" i="18"/>
  <c r="H105" i="18"/>
  <c r="H104" i="18"/>
  <c r="J104" i="18" s="1"/>
  <c r="H103" i="18"/>
  <c r="J103" i="18" s="1"/>
  <c r="H102" i="18"/>
  <c r="J102" i="18" s="1"/>
  <c r="H101" i="18"/>
  <c r="J101" i="18" s="1"/>
  <c r="H100" i="18"/>
  <c r="J100" i="18" s="1"/>
  <c r="H99" i="18"/>
  <c r="H98" i="18"/>
  <c r="H97" i="18"/>
  <c r="J97" i="18" s="1"/>
  <c r="H96" i="18"/>
  <c r="J96" i="18" s="1"/>
  <c r="H95" i="18"/>
  <c r="J95" i="18" s="1"/>
  <c r="H94" i="18"/>
  <c r="J94" i="18" s="1"/>
  <c r="H93" i="18"/>
  <c r="J93" i="18" s="1"/>
  <c r="H92" i="18"/>
  <c r="J92" i="18" s="1"/>
  <c r="H91" i="18"/>
  <c r="J91" i="18" s="1"/>
  <c r="H90" i="18"/>
  <c r="J90" i="18" s="1"/>
  <c r="H89" i="18"/>
  <c r="J89" i="18" s="1"/>
  <c r="H88" i="18"/>
  <c r="J88" i="18" s="1"/>
  <c r="H87" i="18"/>
  <c r="J87" i="18" s="1"/>
  <c r="H86" i="18"/>
  <c r="J86" i="18" s="1"/>
  <c r="H85" i="18"/>
  <c r="J85" i="18" s="1"/>
  <c r="H84" i="18"/>
  <c r="J84" i="18" s="1"/>
  <c r="H83" i="18"/>
  <c r="J83" i="18" s="1"/>
  <c r="H82" i="18"/>
  <c r="J82" i="18" s="1"/>
  <c r="H81" i="18"/>
  <c r="J81" i="18" s="1"/>
  <c r="H80" i="18"/>
  <c r="J80" i="18" s="1"/>
  <c r="H79" i="18"/>
  <c r="J79" i="18" s="1"/>
  <c r="H78" i="18"/>
  <c r="J78" i="18" s="1"/>
  <c r="H77" i="18"/>
  <c r="J77" i="18" s="1"/>
  <c r="H76" i="18"/>
  <c r="J76" i="18" s="1"/>
  <c r="H75" i="18"/>
  <c r="J75" i="18" s="1"/>
  <c r="H74" i="18"/>
  <c r="J74" i="18" s="1"/>
  <c r="H73" i="18"/>
  <c r="J73" i="18" s="1"/>
  <c r="H72" i="18"/>
  <c r="J72" i="18" s="1"/>
  <c r="H71" i="18"/>
  <c r="H70" i="18"/>
  <c r="J70" i="18" s="1"/>
  <c r="H69" i="18"/>
  <c r="J69" i="18" s="1"/>
  <c r="H68" i="18"/>
  <c r="J68" i="18" s="1"/>
  <c r="H67" i="18"/>
  <c r="J67" i="18" s="1"/>
  <c r="H66" i="18"/>
  <c r="J66" i="18" s="1"/>
  <c r="H65" i="18"/>
  <c r="J65" i="18" s="1"/>
  <c r="H64" i="18"/>
  <c r="H63" i="18"/>
  <c r="J63" i="18" s="1"/>
  <c r="H62" i="18"/>
  <c r="J62" i="18" s="1"/>
  <c r="H61" i="18"/>
  <c r="J61" i="18" s="1"/>
  <c r="H60" i="18"/>
  <c r="J60" i="18" s="1"/>
  <c r="H59" i="18"/>
  <c r="J59" i="18" s="1"/>
  <c r="H58" i="18"/>
  <c r="J58" i="18" s="1"/>
  <c r="H57" i="18"/>
  <c r="J57" i="18" s="1"/>
  <c r="H56" i="18"/>
  <c r="J56" i="18" s="1"/>
  <c r="H55" i="18"/>
  <c r="J55" i="18" s="1"/>
  <c r="H54" i="18"/>
  <c r="J54" i="18" s="1"/>
  <c r="H53" i="18"/>
  <c r="J53" i="18" s="1"/>
  <c r="H52" i="18"/>
  <c r="J52" i="18" s="1"/>
  <c r="H51" i="18"/>
  <c r="J51" i="18" s="1"/>
  <c r="H50" i="18"/>
  <c r="H49" i="18"/>
  <c r="H48" i="18"/>
  <c r="J48" i="18" s="1"/>
  <c r="H47" i="18"/>
  <c r="J47" i="18" s="1"/>
  <c r="H46" i="18"/>
  <c r="J46" i="18" s="1"/>
  <c r="H45" i="18"/>
  <c r="J45" i="18" s="1"/>
  <c r="H44" i="18"/>
  <c r="J44" i="18" s="1"/>
  <c r="H43" i="18"/>
  <c r="J43" i="18" s="1"/>
  <c r="H42" i="18"/>
  <c r="J42" i="18" s="1"/>
  <c r="H41" i="18"/>
  <c r="J41" i="18" s="1"/>
  <c r="H40" i="18"/>
  <c r="J40" i="18" s="1"/>
  <c r="H39" i="18"/>
  <c r="J39" i="18" s="1"/>
  <c r="H38" i="18"/>
  <c r="H37" i="18"/>
  <c r="J37" i="18" s="1"/>
  <c r="H36" i="18"/>
  <c r="J36" i="18" s="1"/>
  <c r="H35" i="18"/>
  <c r="J35" i="18" s="1"/>
  <c r="H34" i="18"/>
  <c r="J34" i="18" s="1"/>
  <c r="H33" i="18"/>
  <c r="J33" i="18" s="1"/>
  <c r="H32" i="18"/>
  <c r="H31" i="18"/>
  <c r="H30" i="18"/>
  <c r="J30" i="18" s="1"/>
  <c r="H29" i="18"/>
  <c r="J29" i="18" s="1"/>
  <c r="H28" i="18"/>
  <c r="J28" i="18" s="1"/>
  <c r="H27" i="18"/>
  <c r="J27" i="18" s="1"/>
  <c r="H26" i="18"/>
  <c r="J26" i="18" s="1"/>
  <c r="H25" i="18"/>
  <c r="H24" i="18"/>
  <c r="H23" i="18"/>
  <c r="J23" i="18" s="1"/>
  <c r="H22" i="18"/>
  <c r="H21" i="18"/>
  <c r="J21" i="18" s="1"/>
  <c r="H20" i="18"/>
  <c r="H19" i="18"/>
  <c r="J19" i="18" s="1"/>
  <c r="H18" i="18"/>
  <c r="H17" i="18"/>
  <c r="H16" i="18"/>
  <c r="J16" i="18" s="1"/>
  <c r="H15" i="18"/>
  <c r="J15" i="18" s="1"/>
  <c r="H14" i="18"/>
  <c r="J14" i="18" s="1"/>
  <c r="H13" i="18"/>
  <c r="H12" i="18"/>
  <c r="J12" i="18" s="1"/>
  <c r="H11" i="18"/>
  <c r="J11" i="18" s="1"/>
  <c r="H10" i="18"/>
  <c r="J10" i="18" s="1"/>
  <c r="H9" i="18"/>
  <c r="J9" i="18" s="1"/>
  <c r="H8" i="18"/>
  <c r="H7" i="18"/>
  <c r="J7" i="18" s="1"/>
  <c r="H6" i="18"/>
  <c r="J6" i="18" s="1"/>
  <c r="H5" i="18"/>
  <c r="H4" i="18"/>
  <c r="J4" i="18" s="1"/>
  <c r="I56" i="12"/>
  <c r="I57" i="12"/>
  <c r="I58" i="12"/>
  <c r="I59" i="12"/>
  <c r="H139" i="18"/>
  <c r="J139" i="18" s="1"/>
  <c r="H138" i="18"/>
  <c r="J138" i="18" s="1"/>
  <c r="D250" i="18"/>
  <c r="E250" i="18"/>
  <c r="F250" i="18"/>
  <c r="G250" i="18"/>
  <c r="I250" i="18"/>
  <c r="K250" i="18"/>
  <c r="H4" i="45" l="1"/>
  <c r="H5" i="45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21" i="45"/>
  <c r="H22" i="45"/>
  <c r="H23" i="45"/>
  <c r="H24" i="45"/>
  <c r="H25" i="45"/>
  <c r="H26" i="45"/>
  <c r="H27" i="45"/>
  <c r="H28" i="45"/>
  <c r="H29" i="45"/>
  <c r="H30" i="45"/>
  <c r="H31" i="45"/>
  <c r="H32" i="45"/>
  <c r="H33" i="45"/>
  <c r="H34" i="45"/>
  <c r="H35" i="45"/>
  <c r="H36" i="45"/>
  <c r="H37" i="45"/>
  <c r="H38" i="45"/>
  <c r="H39" i="45"/>
  <c r="H40" i="45"/>
  <c r="H41" i="45"/>
  <c r="H42" i="45"/>
  <c r="H43" i="45"/>
  <c r="H44" i="45"/>
  <c r="H45" i="45"/>
  <c r="H46" i="45"/>
  <c r="H47" i="45"/>
  <c r="H48" i="45"/>
  <c r="H49" i="45"/>
  <c r="H50" i="45"/>
  <c r="H51" i="45"/>
  <c r="H52" i="45"/>
  <c r="H53" i="45"/>
  <c r="H54" i="45"/>
  <c r="H55" i="45"/>
  <c r="H56" i="45"/>
  <c r="H57" i="45"/>
  <c r="H58" i="45"/>
  <c r="H59" i="45"/>
  <c r="H60" i="45"/>
  <c r="H61" i="45"/>
  <c r="H62" i="45"/>
  <c r="H63" i="45"/>
  <c r="H64" i="45"/>
  <c r="H65" i="45"/>
  <c r="H66" i="45"/>
  <c r="H67" i="45"/>
  <c r="H68" i="45"/>
  <c r="H69" i="45"/>
  <c r="H70" i="45"/>
  <c r="H71" i="45"/>
  <c r="H72" i="45"/>
  <c r="H73" i="45"/>
  <c r="H74" i="45"/>
  <c r="H75" i="45"/>
  <c r="H76" i="45"/>
  <c r="H77" i="45"/>
  <c r="H78" i="45"/>
  <c r="H79" i="45"/>
  <c r="H80" i="45"/>
  <c r="H81" i="45"/>
  <c r="H82" i="45"/>
  <c r="H83" i="45"/>
  <c r="H84" i="45"/>
  <c r="H85" i="45"/>
  <c r="H86" i="45"/>
  <c r="H87" i="45"/>
  <c r="H88" i="45"/>
  <c r="H89" i="45"/>
  <c r="H90" i="45"/>
  <c r="I91" i="45"/>
  <c r="G91" i="45"/>
  <c r="F91" i="45"/>
  <c r="E91" i="45"/>
  <c r="D91" i="45"/>
  <c r="J19" i="42"/>
  <c r="I19" i="42"/>
  <c r="H19" i="42"/>
  <c r="G19" i="42"/>
  <c r="F19" i="42"/>
  <c r="E19" i="42"/>
  <c r="D19" i="42"/>
  <c r="C19" i="42"/>
  <c r="B19" i="42"/>
  <c r="J18" i="42"/>
  <c r="I18" i="42"/>
  <c r="H18" i="42"/>
  <c r="G18" i="42"/>
  <c r="F18" i="42"/>
  <c r="E18" i="42"/>
  <c r="D18" i="42"/>
  <c r="C18" i="42"/>
  <c r="B18" i="42"/>
  <c r="J17" i="42"/>
  <c r="I17" i="42"/>
  <c r="H17" i="42"/>
  <c r="G17" i="42"/>
  <c r="F17" i="42"/>
  <c r="E17" i="42"/>
  <c r="D17" i="42"/>
  <c r="C17" i="42"/>
  <c r="B17" i="42"/>
  <c r="J16" i="42"/>
  <c r="I16" i="42"/>
  <c r="H16" i="42"/>
  <c r="G16" i="42"/>
  <c r="F16" i="42"/>
  <c r="E16" i="42"/>
  <c r="D16" i="42"/>
  <c r="C16" i="42"/>
  <c r="B16" i="42"/>
  <c r="J15" i="42"/>
  <c r="I15" i="42"/>
  <c r="H15" i="42"/>
  <c r="G15" i="42"/>
  <c r="F15" i="42"/>
  <c r="E15" i="42"/>
  <c r="D15" i="42"/>
  <c r="C15" i="42"/>
  <c r="B15" i="42"/>
  <c r="H250" i="18"/>
  <c r="J250" i="18" s="1"/>
  <c r="H91" i="45" l="1"/>
  <c r="J100" i="12"/>
  <c r="H100" i="12"/>
  <c r="G100" i="12"/>
  <c r="F100" i="12"/>
  <c r="E100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I8" i="12"/>
  <c r="I7" i="12"/>
  <c r="I6" i="12"/>
  <c r="I5" i="12"/>
  <c r="I4" i="12"/>
  <c r="I100" i="12" l="1"/>
  <c r="J19" i="38"/>
  <c r="J18" i="38"/>
  <c r="J17" i="38"/>
  <c r="J16" i="38"/>
  <c r="I19" i="38"/>
  <c r="I18" i="38"/>
  <c r="I17" i="38"/>
  <c r="I16" i="38"/>
  <c r="J15" i="38" l="1"/>
  <c r="I15" i="38"/>
  <c r="H19" i="38"/>
  <c r="H18" i="38"/>
  <c r="H17" i="38"/>
  <c r="H16" i="38"/>
  <c r="H15" i="38"/>
  <c r="G19" i="38"/>
  <c r="G18" i="38"/>
  <c r="G17" i="38"/>
  <c r="G16" i="38"/>
  <c r="G15" i="38"/>
  <c r="F19" i="38"/>
  <c r="F18" i="38"/>
  <c r="F17" i="38"/>
  <c r="F16" i="38"/>
  <c r="F15" i="38"/>
  <c r="E19" i="38"/>
  <c r="E18" i="38"/>
  <c r="E17" i="38"/>
  <c r="E16" i="38"/>
  <c r="E15" i="38"/>
  <c r="D19" i="38"/>
  <c r="D18" i="38"/>
  <c r="D17" i="38"/>
  <c r="D16" i="38"/>
  <c r="D15" i="38"/>
  <c r="C19" i="38"/>
  <c r="C18" i="38"/>
  <c r="C17" i="38"/>
  <c r="C16" i="38"/>
  <c r="C15" i="38"/>
  <c r="B19" i="38"/>
  <c r="B18" i="38"/>
  <c r="B17" i="38"/>
  <c r="B16" i="38"/>
  <c r="B15" i="38"/>
  <c r="N69" i="9" l="1"/>
  <c r="M69" i="9"/>
  <c r="L69" i="9" a="1"/>
  <c r="L69" i="9" s="1"/>
  <c r="N68" i="9"/>
  <c r="M68" i="9"/>
  <c r="L68" i="9"/>
  <c r="N67" i="9"/>
  <c r="M67" i="9"/>
  <c r="L67" i="9"/>
  <c r="N66" i="9"/>
  <c r="M66" i="9"/>
  <c r="L66" i="9"/>
  <c r="N65" i="9"/>
  <c r="M65" i="9"/>
  <c r="L65" i="9"/>
  <c r="T62" i="9"/>
  <c r="T61" i="9"/>
  <c r="S62" i="9"/>
  <c r="S61" i="9"/>
  <c r="R62" i="9"/>
  <c r="R61" i="9"/>
  <c r="Q62" i="9"/>
  <c r="Q61" i="9"/>
  <c r="P62" i="9"/>
  <c r="P61" i="9"/>
  <c r="O62" i="9"/>
  <c r="O61" i="9"/>
  <c r="N62" i="9"/>
  <c r="N61" i="9"/>
  <c r="M62" i="9"/>
  <c r="M61" i="9"/>
  <c r="L62" i="9"/>
  <c r="L61" i="9"/>
  <c r="G70" i="9"/>
  <c r="F70" i="9"/>
  <c r="E70" i="9"/>
  <c r="D70" i="9"/>
  <c r="C70" i="9"/>
  <c r="B70" i="9"/>
  <c r="G69" i="9"/>
  <c r="F69" i="9"/>
  <c r="E69" i="9"/>
  <c r="D69" i="9"/>
  <c r="C69" i="9"/>
  <c r="B69" i="9"/>
  <c r="G68" i="9"/>
  <c r="F68" i="9"/>
  <c r="E68" i="9"/>
  <c r="D68" i="9"/>
  <c r="C68" i="9"/>
  <c r="B68" i="9"/>
  <c r="T60" i="9"/>
  <c r="S60" i="9"/>
  <c r="R60" i="9"/>
  <c r="Q60" i="9"/>
  <c r="P60" i="9"/>
  <c r="O60" i="9"/>
  <c r="N60" i="9"/>
  <c r="M60" i="9"/>
  <c r="L60" i="9"/>
  <c r="T59" i="9"/>
  <c r="S59" i="9"/>
  <c r="R59" i="9"/>
  <c r="Q59" i="9"/>
  <c r="P59" i="9"/>
  <c r="O59" i="9"/>
  <c r="N59" i="9"/>
  <c r="M59" i="9"/>
  <c r="L59" i="9"/>
  <c r="T58" i="9"/>
  <c r="S58" i="9"/>
  <c r="R58" i="9"/>
  <c r="Q58" i="9"/>
  <c r="P58" i="9"/>
  <c r="O58" i="9"/>
  <c r="N58" i="9"/>
  <c r="M58" i="9"/>
  <c r="L58" i="9"/>
  <c r="U63" i="22" l="1"/>
  <c r="U62" i="22"/>
  <c r="T63" i="22"/>
  <c r="T62" i="22"/>
  <c r="S63" i="22"/>
  <c r="S62" i="22"/>
  <c r="R63" i="22"/>
  <c r="R62" i="22"/>
  <c r="Q63" i="22"/>
  <c r="Q62" i="22"/>
  <c r="P63" i="22"/>
  <c r="P62" i="22"/>
  <c r="O63" i="22"/>
  <c r="O62" i="22"/>
  <c r="N63" i="22"/>
  <c r="N62" i="22"/>
  <c r="M63" i="22"/>
  <c r="M62" i="22"/>
  <c r="U61" i="22"/>
  <c r="T61" i="22"/>
  <c r="S61" i="22"/>
  <c r="R61" i="22"/>
  <c r="Q61" i="22"/>
  <c r="P61" i="22"/>
  <c r="O61" i="22"/>
  <c r="N61" i="22"/>
  <c r="M61" i="22"/>
  <c r="U60" i="22"/>
  <c r="T60" i="22"/>
  <c r="S60" i="22"/>
  <c r="R60" i="22"/>
  <c r="Q60" i="22"/>
  <c r="P60" i="22"/>
  <c r="O60" i="22"/>
  <c r="N60" i="22"/>
  <c r="M60" i="22"/>
  <c r="U59" i="22"/>
  <c r="T59" i="22"/>
  <c r="S59" i="22"/>
  <c r="R59" i="22"/>
  <c r="Q59" i="22"/>
  <c r="P59" i="22"/>
  <c r="O59" i="22"/>
  <c r="N59" i="22"/>
  <c r="M59" i="22"/>
  <c r="O69" i="22"/>
  <c r="N69" i="22"/>
  <c r="M69" i="22"/>
  <c r="O68" i="22"/>
  <c r="N68" i="22"/>
  <c r="M68" i="22"/>
  <c r="O67" i="22"/>
  <c r="N67" i="22"/>
  <c r="M67" i="22"/>
  <c r="O66" i="22"/>
  <c r="N66" i="22"/>
  <c r="M66" i="22"/>
  <c r="M70" i="22"/>
  <c r="N70" i="22"/>
  <c r="O70" i="22"/>
  <c r="I70" i="22"/>
  <c r="H70" i="22"/>
  <c r="G70" i="22"/>
  <c r="F70" i="22"/>
  <c r="E70" i="22"/>
  <c r="D70" i="22"/>
  <c r="C70" i="22"/>
  <c r="B70" i="22"/>
  <c r="I69" i="22"/>
  <c r="H69" i="22"/>
  <c r="G69" i="22"/>
  <c r="F69" i="22"/>
  <c r="E69" i="22"/>
  <c r="D69" i="22"/>
  <c r="C69" i="22"/>
  <c r="B69" i="22"/>
  <c r="I68" i="22"/>
  <c r="H68" i="22"/>
  <c r="G68" i="22"/>
  <c r="F68" i="22"/>
  <c r="E68" i="22"/>
  <c r="D68" i="22"/>
  <c r="C68" i="22"/>
  <c r="B68" i="22"/>
  <c r="R44" i="22"/>
  <c r="K27" i="33"/>
  <c r="K26" i="33"/>
  <c r="K25" i="33"/>
  <c r="J27" i="33"/>
  <c r="J26" i="33"/>
  <c r="J25" i="33"/>
  <c r="I27" i="33"/>
  <c r="I26" i="33"/>
  <c r="I25" i="33"/>
  <c r="H27" i="33"/>
  <c r="H26" i="33"/>
  <c r="H25" i="33"/>
  <c r="G27" i="33"/>
  <c r="G26" i="33"/>
  <c r="G25" i="33"/>
  <c r="F27" i="33"/>
  <c r="F26" i="33"/>
  <c r="F25" i="33"/>
  <c r="E27" i="33"/>
  <c r="E26" i="33"/>
  <c r="E25" i="33"/>
  <c r="D27" i="33"/>
  <c r="D26" i="33"/>
  <c r="D25" i="33"/>
  <c r="C27" i="33"/>
  <c r="C26" i="33"/>
  <c r="C25" i="33"/>
  <c r="B27" i="33"/>
  <c r="B26" i="33"/>
  <c r="B25" i="33"/>
  <c r="J120" i="23"/>
  <c r="T44" i="22"/>
  <c r="S44" i="22"/>
  <c r="Q44" i="22"/>
  <c r="P44" i="22"/>
  <c r="N44" i="22"/>
  <c r="O44" i="22"/>
  <c r="M44" i="22"/>
  <c r="L44" i="22"/>
  <c r="N50" i="22"/>
  <c r="M50" i="22"/>
  <c r="L50" i="22"/>
  <c r="N49" i="22"/>
  <c r="M49" i="22"/>
  <c r="L49" i="22"/>
  <c r="N48" i="22"/>
  <c r="M48" i="22"/>
  <c r="L48" i="22"/>
  <c r="N47" i="22"/>
  <c r="M47" i="22"/>
  <c r="L47" i="22"/>
  <c r="T43" i="22"/>
  <c r="S43" i="22"/>
  <c r="R43" i="22"/>
  <c r="Q43" i="22"/>
  <c r="P43" i="22"/>
  <c r="O43" i="22"/>
  <c r="N43" i="22"/>
  <c r="M43" i="22"/>
  <c r="L43" i="22"/>
  <c r="T42" i="22"/>
  <c r="S42" i="22"/>
  <c r="R42" i="22"/>
  <c r="Q42" i="22"/>
  <c r="P42" i="22"/>
  <c r="O42" i="22"/>
  <c r="N42" i="22"/>
  <c r="M42" i="22"/>
  <c r="L42" i="22"/>
  <c r="T41" i="22"/>
  <c r="S41" i="22"/>
  <c r="R41" i="22"/>
  <c r="Q41" i="22"/>
  <c r="P41" i="22"/>
  <c r="O41" i="22"/>
  <c r="N41" i="22"/>
  <c r="M41" i="22"/>
  <c r="L41" i="22"/>
  <c r="G52" i="22"/>
  <c r="F52" i="22"/>
  <c r="E52" i="22"/>
  <c r="D52" i="22"/>
  <c r="C52" i="22"/>
  <c r="B52" i="22"/>
  <c r="G51" i="22"/>
  <c r="F51" i="22"/>
  <c r="E51" i="22"/>
  <c r="D51" i="22"/>
  <c r="C51" i="22"/>
  <c r="B51" i="22"/>
  <c r="G50" i="22"/>
  <c r="F50" i="22"/>
  <c r="E50" i="22"/>
  <c r="D50" i="22"/>
  <c r="C50" i="22"/>
  <c r="B50" i="22"/>
  <c r="N32" i="22"/>
  <c r="M32" i="22"/>
  <c r="L32" i="22"/>
  <c r="N31" i="22"/>
  <c r="N30" i="22"/>
  <c r="N29" i="22"/>
  <c r="M31" i="22"/>
  <c r="M30" i="22"/>
  <c r="M29" i="22"/>
  <c r="L31" i="22"/>
  <c r="L30" i="22"/>
  <c r="L29" i="22"/>
  <c r="I34" i="22"/>
  <c r="I33" i="22"/>
  <c r="I32" i="22"/>
  <c r="G34" i="22"/>
  <c r="G33" i="22"/>
  <c r="G32" i="22"/>
  <c r="F34" i="22"/>
  <c r="F33" i="22"/>
  <c r="F32" i="22"/>
  <c r="H34" i="22"/>
  <c r="H33" i="22"/>
  <c r="H32" i="22"/>
  <c r="N49" i="9" l="1"/>
  <c r="M49" i="9"/>
  <c r="L49" i="9"/>
  <c r="N48" i="9" l="1"/>
  <c r="L48" i="9"/>
  <c r="N47" i="9"/>
  <c r="M47" i="9"/>
  <c r="T43" i="9"/>
  <c r="S43" i="9"/>
  <c r="R43" i="9"/>
  <c r="Q43" i="9"/>
  <c r="P43" i="9"/>
  <c r="O43" i="9"/>
  <c r="N43" i="9"/>
  <c r="M43" i="9"/>
  <c r="L43" i="9"/>
  <c r="T42" i="9"/>
  <c r="S42" i="9"/>
  <c r="R42" i="9"/>
  <c r="Q42" i="9"/>
  <c r="P42" i="9"/>
  <c r="O42" i="9"/>
  <c r="N42" i="9"/>
  <c r="M42" i="9"/>
  <c r="L42" i="9"/>
  <c r="L47" i="9"/>
  <c r="N46" i="9"/>
  <c r="M46" i="9"/>
  <c r="L46" i="9"/>
  <c r="T41" i="9"/>
  <c r="S41" i="9"/>
  <c r="R41" i="9"/>
  <c r="Q41" i="9"/>
  <c r="P41" i="9"/>
  <c r="O41" i="9"/>
  <c r="N41" i="9"/>
  <c r="M41" i="9"/>
  <c r="L41" i="9"/>
  <c r="T40" i="9"/>
  <c r="S40" i="9"/>
  <c r="R40" i="9"/>
  <c r="Q40" i="9"/>
  <c r="P40" i="9"/>
  <c r="O40" i="9"/>
  <c r="N40" i="9"/>
  <c r="M40" i="9"/>
  <c r="L40" i="9"/>
  <c r="G50" i="9"/>
  <c r="F50" i="9"/>
  <c r="E50" i="9"/>
  <c r="D50" i="9"/>
  <c r="C50" i="9"/>
  <c r="B50" i="9"/>
  <c r="M48" i="9" s="1"/>
  <c r="G52" i="9"/>
  <c r="F52" i="9"/>
  <c r="E52" i="9"/>
  <c r="D52" i="9"/>
  <c r="C52" i="9"/>
  <c r="B52" i="9"/>
  <c r="G51" i="9"/>
  <c r="F51" i="9"/>
  <c r="E51" i="9"/>
  <c r="D51" i="9"/>
  <c r="C51" i="9"/>
  <c r="B51" i="9"/>
  <c r="T26" i="9"/>
  <c r="S26" i="9"/>
  <c r="R26" i="9" l="1"/>
  <c r="Q26" i="9"/>
  <c r="P26" i="9"/>
  <c r="O26" i="9"/>
  <c r="L32" i="9"/>
  <c r="N32" i="9"/>
  <c r="M32" i="9"/>
  <c r="M26" i="9"/>
  <c r="L26" i="9"/>
  <c r="G34" i="9"/>
  <c r="G33" i="9"/>
  <c r="G32" i="9"/>
  <c r="F34" i="9"/>
  <c r="F33" i="9"/>
  <c r="F32" i="9"/>
  <c r="E34" i="9"/>
  <c r="E33" i="9"/>
  <c r="E32" i="9"/>
  <c r="H120" i="23" l="1"/>
  <c r="G120" i="23"/>
  <c r="E58" i="30" l="1"/>
  <c r="D58" i="30"/>
  <c r="C58" i="30"/>
  <c r="F57" i="30"/>
  <c r="F56" i="30"/>
  <c r="F55" i="30"/>
  <c r="F54" i="30"/>
  <c r="F53" i="30"/>
  <c r="F52" i="30"/>
  <c r="F51" i="30"/>
  <c r="F50" i="30"/>
  <c r="F49" i="30"/>
  <c r="F48" i="30"/>
  <c r="F47" i="30"/>
  <c r="F46" i="30"/>
  <c r="F45" i="30"/>
  <c r="F44" i="30"/>
  <c r="F43" i="30"/>
  <c r="F42" i="30"/>
  <c r="F41" i="30"/>
  <c r="F40" i="30"/>
  <c r="F39" i="30"/>
  <c r="F38" i="30"/>
  <c r="F37" i="30"/>
  <c r="F36" i="30"/>
  <c r="F35" i="30"/>
  <c r="F34" i="30"/>
  <c r="F33" i="30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16" i="30"/>
  <c r="F15" i="30"/>
  <c r="F14" i="30"/>
  <c r="F13" i="30"/>
  <c r="F12" i="30"/>
  <c r="F11" i="30"/>
  <c r="F10" i="30"/>
  <c r="F9" i="30"/>
  <c r="F8" i="30"/>
  <c r="F7" i="30"/>
  <c r="F6" i="30"/>
  <c r="F5" i="30"/>
  <c r="F4" i="30"/>
  <c r="F58" i="30" s="1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F58" i="28" l="1"/>
  <c r="E58" i="28"/>
  <c r="D58" i="28"/>
  <c r="G58" i="28"/>
  <c r="J46" i="27" l="1"/>
  <c r="I46" i="27"/>
  <c r="G46" i="27"/>
  <c r="F46" i="27"/>
  <c r="E46" i="27"/>
  <c r="D46" i="27"/>
  <c r="C46" i="27"/>
  <c r="B46" i="27"/>
  <c r="J43" i="27"/>
  <c r="J42" i="27"/>
  <c r="J41" i="27"/>
  <c r="J44" i="27" s="1"/>
  <c r="I43" i="27"/>
  <c r="H43" i="27"/>
  <c r="G43" i="27"/>
  <c r="F43" i="27"/>
  <c r="E43" i="27"/>
  <c r="D43" i="27"/>
  <c r="C43" i="27"/>
  <c r="B43" i="27"/>
  <c r="I42" i="27"/>
  <c r="H42" i="27"/>
  <c r="G42" i="27"/>
  <c r="F42" i="27"/>
  <c r="E42" i="27"/>
  <c r="D42" i="27"/>
  <c r="C42" i="27"/>
  <c r="B42" i="27"/>
  <c r="I41" i="27"/>
  <c r="I44" i="27" s="1"/>
  <c r="G41" i="27"/>
  <c r="G44" i="27" s="1"/>
  <c r="F41" i="27"/>
  <c r="F44" i="27" s="1"/>
  <c r="E41" i="27"/>
  <c r="E44" i="27" s="1"/>
  <c r="D41" i="27"/>
  <c r="D44" i="27" s="1"/>
  <c r="C41" i="27"/>
  <c r="C44" i="27" s="1"/>
  <c r="B41" i="27"/>
  <c r="B44" i="27" s="1"/>
  <c r="I22" i="27"/>
  <c r="H22" i="27"/>
  <c r="G22" i="27"/>
  <c r="F22" i="27"/>
  <c r="E22" i="27"/>
  <c r="D22" i="27"/>
  <c r="C22" i="27"/>
  <c r="B22" i="27"/>
  <c r="I20" i="27"/>
  <c r="H20" i="27"/>
  <c r="G20" i="27"/>
  <c r="F20" i="27"/>
  <c r="E20" i="27"/>
  <c r="D20" i="27"/>
  <c r="C20" i="27"/>
  <c r="B20" i="27"/>
  <c r="J40" i="27"/>
  <c r="I40" i="27"/>
  <c r="H40" i="27"/>
  <c r="G40" i="27"/>
  <c r="F40" i="27"/>
  <c r="E40" i="27"/>
  <c r="D40" i="27"/>
  <c r="C40" i="27"/>
  <c r="B40" i="27"/>
  <c r="J39" i="27"/>
  <c r="I39" i="27"/>
  <c r="H39" i="27"/>
  <c r="G39" i="27"/>
  <c r="F39" i="27"/>
  <c r="E39" i="27"/>
  <c r="D39" i="27"/>
  <c r="C39" i="27"/>
  <c r="B39" i="27"/>
  <c r="J38" i="27"/>
  <c r="I38" i="27"/>
  <c r="H38" i="27"/>
  <c r="H41" i="27" s="1"/>
  <c r="H44" i="27" s="1"/>
  <c r="H46" i="27" s="1"/>
  <c r="G38" i="27"/>
  <c r="F38" i="27"/>
  <c r="E38" i="27"/>
  <c r="D38" i="27"/>
  <c r="C38" i="27"/>
  <c r="B38" i="27"/>
  <c r="I19" i="27"/>
  <c r="H19" i="27"/>
  <c r="G19" i="27"/>
  <c r="F19" i="27"/>
  <c r="E19" i="27"/>
  <c r="D19" i="27"/>
  <c r="C19" i="27"/>
  <c r="B19" i="27"/>
  <c r="I18" i="27"/>
  <c r="H18" i="27"/>
  <c r="G18" i="27"/>
  <c r="F18" i="27"/>
  <c r="E18" i="27"/>
  <c r="D18" i="27"/>
  <c r="C18" i="27"/>
  <c r="B18" i="27"/>
  <c r="I17" i="27"/>
  <c r="H17" i="27"/>
  <c r="G17" i="27"/>
  <c r="F17" i="27"/>
  <c r="E17" i="27"/>
  <c r="D17" i="27"/>
  <c r="C17" i="27"/>
  <c r="B17" i="27"/>
  <c r="J39" i="25"/>
  <c r="J38" i="25"/>
  <c r="J37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E34" i="22" l="1"/>
  <c r="E33" i="22"/>
  <c r="E32" i="22"/>
  <c r="G14" i="22"/>
  <c r="F14" i="22"/>
  <c r="E14" i="22"/>
  <c r="D14" i="22"/>
  <c r="C14" i="22"/>
  <c r="G16" i="22"/>
  <c r="G15" i="22"/>
  <c r="F16" i="22"/>
  <c r="F15" i="22"/>
  <c r="E16" i="22"/>
  <c r="E15" i="22"/>
  <c r="D16" i="22"/>
  <c r="D15" i="22"/>
  <c r="C16" i="22"/>
  <c r="C15" i="22"/>
  <c r="B16" i="22"/>
  <c r="B15" i="22"/>
  <c r="B14" i="22"/>
  <c r="T73" i="20"/>
  <c r="S73" i="20"/>
  <c r="R73" i="20"/>
  <c r="T72" i="20"/>
  <c r="S72" i="20"/>
  <c r="R72" i="20"/>
  <c r="T71" i="20"/>
  <c r="S71" i="20"/>
  <c r="R71" i="20"/>
  <c r="T70" i="20"/>
  <c r="S70" i="20"/>
  <c r="R70" i="20"/>
  <c r="Z65" i="20"/>
  <c r="Z64" i="20"/>
  <c r="Y65" i="20"/>
  <c r="Y64" i="20"/>
  <c r="X65" i="20"/>
  <c r="X64" i="20"/>
  <c r="W65" i="20"/>
  <c r="W64" i="20"/>
  <c r="V65" i="20"/>
  <c r="V64" i="20"/>
  <c r="U65" i="20"/>
  <c r="U64" i="20"/>
  <c r="T65" i="20"/>
  <c r="T64" i="20"/>
  <c r="S65" i="20"/>
  <c r="S64" i="20"/>
  <c r="R65" i="20"/>
  <c r="R64" i="20"/>
  <c r="Z63" i="20"/>
  <c r="Y63" i="20"/>
  <c r="X63" i="20"/>
  <c r="W63" i="20"/>
  <c r="V63" i="20"/>
  <c r="U63" i="20"/>
  <c r="T63" i="20"/>
  <c r="S63" i="20"/>
  <c r="R62" i="20"/>
  <c r="Z62" i="20"/>
  <c r="Y62" i="20"/>
  <c r="X62" i="20"/>
  <c r="W62" i="20"/>
  <c r="V62" i="20"/>
  <c r="T62" i="20"/>
  <c r="R63" i="20"/>
  <c r="U62" i="20"/>
  <c r="S62" i="20"/>
  <c r="H68" i="20"/>
  <c r="H69" i="20"/>
  <c r="H70" i="20"/>
  <c r="T53" i="20"/>
  <c r="S53" i="20"/>
  <c r="R53" i="20"/>
  <c r="T52" i="20"/>
  <c r="T51" i="20"/>
  <c r="T50" i="20"/>
  <c r="S52" i="20"/>
  <c r="S51" i="20"/>
  <c r="S50" i="20"/>
  <c r="R52" i="20"/>
  <c r="R51" i="20"/>
  <c r="R50" i="20"/>
  <c r="Z46" i="20"/>
  <c r="Z45" i="20"/>
  <c r="Z44" i="20"/>
  <c r="Z43" i="20"/>
  <c r="Y46" i="20"/>
  <c r="Y45" i="20"/>
  <c r="Y44" i="20"/>
  <c r="Y43" i="20"/>
  <c r="X46" i="20"/>
  <c r="X45" i="20"/>
  <c r="X44" i="20"/>
  <c r="X43" i="20"/>
  <c r="W45" i="20"/>
  <c r="W44" i="20"/>
  <c r="W43" i="20"/>
  <c r="V46" i="20"/>
  <c r="V45" i="20"/>
  <c r="V44" i="20"/>
  <c r="V43" i="20"/>
  <c r="U43" i="20"/>
  <c r="U44" i="20"/>
  <c r="U45" i="20"/>
  <c r="U46" i="20"/>
  <c r="W46" i="20"/>
  <c r="T46" i="20"/>
  <c r="T45" i="20"/>
  <c r="S46" i="20"/>
  <c r="S45" i="20"/>
  <c r="R46" i="20"/>
  <c r="R45" i="20"/>
  <c r="T44" i="20"/>
  <c r="T43" i="20"/>
  <c r="S44" i="20"/>
  <c r="S43" i="20"/>
  <c r="G50" i="20"/>
  <c r="F50" i="20"/>
  <c r="E50" i="20"/>
  <c r="D50" i="20"/>
  <c r="C50" i="20"/>
  <c r="B50" i="20"/>
  <c r="R44" i="20"/>
  <c r="R43" i="20"/>
  <c r="H50" i="20"/>
  <c r="I50" i="20"/>
  <c r="J50" i="20"/>
  <c r="K50" i="20"/>
  <c r="L50" i="20"/>
  <c r="H51" i="20"/>
  <c r="I51" i="20"/>
  <c r="J51" i="20"/>
  <c r="K51" i="20"/>
  <c r="L51" i="20"/>
  <c r="H52" i="20"/>
  <c r="I52" i="20"/>
  <c r="J52" i="20"/>
  <c r="K52" i="20"/>
  <c r="L52" i="20"/>
  <c r="T34" i="20" l="1"/>
  <c r="S34" i="20"/>
  <c r="R34" i="20"/>
  <c r="T33" i="20"/>
  <c r="S33" i="20"/>
  <c r="R33" i="20"/>
  <c r="T32" i="20"/>
  <c r="S32" i="20"/>
  <c r="R32" i="20"/>
  <c r="T31" i="20"/>
  <c r="S31" i="20"/>
  <c r="R31" i="20"/>
  <c r="Z27" i="20"/>
  <c r="Z26" i="20"/>
  <c r="Y27" i="20"/>
  <c r="Y26" i="20"/>
  <c r="X27" i="20"/>
  <c r="W27" i="20"/>
  <c r="V27" i="20"/>
  <c r="U27" i="20"/>
  <c r="U26" i="20"/>
  <c r="T27" i="20"/>
  <c r="S27" i="20"/>
  <c r="R27" i="20"/>
  <c r="R26" i="20"/>
  <c r="X26" i="20"/>
  <c r="W26" i="20"/>
  <c r="V26" i="20"/>
  <c r="T26" i="20"/>
  <c r="S26" i="20"/>
  <c r="Z25" i="20"/>
  <c r="Y25" i="20"/>
  <c r="X25" i="20"/>
  <c r="W25" i="20"/>
  <c r="V25" i="20"/>
  <c r="U25" i="20"/>
  <c r="T25" i="20"/>
  <c r="S25" i="20"/>
  <c r="R25" i="20"/>
  <c r="Z24" i="20"/>
  <c r="Y24" i="20"/>
  <c r="X24" i="20"/>
  <c r="W24" i="20"/>
  <c r="V24" i="20"/>
  <c r="U24" i="20"/>
  <c r="T24" i="20"/>
  <c r="S24" i="20"/>
  <c r="R24" i="20"/>
  <c r="L32" i="20"/>
  <c r="K32" i="20"/>
  <c r="J32" i="20"/>
  <c r="I32" i="20"/>
  <c r="H32" i="20"/>
  <c r="G32" i="20"/>
  <c r="F32" i="20"/>
  <c r="E32" i="20"/>
  <c r="D32" i="20"/>
  <c r="C32" i="20"/>
  <c r="B32" i="20"/>
  <c r="H33" i="20"/>
  <c r="I33" i="20"/>
  <c r="J33" i="20"/>
  <c r="K33" i="20"/>
  <c r="L33" i="20"/>
  <c r="H34" i="20"/>
  <c r="I34" i="20"/>
  <c r="J34" i="20"/>
  <c r="K34" i="20"/>
  <c r="L34" i="20"/>
  <c r="T15" i="20"/>
  <c r="S15" i="20"/>
  <c r="R15" i="20"/>
  <c r="T14" i="20"/>
  <c r="S14" i="20"/>
  <c r="R14" i="20"/>
  <c r="Z8" i="20"/>
  <c r="T13" i="20"/>
  <c r="S13" i="20"/>
  <c r="R13" i="20"/>
  <c r="T12" i="20"/>
  <c r="R12" i="20"/>
  <c r="S12" i="20"/>
  <c r="Y8" i="20"/>
  <c r="Y7" i="20"/>
  <c r="X8" i="20"/>
  <c r="W8" i="20"/>
  <c r="W7" i="20"/>
  <c r="V8" i="20"/>
  <c r="V7" i="20"/>
  <c r="U8" i="20"/>
  <c r="U7" i="20"/>
  <c r="T8" i="20"/>
  <c r="T7" i="20"/>
  <c r="S8" i="20"/>
  <c r="R8" i="20"/>
  <c r="T6" i="20"/>
  <c r="S7" i="20"/>
  <c r="R7" i="20"/>
  <c r="Z7" i="20"/>
  <c r="X7" i="20"/>
  <c r="Z6" i="20"/>
  <c r="Y6" i="20"/>
  <c r="X6" i="20"/>
  <c r="W6" i="20"/>
  <c r="V6" i="20"/>
  <c r="U6" i="20"/>
  <c r="Z5" i="20"/>
  <c r="Y5" i="20"/>
  <c r="X5" i="20"/>
  <c r="W5" i="20"/>
  <c r="V5" i="20"/>
  <c r="U5" i="20"/>
  <c r="S6" i="20"/>
  <c r="R6" i="20"/>
  <c r="T5" i="20"/>
  <c r="S5" i="20"/>
  <c r="R5" i="20"/>
  <c r="F120" i="23" l="1"/>
  <c r="E120" i="23"/>
  <c r="M16" i="20"/>
  <c r="L16" i="20"/>
  <c r="K16" i="20"/>
  <c r="J16" i="20"/>
  <c r="I16" i="20"/>
  <c r="H16" i="20"/>
  <c r="M15" i="20"/>
  <c r="L15" i="20"/>
  <c r="K15" i="20"/>
  <c r="J15" i="20"/>
  <c r="I15" i="20"/>
  <c r="H15" i="20"/>
  <c r="M14" i="20"/>
  <c r="L14" i="20"/>
  <c r="K14" i="20"/>
  <c r="J14" i="20"/>
  <c r="I14" i="20"/>
  <c r="H14" i="20"/>
  <c r="D34" i="22"/>
  <c r="C34" i="22"/>
  <c r="B34" i="22"/>
  <c r="D33" i="22"/>
  <c r="C33" i="22"/>
  <c r="B33" i="22"/>
  <c r="D32" i="22"/>
  <c r="C32" i="22"/>
  <c r="B32" i="22"/>
  <c r="T25" i="22"/>
  <c r="S25" i="22"/>
  <c r="R25" i="22"/>
  <c r="Q25" i="22"/>
  <c r="P25" i="22"/>
  <c r="O25" i="22"/>
  <c r="N25" i="22"/>
  <c r="M25" i="22"/>
  <c r="L25" i="22"/>
  <c r="T24" i="22"/>
  <c r="S24" i="22"/>
  <c r="R24" i="22"/>
  <c r="Q24" i="22"/>
  <c r="P24" i="22"/>
  <c r="O24" i="22"/>
  <c r="N24" i="22"/>
  <c r="M24" i="22"/>
  <c r="L24" i="22"/>
  <c r="T23" i="22"/>
  <c r="S23" i="22"/>
  <c r="R23" i="22"/>
  <c r="Q23" i="22"/>
  <c r="P23" i="22"/>
  <c r="O23" i="22"/>
  <c r="N23" i="22"/>
  <c r="M23" i="22"/>
  <c r="L23" i="22"/>
  <c r="N13" i="22"/>
  <c r="M13" i="22"/>
  <c r="L13" i="22"/>
  <c r="N12" i="22"/>
  <c r="M12" i="22"/>
  <c r="L12" i="22"/>
  <c r="N11" i="22"/>
  <c r="M11" i="22"/>
  <c r="L11" i="22"/>
  <c r="T7" i="22"/>
  <c r="S7" i="22"/>
  <c r="R7" i="22"/>
  <c r="Q7" i="22"/>
  <c r="P7" i="22"/>
  <c r="O7" i="22"/>
  <c r="N7" i="22"/>
  <c r="M7" i="22"/>
  <c r="L7" i="22"/>
  <c r="T6" i="22"/>
  <c r="S6" i="22"/>
  <c r="R6" i="22"/>
  <c r="Q6" i="22"/>
  <c r="P6" i="22"/>
  <c r="O6" i="22"/>
  <c r="N6" i="22"/>
  <c r="M6" i="22"/>
  <c r="L6" i="22"/>
  <c r="T5" i="22"/>
  <c r="S5" i="22"/>
  <c r="R5" i="22"/>
  <c r="Q5" i="22"/>
  <c r="P5" i="22"/>
  <c r="O5" i="22"/>
  <c r="N5" i="22"/>
  <c r="M5" i="22"/>
  <c r="L5" i="22"/>
  <c r="I120" i="23" l="1"/>
  <c r="G70" i="20"/>
  <c r="F70" i="20"/>
  <c r="E70" i="20"/>
  <c r="D70" i="20"/>
  <c r="C70" i="20"/>
  <c r="B70" i="20"/>
  <c r="G69" i="20"/>
  <c r="F69" i="20"/>
  <c r="E69" i="20"/>
  <c r="D69" i="20"/>
  <c r="C69" i="20"/>
  <c r="B69" i="20"/>
  <c r="G68" i="20"/>
  <c r="F68" i="20"/>
  <c r="E68" i="20"/>
  <c r="D68" i="20"/>
  <c r="C68" i="20"/>
  <c r="B68" i="20"/>
  <c r="G52" i="20"/>
  <c r="F52" i="20"/>
  <c r="E52" i="20"/>
  <c r="D52" i="20"/>
  <c r="C52" i="20"/>
  <c r="B52" i="20"/>
  <c r="G51" i="20"/>
  <c r="F51" i="20"/>
  <c r="E51" i="20"/>
  <c r="D51" i="20"/>
  <c r="C51" i="20"/>
  <c r="B51" i="20"/>
  <c r="G34" i="20"/>
  <c r="F34" i="20"/>
  <c r="E34" i="20"/>
  <c r="D34" i="20"/>
  <c r="C34" i="20"/>
  <c r="B34" i="20"/>
  <c r="G33" i="20"/>
  <c r="F33" i="20"/>
  <c r="E33" i="20"/>
  <c r="D33" i="20"/>
  <c r="C33" i="20"/>
  <c r="B33" i="20"/>
  <c r="G16" i="20"/>
  <c r="F16" i="20"/>
  <c r="E16" i="20"/>
  <c r="D16" i="20"/>
  <c r="C16" i="20"/>
  <c r="B16" i="20"/>
  <c r="G15" i="20"/>
  <c r="F15" i="20"/>
  <c r="E15" i="20"/>
  <c r="D15" i="20"/>
  <c r="C15" i="20"/>
  <c r="B15" i="20"/>
  <c r="G14" i="20"/>
  <c r="F14" i="20"/>
  <c r="E14" i="20"/>
  <c r="D14" i="20"/>
  <c r="C14" i="20"/>
  <c r="B14" i="20"/>
  <c r="T25" i="9"/>
  <c r="S25" i="9"/>
  <c r="R25" i="9"/>
  <c r="Q25" i="9"/>
  <c r="P25" i="9"/>
  <c r="O25" i="9"/>
  <c r="N25" i="9"/>
  <c r="M25" i="9"/>
  <c r="L25" i="9"/>
  <c r="T24" i="9"/>
  <c r="S24" i="9"/>
  <c r="R24" i="9"/>
  <c r="Q24" i="9"/>
  <c r="P24" i="9"/>
  <c r="O24" i="9"/>
  <c r="N24" i="9"/>
  <c r="M24" i="9"/>
  <c r="L24" i="9"/>
  <c r="T23" i="9"/>
  <c r="S23" i="9"/>
  <c r="R23" i="9"/>
  <c r="Q23" i="9"/>
  <c r="P23" i="9"/>
  <c r="O23" i="9"/>
  <c r="N23" i="9"/>
  <c r="M23" i="9"/>
  <c r="L23" i="9"/>
  <c r="T7" i="9"/>
  <c r="S7" i="9"/>
  <c r="R7" i="9"/>
  <c r="Q7" i="9"/>
  <c r="P7" i="9"/>
  <c r="O7" i="9"/>
  <c r="N7" i="9"/>
  <c r="M7" i="9"/>
  <c r="L7" i="9"/>
  <c r="T6" i="9"/>
  <c r="S6" i="9"/>
  <c r="R6" i="9"/>
  <c r="Q6" i="9"/>
  <c r="P6" i="9"/>
  <c r="O6" i="9"/>
  <c r="N6" i="9"/>
  <c r="M6" i="9"/>
  <c r="L6" i="9"/>
  <c r="T5" i="9"/>
  <c r="S5" i="9"/>
  <c r="R5" i="9"/>
  <c r="Q5" i="9"/>
  <c r="P5" i="9"/>
  <c r="O5" i="9"/>
  <c r="N5" i="9"/>
  <c r="M5" i="9"/>
  <c r="L5" i="9"/>
  <c r="T25" i="16"/>
  <c r="S25" i="16"/>
  <c r="R25" i="16"/>
  <c r="Q25" i="16"/>
  <c r="P25" i="16"/>
  <c r="O25" i="16"/>
  <c r="N25" i="16"/>
  <c r="M25" i="16"/>
  <c r="L25" i="16"/>
  <c r="T24" i="16"/>
  <c r="S24" i="16"/>
  <c r="R24" i="16"/>
  <c r="Q24" i="16"/>
  <c r="P24" i="16"/>
  <c r="O24" i="16"/>
  <c r="N24" i="16"/>
  <c r="M24" i="16" a="1"/>
  <c r="M24" i="16" s="1"/>
  <c r="L24" i="16"/>
  <c r="T23" i="16"/>
  <c r="S23" i="16"/>
  <c r="R23" i="16"/>
  <c r="Q23" i="16"/>
  <c r="P23" i="16"/>
  <c r="O23" i="16"/>
  <c r="N23" i="16"/>
  <c r="M23" i="16"/>
  <c r="L23" i="16"/>
  <c r="T7" i="16"/>
  <c r="S7" i="16"/>
  <c r="R7" i="16"/>
  <c r="Q7" i="16"/>
  <c r="P7" i="16"/>
  <c r="O7" i="16"/>
  <c r="N7" i="16"/>
  <c r="M7" i="16"/>
  <c r="L7" i="16"/>
  <c r="T6" i="16"/>
  <c r="S6" i="16"/>
  <c r="R6" i="16"/>
  <c r="Q6" i="16"/>
  <c r="P6" i="16"/>
  <c r="O6" i="16"/>
  <c r="N6" i="16"/>
  <c r="M6" i="16"/>
  <c r="L6" i="16"/>
  <c r="T5" i="16"/>
  <c r="S5" i="16"/>
  <c r="R5" i="16"/>
  <c r="Q5" i="16"/>
  <c r="P5" i="16"/>
  <c r="O5" i="16"/>
  <c r="N5" i="16"/>
  <c r="M5" i="16"/>
  <c r="L5" i="16"/>
  <c r="N67" i="16" l="1"/>
  <c r="N70" i="16"/>
  <c r="N69" i="16"/>
  <c r="M70" i="16"/>
  <c r="M69" i="16"/>
  <c r="L70" i="16"/>
  <c r="L69" i="16"/>
  <c r="N68" i="16"/>
  <c r="M68" i="16"/>
  <c r="L68" i="16"/>
  <c r="M67" i="16"/>
  <c r="L67" i="16"/>
  <c r="T62" i="16"/>
  <c r="S62" i="16"/>
  <c r="R62" i="16"/>
  <c r="Q62" i="16"/>
  <c r="P62" i="16"/>
  <c r="O62" i="16"/>
  <c r="N62" i="16"/>
  <c r="M62" i="16"/>
  <c r="L62" i="16"/>
  <c r="L61" i="16"/>
  <c r="G70" i="16"/>
  <c r="F70" i="16"/>
  <c r="E70" i="16"/>
  <c r="D70" i="16"/>
  <c r="C70" i="16"/>
  <c r="B70" i="16"/>
  <c r="G69" i="16"/>
  <c r="F69" i="16"/>
  <c r="E69" i="16"/>
  <c r="D69" i="16"/>
  <c r="C69" i="16"/>
  <c r="B69" i="16"/>
  <c r="G68" i="16"/>
  <c r="F68" i="16"/>
  <c r="E68" i="16"/>
  <c r="D68" i="16"/>
  <c r="C68" i="16"/>
  <c r="B68" i="16"/>
  <c r="T61" i="16"/>
  <c r="S61" i="16"/>
  <c r="R61" i="16"/>
  <c r="Q61" i="16"/>
  <c r="P61" i="16"/>
  <c r="O61" i="16"/>
  <c r="N61" i="16"/>
  <c r="M61" i="16"/>
  <c r="T60" i="16"/>
  <c r="S60" i="16"/>
  <c r="R60" i="16"/>
  <c r="Q60" i="16"/>
  <c r="P60" i="16"/>
  <c r="O60" i="16"/>
  <c r="N60" i="16"/>
  <c r="M60" i="16"/>
  <c r="L60" i="16"/>
  <c r="T59" i="16"/>
  <c r="S59" i="16"/>
  <c r="R59" i="16"/>
  <c r="Q59" i="16"/>
  <c r="P59" i="16"/>
  <c r="O59" i="16"/>
  <c r="N59" i="16"/>
  <c r="M59" i="16"/>
  <c r="L59" i="16"/>
  <c r="L41" i="16"/>
  <c r="O43" i="16"/>
  <c r="N43" i="16"/>
  <c r="M43" i="16"/>
  <c r="L43" i="16"/>
  <c r="R43" i="16"/>
  <c r="S43" i="16"/>
  <c r="T43" i="16"/>
  <c r="T42" i="16"/>
  <c r="S42" i="16"/>
  <c r="R42" i="16"/>
  <c r="Q43" i="16"/>
  <c r="P43" i="16"/>
  <c r="Q42" i="16"/>
  <c r="P42" i="16"/>
  <c r="O42" i="16"/>
  <c r="N42" i="16"/>
  <c r="M42" i="16"/>
  <c r="L42" i="16"/>
  <c r="T41" i="16"/>
  <c r="S41" i="16"/>
  <c r="R41" i="16"/>
  <c r="Q41" i="16"/>
  <c r="P41" i="16"/>
  <c r="O41" i="16"/>
  <c r="N41" i="16"/>
  <c r="M41" i="16"/>
  <c r="G52" i="16"/>
  <c r="F52" i="16"/>
  <c r="E52" i="16"/>
  <c r="D52" i="16"/>
  <c r="C52" i="16"/>
  <c r="B52" i="16"/>
  <c r="G51" i="16"/>
  <c r="F51" i="16"/>
  <c r="E51" i="16"/>
  <c r="D51" i="16"/>
  <c r="C51" i="16"/>
  <c r="B51" i="16"/>
  <c r="G50" i="16"/>
  <c r="F50" i="16"/>
  <c r="E50" i="16"/>
  <c r="D50" i="16"/>
  <c r="C50" i="16"/>
  <c r="B50" i="16"/>
  <c r="N49" i="16"/>
  <c r="M49" i="16"/>
  <c r="L49" i="16"/>
  <c r="N48" i="16"/>
  <c r="M48" i="16"/>
  <c r="L48" i="16"/>
  <c r="N47" i="16"/>
  <c r="M47" i="16"/>
  <c r="L47" i="16"/>
  <c r="N31" i="16"/>
  <c r="M31" i="16"/>
  <c r="L31" i="16"/>
  <c r="N30" i="16"/>
  <c r="M30" i="16"/>
  <c r="L30" i="16"/>
  <c r="N29" i="16"/>
  <c r="M29" i="16"/>
  <c r="L29" i="16"/>
  <c r="G34" i="16"/>
  <c r="G33" i="16"/>
  <c r="G32" i="16"/>
  <c r="F34" i="16"/>
  <c r="F33" i="16"/>
  <c r="F32" i="16"/>
  <c r="E34" i="16"/>
  <c r="E33" i="16"/>
  <c r="E32" i="16"/>
  <c r="N13" i="16"/>
  <c r="M13" i="16"/>
  <c r="L13" i="16"/>
  <c r="L12" i="16"/>
  <c r="L11" i="16"/>
  <c r="D34" i="16"/>
  <c r="C34" i="16"/>
  <c r="B34" i="16"/>
  <c r="D33" i="16"/>
  <c r="C33" i="16"/>
  <c r="B33" i="16"/>
  <c r="D32" i="16"/>
  <c r="C32" i="16"/>
  <c r="B32" i="16"/>
  <c r="G16" i="16"/>
  <c r="F16" i="16"/>
  <c r="E16" i="16"/>
  <c r="D16" i="16"/>
  <c r="C16" i="16"/>
  <c r="B16" i="16"/>
  <c r="G15" i="16"/>
  <c r="F15" i="16"/>
  <c r="E15" i="16"/>
  <c r="D15" i="16"/>
  <c r="C15" i="16"/>
  <c r="B15" i="16"/>
  <c r="G14" i="16"/>
  <c r="F14" i="16"/>
  <c r="E14" i="16"/>
  <c r="D14" i="16"/>
  <c r="C14" i="16"/>
  <c r="B14" i="16"/>
  <c r="N12" i="16"/>
  <c r="M12" i="16"/>
  <c r="N11" i="16"/>
  <c r="M11" i="16"/>
  <c r="N31" i="9"/>
  <c r="M31" i="9"/>
  <c r="L31" i="9"/>
  <c r="N30" i="9"/>
  <c r="M30" i="9"/>
  <c r="L30" i="9"/>
  <c r="N29" i="9"/>
  <c r="M29" i="9"/>
  <c r="L29" i="9"/>
  <c r="N13" i="9"/>
  <c r="M13" i="9"/>
  <c r="M12" i="9"/>
  <c r="L13" i="9"/>
  <c r="L12" i="9"/>
  <c r="N12" i="9"/>
  <c r="N11" i="9"/>
  <c r="M11" i="9"/>
  <c r="L11" i="9"/>
  <c r="D34" i="9"/>
  <c r="C34" i="9"/>
  <c r="B34" i="9"/>
  <c r="D33" i="9"/>
  <c r="C33" i="9"/>
  <c r="B33" i="9"/>
  <c r="D32" i="9"/>
  <c r="C32" i="9"/>
  <c r="B32" i="9"/>
  <c r="G14" i="9" l="1"/>
  <c r="G15" i="9"/>
  <c r="G16" i="9"/>
  <c r="F14" i="9"/>
  <c r="F15" i="9"/>
  <c r="F16" i="9"/>
  <c r="E16" i="9" l="1"/>
  <c r="E15" i="9"/>
  <c r="E14" i="9"/>
  <c r="D16" i="9" l="1"/>
  <c r="C16" i="9"/>
  <c r="B16" i="9"/>
  <c r="D15" i="9"/>
  <c r="C15" i="9"/>
  <c r="B15" i="9"/>
  <c r="D14" i="9"/>
  <c r="C14" i="9"/>
  <c r="B14" i="9"/>
  <c r="N26" i="9" s="1"/>
  <c r="D16" i="8"/>
  <c r="D15" i="8"/>
  <c r="D14" i="8"/>
  <c r="C16" i="8"/>
  <c r="C15" i="8"/>
  <c r="C14" i="8"/>
  <c r="B16" i="8"/>
  <c r="B15" i="8"/>
  <c r="B14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<sst xmlns="http://schemas.openxmlformats.org/spreadsheetml/2006/main" count="2819" uniqueCount="697">
  <si>
    <t>ケアレスミス</t>
    <phoneticPr fontId="1"/>
  </si>
  <si>
    <t>担当者</t>
    <rPh sb="0" eb="3">
      <t>タントウシャ</t>
    </rPh>
    <phoneticPr fontId="1"/>
  </si>
  <si>
    <t>前田</t>
    <rPh sb="0" eb="2">
      <t>マエダ</t>
    </rPh>
    <phoneticPr fontId="1"/>
  </si>
  <si>
    <t>解釈・あいまいな部分あり</t>
  </si>
  <si>
    <t>myTE勤怠情報チェック</t>
  </si>
  <si>
    <t>　</t>
  </si>
  <si>
    <t>FB数</t>
  </si>
  <si>
    <t>1工程</t>
  </si>
  <si>
    <t>2工程</t>
  </si>
  <si>
    <t>3工程</t>
  </si>
  <si>
    <t>ケアレスミス</t>
  </si>
  <si>
    <t>インシデントケース</t>
  </si>
  <si>
    <t>解釈・あいまいな部分あり？？→これはどうだろう？</t>
  </si>
  <si>
    <t>名前</t>
    <rPh sb="0" eb="2">
      <t>ナマエ</t>
    </rPh>
    <phoneticPr fontId="1"/>
  </si>
  <si>
    <t>村松</t>
    <rPh sb="0" eb="2">
      <t>ムラマツ</t>
    </rPh>
    <phoneticPr fontId="1"/>
  </si>
  <si>
    <t>服部</t>
    <rPh sb="0" eb="2">
      <t>ハットリ</t>
    </rPh>
    <phoneticPr fontId="1"/>
  </si>
  <si>
    <t>myTE作業工程(服部案)</t>
    <rPh sb="4" eb="8">
      <t>サギョウコウテイ</t>
    </rPh>
    <rPh sb="9" eb="12">
      <t>ハットリアン</t>
    </rPh>
    <phoneticPr fontId="1"/>
  </si>
  <si>
    <t>第一工程(ケアレスミス)FB数</t>
    <rPh sb="0" eb="4">
      <t>ダイイチコウテイ</t>
    </rPh>
    <rPh sb="14" eb="15">
      <t>スウ</t>
    </rPh>
    <phoneticPr fontId="1"/>
  </si>
  <si>
    <t>第一工程(インシデント)FB数</t>
    <rPh sb="0" eb="4">
      <t>ダイイチコウテイ</t>
    </rPh>
    <rPh sb="14" eb="15">
      <t>スウ</t>
    </rPh>
    <phoneticPr fontId="1"/>
  </si>
  <si>
    <t>第一工程(解釈)FB数</t>
    <rPh sb="0" eb="4">
      <t>ダイイチコウテイ</t>
    </rPh>
    <rPh sb="5" eb="7">
      <t>カイシャク</t>
    </rPh>
    <rPh sb="10" eb="11">
      <t>スウ</t>
    </rPh>
    <phoneticPr fontId="1"/>
  </si>
  <si>
    <t>第二工程(ケアレスミス)FB数</t>
    <rPh sb="0" eb="2">
      <t>ダイニ</t>
    </rPh>
    <rPh sb="2" eb="4">
      <t>コウテイ</t>
    </rPh>
    <rPh sb="14" eb="15">
      <t>スウ</t>
    </rPh>
    <phoneticPr fontId="1"/>
  </si>
  <si>
    <t>第二工程(インシデント)FB数</t>
    <rPh sb="0" eb="2">
      <t>ダイニ</t>
    </rPh>
    <rPh sb="2" eb="4">
      <t>コウテイ</t>
    </rPh>
    <rPh sb="14" eb="15">
      <t>スウ</t>
    </rPh>
    <phoneticPr fontId="1"/>
  </si>
  <si>
    <t>第二工程(解釈)FB数</t>
    <rPh sb="0" eb="2">
      <t>ダイニ</t>
    </rPh>
    <rPh sb="2" eb="4">
      <t>コウテイ</t>
    </rPh>
    <rPh sb="5" eb="7">
      <t>カイシャク</t>
    </rPh>
    <rPh sb="10" eb="11">
      <t>スウ</t>
    </rPh>
    <phoneticPr fontId="1"/>
  </si>
  <si>
    <t>作業年月ピリオド</t>
    <rPh sb="0" eb="2">
      <t>サギョウ</t>
    </rPh>
    <rPh sb="2" eb="4">
      <t>ネンツキ</t>
    </rPh>
    <phoneticPr fontId="1"/>
  </si>
  <si>
    <t>第三工程(ケアレスミス)FB数</t>
    <rPh sb="0" eb="1">
      <t>ダイ</t>
    </rPh>
    <rPh sb="1" eb="2">
      <t>ミ</t>
    </rPh>
    <rPh sb="2" eb="4">
      <t>コウテイ</t>
    </rPh>
    <rPh sb="14" eb="15">
      <t>スウ</t>
    </rPh>
    <phoneticPr fontId="1"/>
  </si>
  <si>
    <t>第三工程(インシデント)FB数</t>
    <rPh sb="0" eb="1">
      <t>ダイ</t>
    </rPh>
    <rPh sb="1" eb="2">
      <t>ミ</t>
    </rPh>
    <rPh sb="2" eb="4">
      <t>コウテイ</t>
    </rPh>
    <rPh sb="14" eb="15">
      <t>スウ</t>
    </rPh>
    <phoneticPr fontId="1"/>
  </si>
  <si>
    <t>第三工程(解釈)FB数</t>
    <rPh sb="0" eb="1">
      <t>ダイ</t>
    </rPh>
    <rPh sb="1" eb="2">
      <t>ミ</t>
    </rPh>
    <rPh sb="2" eb="4">
      <t>コウテイ</t>
    </rPh>
    <rPh sb="5" eb="7">
      <t>カイシャク</t>
    </rPh>
    <rPh sb="10" eb="11">
      <t>スウ</t>
    </rPh>
    <phoneticPr fontId="1"/>
  </si>
  <si>
    <t>木村</t>
    <rPh sb="0" eb="2">
      <t>キムラ</t>
    </rPh>
    <phoneticPr fontId="1"/>
  </si>
  <si>
    <t>中野</t>
    <rPh sb="0" eb="2">
      <t>ナカノ</t>
    </rPh>
    <phoneticPr fontId="1"/>
  </si>
  <si>
    <t>ダイクス</t>
    <phoneticPr fontId="1"/>
  </si>
  <si>
    <t>2024/2/15P</t>
    <phoneticPr fontId="1"/>
  </si>
  <si>
    <t>第一工程FB数</t>
    <rPh sb="0" eb="4">
      <t>ダイイチコウテイ</t>
    </rPh>
    <rPh sb="6" eb="7">
      <t>スウ</t>
    </rPh>
    <phoneticPr fontId="1"/>
  </si>
  <si>
    <t>第二工程FB数</t>
    <rPh sb="0" eb="2">
      <t>ダイニ</t>
    </rPh>
    <rPh sb="2" eb="4">
      <t>コウテイ</t>
    </rPh>
    <rPh sb="6" eb="7">
      <t>スウ</t>
    </rPh>
    <phoneticPr fontId="1"/>
  </si>
  <si>
    <t>第三工程FB数</t>
    <rPh sb="0" eb="4">
      <t>ダイサンコウテイ</t>
    </rPh>
    <rPh sb="6" eb="7">
      <t>スウ</t>
    </rPh>
    <phoneticPr fontId="1"/>
  </si>
  <si>
    <t>項目/名前</t>
    <rPh sb="0" eb="2">
      <t>コウモク</t>
    </rPh>
    <rPh sb="3" eb="5">
      <t>ナマエ</t>
    </rPh>
    <phoneticPr fontId="1"/>
  </si>
  <si>
    <t>2024/１/15P</t>
    <phoneticPr fontId="1"/>
  </si>
  <si>
    <t>渡邊</t>
    <rPh sb="0" eb="2">
      <t>ワタナベ</t>
    </rPh>
    <phoneticPr fontId="1"/>
  </si>
  <si>
    <t>2024/1/15P</t>
    <phoneticPr fontId="1"/>
  </si>
  <si>
    <t>2024/1/31P</t>
    <phoneticPr fontId="1"/>
  </si>
  <si>
    <t>ダイクス</t>
  </si>
  <si>
    <t>西川</t>
    <rPh sb="0" eb="2">
      <t>ニシカワ</t>
    </rPh>
    <phoneticPr fontId="1"/>
  </si>
  <si>
    <t>3/15P作業</t>
    <phoneticPr fontId="1"/>
  </si>
  <si>
    <t>3/31P作業</t>
    <phoneticPr fontId="1"/>
  </si>
  <si>
    <t>大竹</t>
    <rPh sb="0" eb="2">
      <t>オオタケ</t>
    </rPh>
    <phoneticPr fontId="1"/>
  </si>
  <si>
    <t>ダイクス</t>
    <phoneticPr fontId="1"/>
  </si>
  <si>
    <t>中野</t>
    <rPh sb="0" eb="2">
      <t>ナカノ</t>
    </rPh>
    <phoneticPr fontId="1"/>
  </si>
  <si>
    <t>渡邊</t>
    <rPh sb="0" eb="2">
      <t>ワタナベ</t>
    </rPh>
    <phoneticPr fontId="1"/>
  </si>
  <si>
    <t>2024年1月名前別FB件数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</si>
  <si>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名前</t>
    <rPh sb="0" eb="2">
      <t>ナマエ</t>
    </rPh>
    <phoneticPr fontId="1"/>
  </si>
  <si>
    <t>インシデント</t>
  </si>
  <si>
    <t>解釈</t>
    <rPh sb="0" eb="2">
      <t>カイシャク0</t>
    </rPh>
    <phoneticPr fontId="1"/>
  </si>
  <si>
    <t>FB数合計</t>
    <rPh sb="0" eb="5">
      <t>スウ0</t>
    </rPh>
    <phoneticPr fontId="1"/>
  </si>
  <si>
    <t>ケアレスミス</t>
    <phoneticPr fontId="1"/>
  </si>
  <si>
    <t>インシデント</t>
    <phoneticPr fontId="1"/>
  </si>
  <si>
    <t>解釈・理解があいまい</t>
    <rPh sb="0" eb="2">
      <t>カイシャク</t>
    </rPh>
    <rPh sb="3" eb="5">
      <t>リカイ</t>
    </rPh>
    <phoneticPr fontId="1"/>
  </si>
  <si>
    <t>①工程ケアレスミス</t>
    <rPh sb="1" eb="3">
      <t>コウテイ</t>
    </rPh>
    <phoneticPr fontId="1"/>
  </si>
  <si>
    <t>①工程インシデント</t>
    <rPh sb="1" eb="3">
      <t>コウテイ</t>
    </rPh>
    <phoneticPr fontId="1"/>
  </si>
  <si>
    <t>①工程解釈・理解があいまい</t>
    <rPh sb="1" eb="3">
      <t>コウテイ</t>
    </rPh>
    <rPh sb="3" eb="5">
      <t>カイシャク</t>
    </rPh>
    <rPh sb="6" eb="8">
      <t>リカイ</t>
    </rPh>
    <phoneticPr fontId="1"/>
  </si>
  <si>
    <t>②工程ケアレスミス</t>
    <rPh sb="1" eb="3">
      <t>コウテイ</t>
    </rPh>
    <phoneticPr fontId="1"/>
  </si>
  <si>
    <t>②工程インシデント</t>
    <rPh sb="1" eb="3">
      <t>コウテイ</t>
    </rPh>
    <phoneticPr fontId="1"/>
  </si>
  <si>
    <t>②工程解釈・理解があいまい</t>
    <rPh sb="1" eb="3">
      <t>コウテイ</t>
    </rPh>
    <rPh sb="3" eb="5">
      <t>カイシャク</t>
    </rPh>
    <rPh sb="6" eb="8">
      <t>リカイ</t>
    </rPh>
    <phoneticPr fontId="1"/>
  </si>
  <si>
    <t>③工程ケアレスミス</t>
    <rPh sb="1" eb="3">
      <t>コウテイ</t>
    </rPh>
    <phoneticPr fontId="1"/>
  </si>
  <si>
    <t>③工程インシデント</t>
    <rPh sb="1" eb="3">
      <t>コウテイ</t>
    </rPh>
    <phoneticPr fontId="1"/>
  </si>
  <si>
    <t>③工程解釈・理解があいまい</t>
    <rPh sb="1" eb="3">
      <t>コウテイ</t>
    </rPh>
    <rPh sb="3" eb="5">
      <t>カイシャク</t>
    </rPh>
    <rPh sb="6" eb="8">
      <t>リカイ</t>
    </rPh>
    <phoneticPr fontId="1"/>
  </si>
  <si>
    <t>渡邊</t>
    <phoneticPr fontId="1"/>
  </si>
  <si>
    <t>2024年2月名前別FB件数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</si>
  <si>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渡邊</t>
  </si>
  <si>
    <t>担当/作業年月</t>
    <rPh sb="0" eb="2">
      <t>タントウ</t>
    </rPh>
    <rPh sb="3" eb="5">
      <t>サギョウ</t>
    </rPh>
    <rPh sb="5" eb="7">
      <t>ネンゲツ</t>
    </rPh>
    <phoneticPr fontId="1"/>
  </si>
  <si>
    <t>江藤</t>
    <rPh sb="0" eb="2">
      <t>エトウ</t>
    </rPh>
    <phoneticPr fontId="1"/>
  </si>
  <si>
    <t>FB件数理由別推移グラフ</t>
    <rPh sb="2" eb="4">
      <t>ケンスウ</t>
    </rPh>
    <rPh sb="4" eb="7">
      <t>リユウベツ</t>
    </rPh>
    <rPh sb="7" eb="9">
      <t>スイイ</t>
    </rPh>
    <phoneticPr fontId="1"/>
  </si>
  <si>
    <t>1.MyTE作業FB指摘ケアレスミス件数、推移グラフ</t>
    <rPh sb="6" eb="8">
      <t>サギョウ</t>
    </rPh>
    <rPh sb="10" eb="12">
      <t>シテキ</t>
    </rPh>
    <rPh sb="18" eb="20">
      <t>ケンスウ</t>
    </rPh>
    <rPh sb="21" eb="23">
      <t>スイイ</t>
    </rPh>
    <phoneticPr fontId="1"/>
  </si>
  <si>
    <t>2.MyTE作業FB指摘インシデント件数、推移グラフ</t>
    <rPh sb="6" eb="8">
      <t>サギョウ</t>
    </rPh>
    <rPh sb="10" eb="12">
      <t>シテキ</t>
    </rPh>
    <rPh sb="18" eb="20">
      <t>ケンスウ</t>
    </rPh>
    <rPh sb="21" eb="23">
      <t>スイイ</t>
    </rPh>
    <phoneticPr fontId="1"/>
  </si>
  <si>
    <t>3.MyTE作業FB指摘解釈、理解があいまい件数、推移グラフ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7">
      <t>スイイ</t>
    </rPh>
    <phoneticPr fontId="1"/>
  </si>
  <si>
    <t>FB件数理由別積み上げ棒グラフ</t>
    <rPh sb="2" eb="4">
      <t>ケンスウ</t>
    </rPh>
    <rPh sb="4" eb="7">
      <t>リユウベツ</t>
    </rPh>
    <rPh sb="7" eb="8">
      <t>ツ</t>
    </rPh>
    <rPh sb="9" eb="10">
      <t>ア</t>
    </rPh>
    <rPh sb="11" eb="12">
      <t>ボウ</t>
    </rPh>
    <phoneticPr fontId="1"/>
  </si>
  <si>
    <t>2023/9/15P</t>
    <phoneticPr fontId="1"/>
  </si>
  <si>
    <t>20239/30P</t>
    <phoneticPr fontId="1"/>
  </si>
  <si>
    <t>2023/9/30P</t>
    <phoneticPr fontId="1"/>
  </si>
  <si>
    <t>2024/9/30P</t>
    <phoneticPr fontId="1"/>
  </si>
  <si>
    <t>2023年9月名前別FB件数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</si>
  <si>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2023年10月名前別FB件数</t>
    <rPh sb="4" eb="5">
      <t>ネン</t>
    </rPh>
    <rPh sb="7" eb="8">
      <t>ガツ</t>
    </rPh>
    <rPh sb="8" eb="11">
      <t>ナマエベツ</t>
    </rPh>
    <rPh sb="13" eb="15">
      <t>ケンスウ</t>
    </rPh>
    <phoneticPr fontId="1"/>
  </si>
  <si>
    <t>2023/10/15P</t>
    <phoneticPr fontId="1"/>
  </si>
  <si>
    <t>2023/10/31P</t>
    <phoneticPr fontId="1"/>
  </si>
  <si>
    <t>2023/11/15P</t>
  </si>
  <si>
    <t>2023/11/15P</t>
    <phoneticPr fontId="1"/>
  </si>
  <si>
    <t>2023/11/30P</t>
  </si>
  <si>
    <t>2023年11月名前別FB件数</t>
    <rPh sb="4" eb="5">
      <t>ネン</t>
    </rPh>
    <rPh sb="7" eb="8">
      <t>ガツ</t>
    </rPh>
    <rPh sb="8" eb="11">
      <t>ナマエベツ</t>
    </rPh>
    <rPh sb="13" eb="15">
      <t>ケンスウ</t>
    </rPh>
    <phoneticPr fontId="1"/>
  </si>
  <si>
    <t>集計</t>
  </si>
  <si>
    <t>2023/12/15P</t>
    <phoneticPr fontId="1"/>
  </si>
  <si>
    <t>2023/12/31P</t>
    <phoneticPr fontId="1"/>
  </si>
  <si>
    <t>2023年12月名前別FB件数</t>
    <rPh sb="4" eb="5">
      <t>ネン</t>
    </rPh>
    <rPh sb="7" eb="8">
      <t>ガツ</t>
    </rPh>
    <rPh sb="8" eb="11">
      <t>ナマエベツ</t>
    </rPh>
    <rPh sb="13" eb="15">
      <t>ケンスウ</t>
    </rPh>
    <phoneticPr fontId="1"/>
  </si>
  <si>
    <t>西川</t>
    <rPh sb="0" eb="2">
      <t>ニシカワ</t>
    </rPh>
    <phoneticPr fontId="1"/>
  </si>
  <si>
    <t>※直接修正あり</t>
    <rPh sb="1" eb="3">
      <t>チョクセツ</t>
    </rPh>
    <rPh sb="3" eb="5">
      <t>シュウセイ</t>
    </rPh>
    <phoneticPr fontId="1"/>
  </si>
  <si>
    <t>※チェック後に送信ミスあり</t>
    <rPh sb="5" eb="6">
      <t>ゴ</t>
    </rPh>
    <rPh sb="7" eb="9">
      <t>ソウシン</t>
    </rPh>
    <phoneticPr fontId="1"/>
  </si>
  <si>
    <t>※記事作成/英訳追加を①、Teams配信を②、メール配信を③とする</t>
    <rPh sb="1" eb="3">
      <t>キジ</t>
    </rPh>
    <rPh sb="3" eb="5">
      <t>サクセイ</t>
    </rPh>
    <rPh sb="6" eb="8">
      <t>エイヤク</t>
    </rPh>
    <rPh sb="8" eb="10">
      <t>ツイカ</t>
    </rPh>
    <rPh sb="18" eb="20">
      <t>ハイシン</t>
    </rPh>
    <rPh sb="26" eb="28">
      <t>ハイシン</t>
    </rPh>
    <phoneticPr fontId="1"/>
  </si>
  <si>
    <t>合計</t>
    <rPh sb="0" eb="2">
      <t>ゴウケイ</t>
    </rPh>
    <phoneticPr fontId="1"/>
  </si>
  <si>
    <t>I&amp;D作業工程(服部案)</t>
    <rPh sb="3" eb="7">
      <t>サギョウコウテイ</t>
    </rPh>
    <rPh sb="8" eb="11">
      <t>ハットリアン</t>
    </rPh>
    <phoneticPr fontId="1"/>
  </si>
  <si>
    <t>担当者</t>
    <rPh sb="0" eb="2">
      <t>サギョウタントウ00</t>
    </rPh>
    <phoneticPr fontId="1"/>
  </si>
  <si>
    <t>2023/9</t>
    <phoneticPr fontId="1"/>
  </si>
  <si>
    <t>0348</t>
    <phoneticPr fontId="1"/>
  </si>
  <si>
    <t>照井</t>
    <rPh sb="0" eb="2">
      <t>テルイ</t>
    </rPh>
    <phoneticPr fontId="1"/>
  </si>
  <si>
    <t>0349</t>
    <phoneticPr fontId="1"/>
  </si>
  <si>
    <t>0350</t>
  </si>
  <si>
    <t>0351</t>
  </si>
  <si>
    <t>0352</t>
  </si>
  <si>
    <t>0353</t>
  </si>
  <si>
    <t>0354</t>
  </si>
  <si>
    <t>0355</t>
  </si>
  <si>
    <t>0356</t>
  </si>
  <si>
    <t>0357</t>
  </si>
  <si>
    <t>0358</t>
  </si>
  <si>
    <t>0359</t>
  </si>
  <si>
    <t>0360</t>
  </si>
  <si>
    <t>0361</t>
  </si>
  <si>
    <t>0362</t>
  </si>
  <si>
    <t>0363</t>
  </si>
  <si>
    <t>0364</t>
  </si>
  <si>
    <t>0365</t>
  </si>
  <si>
    <t>0366</t>
  </si>
  <si>
    <t>0367</t>
  </si>
  <si>
    <t>0368</t>
  </si>
  <si>
    <t>0369</t>
  </si>
  <si>
    <t>0370</t>
  </si>
  <si>
    <t>0371</t>
  </si>
  <si>
    <t>0372</t>
  </si>
  <si>
    <t>0373</t>
  </si>
  <si>
    <t>0374</t>
  </si>
  <si>
    <t>0375</t>
  </si>
  <si>
    <t>0376</t>
  </si>
  <si>
    <t>0377</t>
  </si>
  <si>
    <t>0378</t>
  </si>
  <si>
    <t>0379</t>
  </si>
  <si>
    <t>0380</t>
  </si>
  <si>
    <t>0381</t>
  </si>
  <si>
    <t>0382</t>
  </si>
  <si>
    <t>0384</t>
  </si>
  <si>
    <t>0385</t>
  </si>
  <si>
    <t>0386</t>
  </si>
  <si>
    <t>0387</t>
  </si>
  <si>
    <t>0388</t>
  </si>
  <si>
    <t>0389</t>
  </si>
  <si>
    <t>0390</t>
  </si>
  <si>
    <t>0391</t>
  </si>
  <si>
    <t>0392</t>
  </si>
  <si>
    <t>0393</t>
  </si>
  <si>
    <t>0394</t>
  </si>
  <si>
    <t>0395</t>
  </si>
  <si>
    <t>0396</t>
  </si>
  <si>
    <t>深澤</t>
    <rPh sb="0" eb="2">
      <t>フカザワ</t>
    </rPh>
    <phoneticPr fontId="1"/>
  </si>
  <si>
    <t>長谷川</t>
    <rPh sb="0" eb="3">
      <t>ハセガワ</t>
    </rPh>
    <phoneticPr fontId="1"/>
  </si>
  <si>
    <t>和田</t>
    <rPh sb="0" eb="2">
      <t>ワダ</t>
    </rPh>
    <phoneticPr fontId="1"/>
  </si>
  <si>
    <t>2023/10</t>
    <phoneticPr fontId="1"/>
  </si>
  <si>
    <t>'2023/10</t>
    <phoneticPr fontId="1"/>
  </si>
  <si>
    <t>件数</t>
    <rPh sb="0" eb="2">
      <t>ケンスウ</t>
    </rPh>
    <phoneticPr fontId="1"/>
  </si>
  <si>
    <t>2023/11</t>
    <phoneticPr fontId="1"/>
  </si>
  <si>
    <t>1.I&amp;D作業FB指摘ケアレスミス件数、積み上げグラフ</t>
    <rPh sb="5" eb="7">
      <t>サギョウ</t>
    </rPh>
    <rPh sb="9" eb="11">
      <t>シテキ</t>
    </rPh>
    <rPh sb="17" eb="19">
      <t>ケンスウ</t>
    </rPh>
    <rPh sb="20" eb="21">
      <t>ツ</t>
    </rPh>
    <rPh sb="22" eb="23">
      <t>ア</t>
    </rPh>
    <phoneticPr fontId="1"/>
  </si>
  <si>
    <t>2.I&amp;D作業FB指摘インシデント件数、積み上げグラフ</t>
    <rPh sb="5" eb="7">
      <t>サギョウ</t>
    </rPh>
    <rPh sb="9" eb="11">
      <t>シテキ</t>
    </rPh>
    <rPh sb="17" eb="19">
      <t>ケンスウ</t>
    </rPh>
    <phoneticPr fontId="1"/>
  </si>
  <si>
    <t>3.I&amp;D作業FB指摘解釈、理解があいまい件数、推移グラフ</t>
    <rPh sb="5" eb="7">
      <t>サギョウ</t>
    </rPh>
    <rPh sb="9" eb="11">
      <t>シテキ</t>
    </rPh>
    <rPh sb="11" eb="13">
      <t>カイシャク</t>
    </rPh>
    <rPh sb="14" eb="16">
      <t>リカイ</t>
    </rPh>
    <rPh sb="21" eb="23">
      <t>ケンスウ</t>
    </rPh>
    <rPh sb="24" eb="26">
      <t>スイイ</t>
    </rPh>
    <phoneticPr fontId="1"/>
  </si>
  <si>
    <t>2023/12</t>
    <phoneticPr fontId="1"/>
  </si>
  <si>
    <t>2024/1</t>
    <phoneticPr fontId="1"/>
  </si>
  <si>
    <t>渡邊</t>
    <rPh sb="0" eb="2">
      <t>ワタナベ</t>
    </rPh>
    <phoneticPr fontId="1"/>
  </si>
  <si>
    <t>2024/2</t>
    <phoneticPr fontId="1"/>
  </si>
  <si>
    <t>中野</t>
    <rPh sb="0" eb="2">
      <t>ナカノ</t>
    </rPh>
    <phoneticPr fontId="1"/>
  </si>
  <si>
    <t>ダイクス</t>
    <phoneticPr fontId="1"/>
  </si>
  <si>
    <t>本山</t>
    <rPh sb="0" eb="2">
      <t>モトヤマ</t>
    </rPh>
    <phoneticPr fontId="1"/>
  </si>
  <si>
    <t>0397</t>
  </si>
  <si>
    <t>0399</t>
  </si>
  <si>
    <t>0400</t>
  </si>
  <si>
    <t>※Python導入後の2024年1月から集計開始</t>
    <rPh sb="7" eb="9">
      <t>ドウニュウ</t>
    </rPh>
    <rPh sb="9" eb="10">
      <t>ゴ</t>
    </rPh>
    <rPh sb="15" eb="16">
      <t>ネン</t>
    </rPh>
    <rPh sb="17" eb="18">
      <t>ガツ</t>
    </rPh>
    <rPh sb="20" eb="22">
      <t>シュウケイ</t>
    </rPh>
    <rPh sb="22" eb="24">
      <t>カイシ</t>
    </rPh>
    <phoneticPr fontId="1"/>
  </si>
  <si>
    <t>I&amp;D 作業工程(服部案)</t>
    <rPh sb="4" eb="8">
      <t>サギョウコウテイ</t>
    </rPh>
    <rPh sb="9" eb="12">
      <t>ハットリアン</t>
    </rPh>
    <phoneticPr fontId="1"/>
  </si>
  <si>
    <t>人事異動 FB数集計</t>
    <rPh sb="0" eb="4">
      <t>ジンジイドウ</t>
    </rPh>
    <rPh sb="7" eb="8">
      <t>スウ</t>
    </rPh>
    <rPh sb="8" eb="10">
      <t>シュウケイ</t>
    </rPh>
    <phoneticPr fontId="1"/>
  </si>
  <si>
    <t>FB件数理由別積み上げグラフ</t>
    <rPh sb="2" eb="4">
      <t>ケンスウ</t>
    </rPh>
    <rPh sb="4" eb="7">
      <t>リユウベツ</t>
    </rPh>
    <rPh sb="7" eb="8">
      <t>ツ</t>
    </rPh>
    <rPh sb="9" eb="10">
      <t>ア</t>
    </rPh>
    <phoneticPr fontId="1"/>
  </si>
  <si>
    <t>人事異動・組織改編FB率グラフ</t>
    <phoneticPr fontId="1"/>
  </si>
  <si>
    <t>第一週(ケアレスミス)FB数</t>
    <rPh sb="0" eb="1">
      <t>ダイ</t>
    </rPh>
    <rPh sb="1" eb="2">
      <t>イチ</t>
    </rPh>
    <rPh sb="2" eb="3">
      <t>シュウ</t>
    </rPh>
    <rPh sb="13" eb="14">
      <t>スウ</t>
    </rPh>
    <phoneticPr fontId="1"/>
  </si>
  <si>
    <t>第一週(インシデント)FB数</t>
    <rPh sb="0" eb="2">
      <t>ダイイチ</t>
    </rPh>
    <rPh sb="2" eb="3">
      <t>シュウ</t>
    </rPh>
    <rPh sb="13" eb="14">
      <t>スウ</t>
    </rPh>
    <phoneticPr fontId="1"/>
  </si>
  <si>
    <t>第一週(解釈)FB数</t>
    <rPh sb="0" eb="2">
      <t>ダイイチ</t>
    </rPh>
    <rPh sb="2" eb="3">
      <t>シュウ</t>
    </rPh>
    <rPh sb="4" eb="6">
      <t>カイシャク</t>
    </rPh>
    <rPh sb="9" eb="10">
      <t>スウ</t>
    </rPh>
    <phoneticPr fontId="1"/>
  </si>
  <si>
    <t>第二週(ケアレスミス)FB数</t>
    <rPh sb="0" eb="2">
      <t>ダイニ</t>
    </rPh>
    <rPh sb="2" eb="3">
      <t>シュウ</t>
    </rPh>
    <rPh sb="13" eb="14">
      <t>スウ</t>
    </rPh>
    <phoneticPr fontId="1"/>
  </si>
  <si>
    <t>第二週(インシデント)FB数</t>
    <rPh sb="0" eb="2">
      <t>ダイニ</t>
    </rPh>
    <rPh sb="2" eb="3">
      <t>シュウ</t>
    </rPh>
    <rPh sb="13" eb="14">
      <t>スウ</t>
    </rPh>
    <phoneticPr fontId="1"/>
  </si>
  <si>
    <t>第二週(解釈)FB数</t>
    <rPh sb="0" eb="2">
      <t>ダイニ</t>
    </rPh>
    <rPh sb="2" eb="3">
      <t>シュウ</t>
    </rPh>
    <rPh sb="4" eb="6">
      <t>カイシャク</t>
    </rPh>
    <rPh sb="9" eb="10">
      <t>スウ</t>
    </rPh>
    <phoneticPr fontId="1"/>
  </si>
  <si>
    <t>第三週(ケアレスミス)FB数</t>
    <rPh sb="0" eb="1">
      <t>ダイ</t>
    </rPh>
    <rPh sb="1" eb="2">
      <t>ミ</t>
    </rPh>
    <rPh sb="2" eb="3">
      <t>シュウ</t>
    </rPh>
    <rPh sb="13" eb="14">
      <t>スウ</t>
    </rPh>
    <phoneticPr fontId="1"/>
  </si>
  <si>
    <t>第三週(インシデント)FB数</t>
    <rPh sb="0" eb="1">
      <t>ダイ</t>
    </rPh>
    <rPh sb="1" eb="2">
      <t>ミ</t>
    </rPh>
    <rPh sb="2" eb="3">
      <t>シュウ</t>
    </rPh>
    <rPh sb="13" eb="14">
      <t>スウ</t>
    </rPh>
    <phoneticPr fontId="1"/>
  </si>
  <si>
    <t>第三週(解釈)FB数</t>
    <rPh sb="0" eb="1">
      <t>ダイ</t>
    </rPh>
    <rPh sb="1" eb="2">
      <t>ミ</t>
    </rPh>
    <rPh sb="2" eb="3">
      <t>シュウ</t>
    </rPh>
    <rPh sb="4" eb="6">
      <t>カイシャク</t>
    </rPh>
    <rPh sb="9" eb="10">
      <t>スウ</t>
    </rPh>
    <phoneticPr fontId="1"/>
  </si>
  <si>
    <t>第四週(ケアレスミス)FB数</t>
    <rPh sb="1" eb="2">
      <t>ヨン</t>
    </rPh>
    <phoneticPr fontId="1"/>
  </si>
  <si>
    <t>第四週(インシデント)FB数</t>
    <rPh sb="1" eb="2">
      <t>ヨン</t>
    </rPh>
    <phoneticPr fontId="1"/>
  </si>
  <si>
    <t>第四週(解釈)FB数</t>
    <rPh sb="4" eb="6">
      <t>カイシャク</t>
    </rPh>
    <phoneticPr fontId="1"/>
  </si>
  <si>
    <t>江藤</t>
    <rPh sb="0" eb="2">
      <t>エトウ</t>
    </rPh>
    <phoneticPr fontId="1"/>
  </si>
  <si>
    <t>照井</t>
    <rPh sb="0" eb="2">
      <t>テルイ</t>
    </rPh>
    <phoneticPr fontId="1"/>
  </si>
  <si>
    <t>前田</t>
    <rPh sb="0" eb="2">
      <t>マエダ</t>
    </rPh>
    <phoneticPr fontId="1"/>
  </si>
  <si>
    <t>服部</t>
    <rPh sb="0" eb="2">
      <t>ハットリ</t>
    </rPh>
    <phoneticPr fontId="1"/>
  </si>
  <si>
    <t>和田</t>
    <rPh sb="0" eb="2">
      <t>ワダ</t>
    </rPh>
    <phoneticPr fontId="1"/>
  </si>
  <si>
    <t>深澤</t>
    <rPh sb="0" eb="2">
      <t>フカザワ</t>
    </rPh>
    <phoneticPr fontId="1"/>
  </si>
  <si>
    <t>長谷川</t>
    <rPh sb="0" eb="3">
      <t>ハセガワ</t>
    </rPh>
    <phoneticPr fontId="1"/>
  </si>
  <si>
    <t>西川</t>
    <rPh sb="0" eb="2">
      <t>ニシカワ</t>
    </rPh>
    <phoneticPr fontId="1"/>
  </si>
  <si>
    <t>2024/2</t>
  </si>
  <si>
    <t>転記件数</t>
    <rPh sb="0" eb="4">
      <t>テンキケンスウ</t>
    </rPh>
    <phoneticPr fontId="1"/>
  </si>
  <si>
    <t>2月ケアレスミス件数</t>
    <rPh sb="1" eb="2">
      <t>ガツ</t>
    </rPh>
    <rPh sb="8" eb="10">
      <t>ケンスウ</t>
    </rPh>
    <phoneticPr fontId="1"/>
  </si>
  <si>
    <t>2月インシデント件数</t>
    <rPh sb="1" eb="2">
      <t>ガツ</t>
    </rPh>
    <rPh sb="8" eb="10">
      <t>ケンスウ</t>
    </rPh>
    <phoneticPr fontId="1"/>
  </si>
  <si>
    <t>2月解釈、あいまいFB件数</t>
    <rPh sb="1" eb="2">
      <t>ガツ</t>
    </rPh>
    <rPh sb="2" eb="4">
      <t>カイシャク</t>
    </rPh>
    <rPh sb="11" eb="13">
      <t>ケンスウ</t>
    </rPh>
    <phoneticPr fontId="1"/>
  </si>
  <si>
    <t>1月ケアレスミス件数</t>
    <rPh sb="1" eb="2">
      <t>ガツ</t>
    </rPh>
    <rPh sb="8" eb="10">
      <t>ケンスウ</t>
    </rPh>
    <phoneticPr fontId="1"/>
  </si>
  <si>
    <t>1月インシデント件数</t>
    <rPh sb="1" eb="2">
      <t>ガツ</t>
    </rPh>
    <rPh sb="8" eb="10">
      <t>ケンスウ</t>
    </rPh>
    <phoneticPr fontId="1"/>
  </si>
  <si>
    <t>1月解釈、あいまいFB件数</t>
    <rPh sb="1" eb="2">
      <t>ガツ</t>
    </rPh>
    <rPh sb="2" eb="4">
      <t>カイシャク</t>
    </rPh>
    <rPh sb="11" eb="13">
      <t>ケンスウ</t>
    </rPh>
    <phoneticPr fontId="1"/>
  </si>
  <si>
    <t>1月FB件数合計</t>
    <rPh sb="1" eb="2">
      <t>ガツ</t>
    </rPh>
    <rPh sb="4" eb="8">
      <t>ケンスウゴウケイ</t>
    </rPh>
    <phoneticPr fontId="1"/>
  </si>
  <si>
    <t>FB率(%)</t>
    <rPh sb="2" eb="3">
      <t>リツ</t>
    </rPh>
    <phoneticPr fontId="1"/>
  </si>
  <si>
    <t>2月FB件数合計</t>
    <rPh sb="1" eb="2">
      <t>ガツ</t>
    </rPh>
    <rPh sb="4" eb="8">
      <t>ケンスウゴウケイ</t>
    </rPh>
    <phoneticPr fontId="1"/>
  </si>
  <si>
    <t>2.人事異動転記作業FB指摘インシデント件数、積み上げグラフ</t>
    <rPh sb="8" eb="10">
      <t>サギョウ</t>
    </rPh>
    <rPh sb="12" eb="14">
      <t>シテキ</t>
    </rPh>
    <rPh sb="20" eb="22">
      <t>ケンスウ</t>
    </rPh>
    <phoneticPr fontId="1"/>
  </si>
  <si>
    <t>3.人事異動転記作業FB指摘解釈、理解があいまい件数、推移グラフ</t>
    <rPh sb="8" eb="10">
      <t>サギョウ</t>
    </rPh>
    <rPh sb="12" eb="14">
      <t>シテキ</t>
    </rPh>
    <rPh sb="14" eb="16">
      <t>カイシャク</t>
    </rPh>
    <rPh sb="17" eb="19">
      <t>リカイ</t>
    </rPh>
    <rPh sb="24" eb="26">
      <t>ケンスウ</t>
    </rPh>
    <rPh sb="27" eb="29">
      <t>スイイ</t>
    </rPh>
    <phoneticPr fontId="1"/>
  </si>
  <si>
    <t>1.人事異動転記作業、ケアレスミスFB指摘率累積積み上げ棒グラフ</t>
    <rPh sb="8" eb="10">
      <t>サギョウ</t>
    </rPh>
    <rPh sb="19" eb="21">
      <t>シテキ</t>
    </rPh>
    <rPh sb="21" eb="22">
      <t>リツ</t>
    </rPh>
    <rPh sb="22" eb="25">
      <t>ルイセキツ</t>
    </rPh>
    <rPh sb="26" eb="27">
      <t>ア</t>
    </rPh>
    <rPh sb="28" eb="29">
      <t>ボウ</t>
    </rPh>
    <phoneticPr fontId="1"/>
  </si>
  <si>
    <t>本山</t>
    <rPh sb="0" eb="2">
      <t>モトヤマ</t>
    </rPh>
    <phoneticPr fontId="1"/>
  </si>
  <si>
    <t>3.人事異動・組織改編作業FB指摘率(解釈、理解があいまい)推移グラフ</t>
    <rPh sb="11" eb="13">
      <t>サギョウ</t>
    </rPh>
    <rPh sb="15" eb="17">
      <t>シテキ</t>
    </rPh>
    <rPh sb="17" eb="18">
      <t>リツ</t>
    </rPh>
    <rPh sb="19" eb="21">
      <t>カイシャク</t>
    </rPh>
    <rPh sb="22" eb="24">
      <t>リカイ</t>
    </rPh>
    <rPh sb="30" eb="32">
      <t>スイイ</t>
    </rPh>
    <phoneticPr fontId="1"/>
  </si>
  <si>
    <t>2.人事異動・組織改編作業FB指摘率(インシデント)推移グラフ</t>
    <phoneticPr fontId="1"/>
  </si>
  <si>
    <t>1.人事異動・組織改編作業FB指摘率(ケアレスミス)推移グラフ</t>
    <phoneticPr fontId="1"/>
  </si>
  <si>
    <t>FB率</t>
    <rPh sb="2" eb="3">
      <t>リツ</t>
    </rPh>
    <phoneticPr fontId="1"/>
  </si>
  <si>
    <t>対象月</t>
    <rPh sb="0" eb="2">
      <t>タイショウ</t>
    </rPh>
    <rPh sb="2" eb="3">
      <t>ツキ</t>
    </rPh>
    <phoneticPr fontId="1"/>
  </si>
  <si>
    <t>0401</t>
  </si>
  <si>
    <t>0402</t>
  </si>
  <si>
    <t>0403</t>
  </si>
  <si>
    <t>0404</t>
  </si>
  <si>
    <t>0405</t>
  </si>
  <si>
    <t>0406</t>
  </si>
  <si>
    <t>0158</t>
    <phoneticPr fontId="1"/>
  </si>
  <si>
    <t>①</t>
    <phoneticPr fontId="1"/>
  </si>
  <si>
    <t>②</t>
    <phoneticPr fontId="1"/>
  </si>
  <si>
    <t>③</t>
    <phoneticPr fontId="1"/>
  </si>
  <si>
    <t>0159</t>
    <phoneticPr fontId="1"/>
  </si>
  <si>
    <t>0160</t>
    <phoneticPr fontId="1"/>
  </si>
  <si>
    <t>0162</t>
    <phoneticPr fontId="1"/>
  </si>
  <si>
    <t>0163</t>
    <phoneticPr fontId="1"/>
  </si>
  <si>
    <t>0164</t>
  </si>
  <si>
    <t>0165</t>
  </si>
  <si>
    <t>0166</t>
  </si>
  <si>
    <t>0167</t>
  </si>
  <si>
    <t>0168</t>
  </si>
  <si>
    <t>0169</t>
  </si>
  <si>
    <t>0170</t>
  </si>
  <si>
    <t>0171</t>
  </si>
  <si>
    <t>0172</t>
  </si>
  <si>
    <t>0173</t>
  </si>
  <si>
    <t>0174</t>
  </si>
  <si>
    <t>0175</t>
  </si>
  <si>
    <t>0176</t>
  </si>
  <si>
    <t>0177</t>
  </si>
  <si>
    <t>0178</t>
  </si>
  <si>
    <t>0179</t>
  </si>
  <si>
    <t>0180</t>
  </si>
  <si>
    <t>0181</t>
  </si>
  <si>
    <t>0182</t>
  </si>
  <si>
    <t>0183</t>
  </si>
  <si>
    <t>0184</t>
  </si>
  <si>
    <t>0185</t>
  </si>
  <si>
    <t>0186</t>
  </si>
  <si>
    <t>0187</t>
  </si>
  <si>
    <t>0188</t>
  </si>
  <si>
    <t>0189</t>
  </si>
  <si>
    <t>0190</t>
  </si>
  <si>
    <t>0191</t>
  </si>
  <si>
    <t>0192</t>
  </si>
  <si>
    <t>0193</t>
  </si>
  <si>
    <t>0194</t>
  </si>
  <si>
    <t>0195</t>
  </si>
  <si>
    <t>0196</t>
  </si>
  <si>
    <t>0197</t>
  </si>
  <si>
    <t>0198</t>
  </si>
  <si>
    <t>0199</t>
  </si>
  <si>
    <t>0200</t>
  </si>
  <si>
    <t>0201</t>
  </si>
  <si>
    <t>0202</t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</si>
  <si>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</si>
  <si>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</si>
  <si>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</si>
  <si>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</si>
  <si>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</si>
  <si>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</si>
  <si>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</si>
  <si>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</si>
  <si>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</si>
  <si>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</si>
  <si>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</si>
  <si>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工程</t>
    <rPh sb="0" eb="2">
      <t>コウテイ</t>
    </rPh>
    <phoneticPr fontId="1"/>
  </si>
  <si>
    <t>0072</t>
    <phoneticPr fontId="1"/>
  </si>
  <si>
    <t>0073</t>
  </si>
  <si>
    <t>0074</t>
  </si>
  <si>
    <t>0075</t>
  </si>
  <si>
    <t>0076</t>
  </si>
  <si>
    <t>0077</t>
  </si>
  <si>
    <t>0078</t>
  </si>
  <si>
    <t>0079</t>
  </si>
  <si>
    <t>0080</t>
  </si>
  <si>
    <t>0081</t>
  </si>
  <si>
    <t>0082</t>
  </si>
  <si>
    <t>0083</t>
  </si>
  <si>
    <t>0084</t>
  </si>
  <si>
    <t>0085</t>
  </si>
  <si>
    <t>0086</t>
  </si>
  <si>
    <t>0087</t>
  </si>
  <si>
    <t>0088</t>
  </si>
  <si>
    <t>0089</t>
  </si>
  <si>
    <t>0092</t>
  </si>
  <si>
    <t>0093</t>
  </si>
  <si>
    <t>0094</t>
  </si>
  <si>
    <t>0095</t>
  </si>
  <si>
    <t>0096</t>
  </si>
  <si>
    <t>0097</t>
  </si>
  <si>
    <t>0098</t>
  </si>
  <si>
    <t>0099</t>
  </si>
  <si>
    <t>0100</t>
  </si>
  <si>
    <t>0101</t>
  </si>
  <si>
    <t>0102</t>
  </si>
  <si>
    <t>0103</t>
  </si>
  <si>
    <t>0104</t>
  </si>
  <si>
    <t>0105</t>
  </si>
  <si>
    <t>0106</t>
  </si>
  <si>
    <t>0107</t>
  </si>
  <si>
    <t>0108</t>
  </si>
  <si>
    <t>0109</t>
  </si>
  <si>
    <t>0110</t>
  </si>
  <si>
    <t>0091</t>
    <phoneticPr fontId="1"/>
  </si>
  <si>
    <t>0111</t>
  </si>
  <si>
    <t>対象</t>
    <rPh sb="0" eb="2">
      <t>タイショウ0</t>
    </rPh>
    <phoneticPr fontId="1"/>
  </si>
  <si>
    <t>1.サーバールーム転記作業、ケアレスミスFB指摘率累積積み上げ棒グラフ</t>
    <rPh sb="9" eb="11">
      <t>テンキ</t>
    </rPh>
    <rPh sb="11" eb="13">
      <t>サギョウ</t>
    </rPh>
    <rPh sb="22" eb="24">
      <t>シテキ</t>
    </rPh>
    <rPh sb="24" eb="25">
      <t>リツ</t>
    </rPh>
    <rPh sb="25" eb="28">
      <t>ルイセキツ</t>
    </rPh>
    <rPh sb="29" eb="30">
      <t>ア</t>
    </rPh>
    <rPh sb="31" eb="32">
      <t>ボウ</t>
    </rPh>
    <phoneticPr fontId="1"/>
  </si>
  <si>
    <t>2.サーバールーム転記作業FB指摘インシデント件数、積み上げグラフ</t>
    <rPh sb="11" eb="13">
      <t>サギョウ</t>
    </rPh>
    <rPh sb="15" eb="17">
      <t>シテキ</t>
    </rPh>
    <rPh sb="23" eb="25">
      <t>ケンスウ</t>
    </rPh>
    <phoneticPr fontId="1"/>
  </si>
  <si>
    <t>3.サーバールーム転記作業FB指摘解釈、理解があいまい件数、推移グラフ</t>
    <rPh sb="11" eb="13">
      <t>サギョウ</t>
    </rPh>
    <rPh sb="15" eb="17">
      <t>シテキ</t>
    </rPh>
    <rPh sb="17" eb="19">
      <t>カイシャク</t>
    </rPh>
    <rPh sb="20" eb="22">
      <t>リカイ</t>
    </rPh>
    <rPh sb="27" eb="29">
      <t>ケンスウ</t>
    </rPh>
    <rPh sb="30" eb="32">
      <t>スイイ</t>
    </rPh>
    <phoneticPr fontId="1"/>
  </si>
  <si>
    <t>谷口</t>
    <rPh sb="0" eb="2">
      <t>タニグチ</t>
    </rPh>
    <phoneticPr fontId="1"/>
  </si>
  <si>
    <t>野沢</t>
    <rPh sb="0" eb="2">
      <t>ノザワ</t>
    </rPh>
    <phoneticPr fontId="1"/>
  </si>
  <si>
    <t>対象</t>
    <rPh sb="0" eb="2">
      <t>サギョウタイショウ000</t>
    </rPh>
    <phoneticPr fontId="1"/>
  </si>
  <si>
    <t>0407</t>
  </si>
  <si>
    <t>0408</t>
  </si>
  <si>
    <t>]</t>
    <phoneticPr fontId="1"/>
  </si>
  <si>
    <t>0383</t>
    <phoneticPr fontId="1"/>
  </si>
  <si>
    <t>FY24/A1052_HPS_JPiT_MyTE勤怠予定実績チェック_作業工程別FB件数</t>
    <rPh sb="35" eb="39">
      <t>サギョウコウテイ</t>
    </rPh>
    <rPh sb="39" eb="40">
      <t>ベツ</t>
    </rPh>
    <rPh sb="42" eb="44">
      <t>ケンスウ</t>
    </rPh>
    <phoneticPr fontId="1"/>
  </si>
  <si>
    <t>FY24/A1031_I&amp;D_Women's stories記事配信_FB件数</t>
    <rPh sb="37" eb="39">
      <t>ケンスウ</t>
    </rPh>
    <phoneticPr fontId="1"/>
  </si>
  <si>
    <t>FY24/A1025_PRD_人事異動・組織改編情報チェック_FB数</t>
    <rPh sb="15" eb="17">
      <t>ジンジ</t>
    </rPh>
    <rPh sb="17" eb="19">
      <t>イドウ</t>
    </rPh>
    <rPh sb="20" eb="22">
      <t>ソシキ</t>
    </rPh>
    <rPh sb="22" eb="24">
      <t>カイヘン</t>
    </rPh>
    <rPh sb="24" eb="26">
      <t>ジョウホウ</t>
    </rPh>
    <rPh sb="33" eb="34">
      <t>スウ</t>
    </rPh>
    <phoneticPr fontId="1"/>
  </si>
  <si>
    <t>※直接修正あり</t>
    <rPh sb="1" eb="5">
      <t>チョクセツシュウセイ</t>
    </rPh>
    <phoneticPr fontId="1"/>
  </si>
  <si>
    <t>0213</t>
    <phoneticPr fontId="1"/>
  </si>
  <si>
    <t>0112</t>
  </si>
  <si>
    <t>0113</t>
  </si>
  <si>
    <t>0114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</si>
  <si>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</si>
  <si>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</si>
  <si>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</si>
  <si>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</si>
  <si>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</si>
  <si>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</si>
  <si>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</si>
  <si>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</si>
  <si>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</si>
  <si>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</si>
  <si>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0419</t>
  </si>
  <si>
    <t>0420</t>
  </si>
  <si>
    <t>その他</t>
    <rPh sb="2" eb="3">
      <t>タ</t>
    </rPh>
    <phoneticPr fontId="1"/>
  </si>
  <si>
    <t>その他</t>
    <rPh sb="2" eb="3">
      <t>タ</t>
    </rPh>
    <phoneticPr fontId="1"/>
  </si>
  <si>
    <t>0421</t>
  </si>
  <si>
    <t>0422</t>
  </si>
  <si>
    <t>0423</t>
  </si>
  <si>
    <t>0424</t>
  </si>
  <si>
    <t>インシデント</t>
    <phoneticPr fontId="1"/>
  </si>
  <si>
    <t>マニュアル</t>
    <phoneticPr fontId="1"/>
  </si>
  <si>
    <t>※0090はマニュアル改訂</t>
    <rPh sb="11" eb="13">
      <t>カイテイ</t>
    </rPh>
    <phoneticPr fontId="1"/>
  </si>
  <si>
    <t>0214</t>
  </si>
  <si>
    <t>0215</t>
  </si>
  <si>
    <t>0216</t>
  </si>
  <si>
    <t>0115</t>
  </si>
  <si>
    <t>0116</t>
  </si>
  <si>
    <t>0117</t>
  </si>
  <si>
    <t>0217</t>
  </si>
  <si>
    <t>0218</t>
  </si>
  <si>
    <t>0219</t>
  </si>
  <si>
    <t>メンバー一覧</t>
    <rPh sb="4" eb="6">
      <t>イチラン</t>
    </rPh>
    <phoneticPr fontId="1"/>
  </si>
  <si>
    <t>大浦</t>
    <rPh sb="0" eb="2">
      <t>オオウラ</t>
    </rPh>
    <phoneticPr fontId="1"/>
  </si>
  <si>
    <t>若林</t>
    <rPh sb="0" eb="2">
      <t>ワカバヤシ</t>
    </rPh>
    <phoneticPr fontId="1"/>
  </si>
  <si>
    <t>0425</t>
  </si>
  <si>
    <t>0426</t>
  </si>
  <si>
    <t>0427</t>
  </si>
  <si>
    <t>0428</t>
  </si>
  <si>
    <t>0429</t>
  </si>
  <si>
    <t>0430</t>
  </si>
  <si>
    <t>0431</t>
  </si>
  <si>
    <t>0432</t>
  </si>
  <si>
    <t>0433</t>
  </si>
  <si>
    <t>0434</t>
  </si>
  <si>
    <t>0435</t>
  </si>
  <si>
    <t>0436</t>
  </si>
  <si>
    <t>0437</t>
  </si>
  <si>
    <t>0438</t>
  </si>
  <si>
    <t>0439</t>
  </si>
  <si>
    <t>0440</t>
  </si>
  <si>
    <t>0441</t>
  </si>
  <si>
    <t>0442</t>
  </si>
  <si>
    <t>江藤</t>
    <rPh sb="0" eb="2">
      <t>エトウ</t>
    </rPh>
    <phoneticPr fontId="1"/>
  </si>
  <si>
    <t>中野</t>
    <rPh sb="0" eb="2">
      <t>ナカノ</t>
    </rPh>
    <phoneticPr fontId="1"/>
  </si>
  <si>
    <t>ダイクス</t>
    <phoneticPr fontId="1"/>
  </si>
  <si>
    <t>2024/3/15P</t>
    <phoneticPr fontId="1"/>
  </si>
  <si>
    <t>2024/3/31P</t>
    <phoneticPr fontId="1"/>
  </si>
  <si>
    <t>2024/2/29P</t>
    <phoneticPr fontId="1"/>
  </si>
  <si>
    <t>2024年3月名前別FB件数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</si>
  <si>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渡邊</t>
    <rPh sb="0" eb="2">
      <t>ワタナベ</t>
    </rPh>
    <phoneticPr fontId="1"/>
  </si>
  <si>
    <t>FY24/A0048_サーバールーム FB件数</t>
    <rPh sb="21" eb="23">
      <t>ケンスウ</t>
    </rPh>
    <phoneticPr fontId="1"/>
  </si>
  <si>
    <t>0001</t>
    <phoneticPr fontId="1"/>
  </si>
  <si>
    <t>案件番号</t>
    <rPh sb="0" eb="2">
      <t>タイショウツキ0</t>
    </rPh>
    <phoneticPr fontId="1"/>
  </si>
  <si>
    <t>0018</t>
    <phoneticPr fontId="1"/>
  </si>
  <si>
    <t>※案件番号A1008</t>
    <rPh sb="1" eb="3">
      <t>アンケン</t>
    </rPh>
    <rPh sb="3" eb="5">
      <t>バンゴウ</t>
    </rPh>
    <phoneticPr fontId="1"/>
  </si>
  <si>
    <t>木村</t>
    <rPh sb="0" eb="2">
      <t>キムラ</t>
    </rPh>
    <phoneticPr fontId="1"/>
  </si>
  <si>
    <t>2024/2</t>
    <phoneticPr fontId="1"/>
  </si>
  <si>
    <t>2024/3</t>
    <phoneticPr fontId="1"/>
  </si>
  <si>
    <t>2024/3</t>
    <phoneticPr fontId="1"/>
  </si>
  <si>
    <t>0443</t>
  </si>
  <si>
    <t>0444</t>
  </si>
  <si>
    <t>0445</t>
  </si>
  <si>
    <t>0446</t>
  </si>
  <si>
    <t>0447</t>
  </si>
  <si>
    <t>4.サーバールーム転記作業FB指摘、マニュアル不備推移グラフ</t>
    <rPh sb="11" eb="13">
      <t>サギョウ</t>
    </rPh>
    <rPh sb="15" eb="17">
      <t>シテキ</t>
    </rPh>
    <rPh sb="23" eb="25">
      <t>フビ</t>
    </rPh>
    <rPh sb="25" eb="27">
      <t>スイイ</t>
    </rPh>
    <phoneticPr fontId="1"/>
  </si>
  <si>
    <t>5.サーバールーム転記作業FB指摘、その他推移グラフ</t>
    <rPh sb="11" eb="13">
      <t>サギョウ</t>
    </rPh>
    <rPh sb="15" eb="17">
      <t>シテキ</t>
    </rPh>
    <rPh sb="20" eb="21">
      <t>ホカ</t>
    </rPh>
    <rPh sb="21" eb="23">
      <t>スイイ</t>
    </rPh>
    <phoneticPr fontId="1"/>
  </si>
  <si>
    <t>サーバールームFB指摘事項、原因別グラフ</t>
    <rPh sb="9" eb="13">
      <t>シテキジコウ</t>
    </rPh>
    <rPh sb="14" eb="17">
      <t>ゲンインベツ</t>
    </rPh>
    <phoneticPr fontId="1"/>
  </si>
  <si>
    <t>0220</t>
    <phoneticPr fontId="1"/>
  </si>
  <si>
    <t>0221</t>
    <phoneticPr fontId="1"/>
  </si>
  <si>
    <t>0222</t>
    <phoneticPr fontId="1"/>
  </si>
  <si>
    <t>0448</t>
    <phoneticPr fontId="1"/>
  </si>
  <si>
    <t>0449</t>
    <phoneticPr fontId="1"/>
  </si>
  <si>
    <t>0450</t>
    <phoneticPr fontId="1"/>
  </si>
  <si>
    <t>2024/4</t>
    <phoneticPr fontId="1"/>
  </si>
  <si>
    <t>2024年4月名前別FB件数</t>
    <rPh sb="4" eb="5">
      <t>ネン</t>
    </rPh>
    <rPh sb="6" eb="7">
      <t>ガツ</t>
    </rPh>
    <rPh sb="7" eb="10">
      <t>ナマエベツ</t>
    </rPh>
    <rPh sb="12" eb="14">
      <t>ケンスウ</t>
    </rPh>
    <phoneticPr fontId="1"/>
  </si>
  <si>
    <t>2024/4/15P</t>
    <phoneticPr fontId="1"/>
  </si>
  <si>
    <t>2024/4/30P</t>
    <phoneticPr fontId="1"/>
  </si>
  <si>
    <t>第一週(マニュアル)FB数</t>
    <rPh sb="0" eb="2">
      <t>ダイイチ</t>
    </rPh>
    <rPh sb="2" eb="3">
      <t>シュウ</t>
    </rPh>
    <rPh sb="12" eb="13">
      <t>スウ</t>
    </rPh>
    <phoneticPr fontId="1"/>
  </si>
  <si>
    <t>第一週(その他)FB数</t>
    <rPh sb="0" eb="2">
      <t>ダイイチ</t>
    </rPh>
    <rPh sb="2" eb="3">
      <t>シュウ</t>
    </rPh>
    <rPh sb="6" eb="7">
      <t>タ</t>
    </rPh>
    <rPh sb="10" eb="11">
      <t>スウ</t>
    </rPh>
    <phoneticPr fontId="1"/>
  </si>
  <si>
    <t>第二週(マニュアル)FB数</t>
    <rPh sb="0" eb="2">
      <t>ダイニ</t>
    </rPh>
    <rPh sb="2" eb="3">
      <t>シュウ</t>
    </rPh>
    <rPh sb="12" eb="13">
      <t>スウ</t>
    </rPh>
    <phoneticPr fontId="1"/>
  </si>
  <si>
    <t>第二週(その他)FB数</t>
    <rPh sb="1" eb="2">
      <t>ニ</t>
    </rPh>
    <phoneticPr fontId="1"/>
  </si>
  <si>
    <t>人事異動 FB数集計(A1025)</t>
    <rPh sb="0" eb="4">
      <t>ジンジイドウ</t>
    </rPh>
    <rPh sb="7" eb="8">
      <t>スウ</t>
    </rPh>
    <rPh sb="8" eb="10">
      <t>シュウケイ</t>
    </rPh>
    <phoneticPr fontId="1"/>
  </si>
  <si>
    <t>第三週(マニュアル)FB数</t>
    <rPh sb="0" eb="1">
      <t>ダイ</t>
    </rPh>
    <rPh sb="1" eb="2">
      <t>ミ</t>
    </rPh>
    <rPh sb="2" eb="3">
      <t>シュウ</t>
    </rPh>
    <rPh sb="12" eb="13">
      <t>スウ</t>
    </rPh>
    <phoneticPr fontId="1"/>
  </si>
  <si>
    <t>第三週(その他)FB数</t>
    <rPh sb="1" eb="2">
      <t>サン</t>
    </rPh>
    <phoneticPr fontId="1"/>
  </si>
  <si>
    <t>第四週(マニュアル)FB数</t>
    <phoneticPr fontId="1"/>
  </si>
  <si>
    <t>第四週(その他)FB数</t>
    <rPh sb="6" eb="7">
      <t>タ</t>
    </rPh>
    <phoneticPr fontId="1"/>
  </si>
  <si>
    <t>2.MyTE作業FB指摘解釈・理解があいまい件数、累積積み上げグラフ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8">
      <t>ルイセキツ</t>
    </rPh>
    <rPh sb="29" eb="30">
      <t>ア</t>
    </rPh>
    <phoneticPr fontId="1"/>
  </si>
  <si>
    <t>1.MyTE作業FB指摘ケアレスミス、件数累積グラフ</t>
    <rPh sb="6" eb="8">
      <t>サギョウ</t>
    </rPh>
    <rPh sb="10" eb="12">
      <t>シテキ</t>
    </rPh>
    <rPh sb="19" eb="21">
      <t>ケンスウ</t>
    </rPh>
    <rPh sb="21" eb="23">
      <t>ルイセキ</t>
    </rPh>
    <phoneticPr fontId="1"/>
  </si>
  <si>
    <t>3.MyTE作業FB指摘マニュアル不備件数、累積積み上げグラフ</t>
    <rPh sb="6" eb="8">
      <t>サギョウ</t>
    </rPh>
    <rPh sb="10" eb="12">
      <t>シテキ</t>
    </rPh>
    <rPh sb="17" eb="19">
      <t>フビ</t>
    </rPh>
    <rPh sb="19" eb="21">
      <t>ケンスウ</t>
    </rPh>
    <rPh sb="22" eb="24">
      <t>ルイセキ</t>
    </rPh>
    <rPh sb="24" eb="25">
      <t>ツ</t>
    </rPh>
    <rPh sb="26" eb="27">
      <t>ア</t>
    </rPh>
    <phoneticPr fontId="1"/>
  </si>
  <si>
    <t>4.MyTE作業FB指摘その他件数、累積積み上げグラフ</t>
    <rPh sb="6" eb="8">
      <t>サギョウ</t>
    </rPh>
    <rPh sb="10" eb="12">
      <t>シテキ</t>
    </rPh>
    <rPh sb="14" eb="15">
      <t>タ</t>
    </rPh>
    <rPh sb="15" eb="17">
      <t>ケンスウ</t>
    </rPh>
    <rPh sb="18" eb="20">
      <t>ルイセキ</t>
    </rPh>
    <rPh sb="20" eb="21">
      <t>ツ</t>
    </rPh>
    <rPh sb="22" eb="23">
      <t>ア</t>
    </rPh>
    <phoneticPr fontId="1"/>
  </si>
  <si>
    <t>5.MyTE作業インシデント件数、累積積み上げグラフ</t>
    <rPh sb="6" eb="8">
      <t>サギョウ</t>
    </rPh>
    <rPh sb="14" eb="16">
      <t>ケンスウ</t>
    </rPh>
    <rPh sb="17" eb="19">
      <t>ルイセキ</t>
    </rPh>
    <rPh sb="19" eb="20">
      <t>ツ</t>
    </rPh>
    <rPh sb="21" eb="22">
      <t>ア</t>
    </rPh>
    <phoneticPr fontId="1"/>
  </si>
  <si>
    <t>A1052.myTE作業工程</t>
    <rPh sb="10" eb="14">
      <t>サギョウコウテイ</t>
    </rPh>
    <phoneticPr fontId="1"/>
  </si>
  <si>
    <t>指摘項目/名前</t>
    <rPh sb="0" eb="4">
      <t>シテキコウモク</t>
    </rPh>
    <rPh sb="5" eb="7">
      <t>ナマエ</t>
    </rPh>
    <phoneticPr fontId="1"/>
  </si>
  <si>
    <t>年月を下に入力してください</t>
    <rPh sb="0" eb="2">
      <t>ネンツキ</t>
    </rPh>
    <rPh sb="3" eb="4">
      <t>シタ</t>
    </rPh>
    <rPh sb="5" eb="7">
      <t>ニュウリョク</t>
    </rPh>
    <phoneticPr fontId="1"/>
  </si>
  <si>
    <t>解釈</t>
    <rPh sb="0" eb="2">
      <t>カイシャク</t>
    </rPh>
    <phoneticPr fontId="1"/>
  </si>
  <si>
    <t>ケアレスミスFB数</t>
    <rPh sb="8" eb="9">
      <t>スウ</t>
    </rPh>
    <phoneticPr fontId="1"/>
  </si>
  <si>
    <t>解釈FB数</t>
    <rPh sb="0" eb="2">
      <t>カイシャク</t>
    </rPh>
    <rPh sb="4" eb="5">
      <t>スウ</t>
    </rPh>
    <phoneticPr fontId="1"/>
  </si>
  <si>
    <t>マニュアルFB数</t>
    <rPh sb="7" eb="8">
      <t>スウ</t>
    </rPh>
    <phoneticPr fontId="1"/>
  </si>
  <si>
    <t>その他FB数</t>
    <rPh sb="2" eb="3">
      <t>タ</t>
    </rPh>
    <phoneticPr fontId="1"/>
  </si>
  <si>
    <t>インシデントFB数</t>
    <rPh sb="8" eb="9">
      <t>スウ</t>
    </rPh>
    <phoneticPr fontId="1"/>
  </si>
  <si>
    <t>A1031.I&amp;D作業工程</t>
    <rPh sb="9" eb="13">
      <t>サギョウコウテイ</t>
    </rPh>
    <phoneticPr fontId="1"/>
  </si>
  <si>
    <t>1.I&amp;D作業FB指摘ケアレスミス、件数累積グラフ</t>
    <rPh sb="5" eb="7">
      <t>サギョウ</t>
    </rPh>
    <rPh sb="9" eb="11">
      <t>シテキ</t>
    </rPh>
    <rPh sb="18" eb="20">
      <t>ケンスウ</t>
    </rPh>
    <rPh sb="20" eb="22">
      <t>ルイセキ</t>
    </rPh>
    <phoneticPr fontId="1"/>
  </si>
  <si>
    <t>2.I&amp;D作業FB指摘解釈・理解があいまい件数、累積積み上げグラフ</t>
    <rPh sb="5" eb="7">
      <t>サギョウ</t>
    </rPh>
    <rPh sb="9" eb="11">
      <t>シテキ</t>
    </rPh>
    <rPh sb="11" eb="13">
      <t>カイシャク</t>
    </rPh>
    <rPh sb="14" eb="16">
      <t>リカイ</t>
    </rPh>
    <rPh sb="21" eb="23">
      <t>ケンスウ</t>
    </rPh>
    <rPh sb="24" eb="27">
      <t>ルイセキツ</t>
    </rPh>
    <rPh sb="28" eb="29">
      <t>ア</t>
    </rPh>
    <phoneticPr fontId="1"/>
  </si>
  <si>
    <t>3.I&amp;D作業FB指摘マニュアル不備件数、累積積み上げグラフ</t>
    <rPh sb="5" eb="7">
      <t>サギョウ</t>
    </rPh>
    <rPh sb="9" eb="11">
      <t>シテキ</t>
    </rPh>
    <rPh sb="16" eb="18">
      <t>フビ</t>
    </rPh>
    <rPh sb="18" eb="20">
      <t>ケンスウ</t>
    </rPh>
    <rPh sb="21" eb="23">
      <t>ルイセキ</t>
    </rPh>
    <rPh sb="23" eb="24">
      <t>ツ</t>
    </rPh>
    <rPh sb="25" eb="26">
      <t>ア</t>
    </rPh>
    <phoneticPr fontId="1"/>
  </si>
  <si>
    <t>4.I&amp;D作業FB指摘その他件数、累積積み上げグラフ</t>
    <rPh sb="5" eb="7">
      <t>サギョウ</t>
    </rPh>
    <rPh sb="9" eb="11">
      <t>シテキ</t>
    </rPh>
    <rPh sb="13" eb="14">
      <t>タ</t>
    </rPh>
    <rPh sb="14" eb="16">
      <t>ケンスウ</t>
    </rPh>
    <rPh sb="17" eb="19">
      <t>ルイセキ</t>
    </rPh>
    <rPh sb="19" eb="20">
      <t>ツ</t>
    </rPh>
    <rPh sb="21" eb="22">
      <t>ア</t>
    </rPh>
    <phoneticPr fontId="1"/>
  </si>
  <si>
    <t>5.I&amp;D作業インシデント件数、累積積み上げグラフ</t>
    <rPh sb="5" eb="7">
      <t>サギョウ</t>
    </rPh>
    <rPh sb="13" eb="15">
      <t>ケンスウ</t>
    </rPh>
    <rPh sb="16" eb="18">
      <t>ルイセキ</t>
    </rPh>
    <rPh sb="18" eb="19">
      <t>ツ</t>
    </rPh>
    <rPh sb="20" eb="21">
      <t>ア</t>
    </rPh>
    <phoneticPr fontId="1"/>
  </si>
  <si>
    <t>A1025.人事異動・組織改編</t>
    <rPh sb="6" eb="8">
      <t>ジンジ</t>
    </rPh>
    <rPh sb="8" eb="10">
      <t>イドウ</t>
    </rPh>
    <rPh sb="11" eb="15">
      <t>ソシキカイヘン</t>
    </rPh>
    <phoneticPr fontId="1"/>
  </si>
  <si>
    <t>1.人事異動作業FB指摘ケアレスミス、件数累積グラフ</t>
    <rPh sb="6" eb="8">
      <t>サギョウ</t>
    </rPh>
    <rPh sb="10" eb="12">
      <t>シテキ</t>
    </rPh>
    <rPh sb="19" eb="21">
      <t>ケンスウ</t>
    </rPh>
    <rPh sb="21" eb="23">
      <t>ルイセキ</t>
    </rPh>
    <phoneticPr fontId="1"/>
  </si>
  <si>
    <t>2.人事異動作業FB指摘解釈・理解があいまい件数、累積積み上げグラフ</t>
    <rPh sb="6" eb="8">
      <t>サギョウ</t>
    </rPh>
    <rPh sb="10" eb="12">
      <t>シテキ</t>
    </rPh>
    <rPh sb="12" eb="14">
      <t>カイシャク</t>
    </rPh>
    <rPh sb="15" eb="17">
      <t>リカイ</t>
    </rPh>
    <rPh sb="22" eb="24">
      <t>ケンスウ</t>
    </rPh>
    <rPh sb="25" eb="28">
      <t>ルイセキツ</t>
    </rPh>
    <rPh sb="29" eb="30">
      <t>ア</t>
    </rPh>
    <phoneticPr fontId="1"/>
  </si>
  <si>
    <t>3.人事異動作業FB指摘マニュアル不備件数、累積積み上げグラフ</t>
    <rPh sb="6" eb="8">
      <t>サギョウ</t>
    </rPh>
    <rPh sb="10" eb="12">
      <t>シテキ</t>
    </rPh>
    <rPh sb="17" eb="19">
      <t>フビ</t>
    </rPh>
    <rPh sb="19" eb="21">
      <t>ケンスウ</t>
    </rPh>
    <rPh sb="22" eb="24">
      <t>ルイセキ</t>
    </rPh>
    <rPh sb="24" eb="25">
      <t>ツ</t>
    </rPh>
    <rPh sb="26" eb="27">
      <t>ア</t>
    </rPh>
    <phoneticPr fontId="1"/>
  </si>
  <si>
    <t>4.人事異動作業FB指摘その他件数、累積積み上げグラフ</t>
    <rPh sb="6" eb="8">
      <t>サギョウ</t>
    </rPh>
    <rPh sb="10" eb="12">
      <t>シテキ</t>
    </rPh>
    <rPh sb="14" eb="15">
      <t>タ</t>
    </rPh>
    <rPh sb="15" eb="17">
      <t>ケンスウ</t>
    </rPh>
    <rPh sb="18" eb="20">
      <t>ルイセキ</t>
    </rPh>
    <rPh sb="20" eb="21">
      <t>ツ</t>
    </rPh>
    <rPh sb="22" eb="23">
      <t>ア</t>
    </rPh>
    <phoneticPr fontId="1"/>
  </si>
  <si>
    <t>5.人事異動作業インシデント件数、累積積み上げグラフ</t>
    <rPh sb="6" eb="8">
      <t>サギョウ</t>
    </rPh>
    <rPh sb="14" eb="16">
      <t>ケンスウ</t>
    </rPh>
    <rPh sb="17" eb="19">
      <t>ルイセキ</t>
    </rPh>
    <rPh sb="19" eb="20">
      <t>ツ</t>
    </rPh>
    <rPh sb="21" eb="22">
      <t>ア</t>
    </rPh>
    <phoneticPr fontId="1"/>
  </si>
  <si>
    <t>0451</t>
    <phoneticPr fontId="1"/>
  </si>
  <si>
    <t>0453</t>
    <phoneticPr fontId="1"/>
  </si>
  <si>
    <t>0454</t>
    <phoneticPr fontId="1"/>
  </si>
  <si>
    <t>0455</t>
    <phoneticPr fontId="1"/>
  </si>
  <si>
    <t>0456</t>
    <phoneticPr fontId="1"/>
  </si>
  <si>
    <t>1.MyTE作業FB指摘ケアレスミス件数、積み上げグラフ</t>
    <rPh sb="6" eb="8">
      <t>サギョウ</t>
    </rPh>
    <rPh sb="10" eb="12">
      <t>シテキ</t>
    </rPh>
    <rPh sb="18" eb="20">
      <t>ケンスウ</t>
    </rPh>
    <rPh sb="21" eb="22">
      <t>ツ</t>
    </rPh>
    <rPh sb="23" eb="24">
      <t>ア</t>
    </rPh>
    <phoneticPr fontId="1"/>
  </si>
  <si>
    <t>2.MyTE作業FB指摘インシデント件数、積み上げグラフ</t>
    <rPh sb="6" eb="8">
      <t>サギョウ</t>
    </rPh>
    <rPh sb="10" eb="12">
      <t>シテキ</t>
    </rPh>
    <rPh sb="18" eb="20">
      <t>ケンスウ</t>
    </rPh>
    <phoneticPr fontId="1"/>
  </si>
  <si>
    <t>① 各案件ごと(サーバールーム(A0048は月一回なので対象外)のシートに移動する。</t>
    <rPh sb="2" eb="5">
      <t>カクアンケン</t>
    </rPh>
    <rPh sb="22" eb="25">
      <t>ツキイッカイ</t>
    </rPh>
    <rPh sb="28" eb="31">
      <t>タイショウガイ</t>
    </rPh>
    <rPh sb="37" eb="39">
      <t>イドウ</t>
    </rPh>
    <phoneticPr fontId="1"/>
  </si>
  <si>
    <t>(別途自動化ツールを使ってCSVファイルから転記しても良い)</t>
    <rPh sb="1" eb="3">
      <t>ベット</t>
    </rPh>
    <rPh sb="3" eb="6">
      <t>ジドウカ</t>
    </rPh>
    <rPh sb="10" eb="11">
      <t>ツカ</t>
    </rPh>
    <rPh sb="22" eb="24">
      <t>テンキ</t>
    </rPh>
    <rPh sb="27" eb="28">
      <t>ヨ</t>
    </rPh>
    <phoneticPr fontId="1"/>
  </si>
  <si>
    <t>0118</t>
  </si>
  <si>
    <t>0119</t>
  </si>
  <si>
    <t>0120</t>
  </si>
  <si>
    <t>0121</t>
  </si>
  <si>
    <t>0122</t>
  </si>
  <si>
    <t>0123</t>
  </si>
  <si>
    <t>0124</t>
  </si>
  <si>
    <t>0223</t>
  </si>
  <si>
    <t>0224</t>
  </si>
  <si>
    <t>0225</t>
  </si>
  <si>
    <t>0226</t>
  </si>
  <si>
    <t>0227</t>
  </si>
  <si>
    <t>0228</t>
  </si>
  <si>
    <t>0229</t>
  </si>
  <si>
    <t>0230</t>
  </si>
  <si>
    <t>列1</t>
  </si>
  <si>
    <t>0457</t>
  </si>
  <si>
    <t>0458</t>
  </si>
  <si>
    <t>0459</t>
  </si>
  <si>
    <t>0460</t>
  </si>
  <si>
    <t>0461</t>
  </si>
  <si>
    <t>0462</t>
  </si>
  <si>
    <t>0463</t>
  </si>
  <si>
    <t>0464</t>
  </si>
  <si>
    <t>0465</t>
  </si>
  <si>
    <t>0466</t>
  </si>
  <si>
    <t>0467</t>
  </si>
  <si>
    <t>0468</t>
  </si>
  <si>
    <t>0469</t>
  </si>
  <si>
    <t>0470</t>
  </si>
  <si>
    <t>0471</t>
  </si>
  <si>
    <t>0472</t>
  </si>
  <si>
    <t>0473</t>
  </si>
  <si>
    <t>0474</t>
  </si>
  <si>
    <t>0475</t>
  </si>
  <si>
    <t>0476</t>
  </si>
  <si>
    <t>0477</t>
  </si>
  <si>
    <t>0478</t>
  </si>
  <si>
    <t>0479</t>
  </si>
  <si>
    <t>A0055.中計決算50社</t>
    <rPh sb="6" eb="10">
      <t>チュウケイケッサン</t>
    </rPh>
    <rPh sb="12" eb="13">
      <t>シャ</t>
    </rPh>
    <phoneticPr fontId="1"/>
  </si>
  <si>
    <t>1.中計・決算作業FB指摘ケアレスミス、件数累積グラフ</t>
    <rPh sb="7" eb="9">
      <t>サギョウ</t>
    </rPh>
    <rPh sb="11" eb="13">
      <t>シテキ</t>
    </rPh>
    <rPh sb="20" eb="22">
      <t>ケンスウ</t>
    </rPh>
    <rPh sb="22" eb="24">
      <t>ルイセキ</t>
    </rPh>
    <phoneticPr fontId="1"/>
  </si>
  <si>
    <t>2.中計・決算作業FB指摘解釈・理解があいまい件数、累積積み上げグラフ</t>
    <rPh sb="7" eb="9">
      <t>サギョウ</t>
    </rPh>
    <rPh sb="11" eb="13">
      <t>シテキ</t>
    </rPh>
    <rPh sb="13" eb="15">
      <t>カイシャク</t>
    </rPh>
    <rPh sb="16" eb="18">
      <t>リカイ</t>
    </rPh>
    <rPh sb="23" eb="25">
      <t>ケンスウ</t>
    </rPh>
    <rPh sb="26" eb="29">
      <t>ルイセキツ</t>
    </rPh>
    <rPh sb="30" eb="31">
      <t>ア</t>
    </rPh>
    <phoneticPr fontId="1"/>
  </si>
  <si>
    <t>3.中計・決算作業FB指摘マニュアル不備件数、累積積み上げグラフ</t>
    <rPh sb="7" eb="9">
      <t>サギョウ</t>
    </rPh>
    <rPh sb="11" eb="13">
      <t>シテキ</t>
    </rPh>
    <rPh sb="18" eb="20">
      <t>フビ</t>
    </rPh>
    <rPh sb="20" eb="22">
      <t>ケンスウ</t>
    </rPh>
    <rPh sb="23" eb="25">
      <t>ルイセキ</t>
    </rPh>
    <rPh sb="25" eb="26">
      <t>ツ</t>
    </rPh>
    <rPh sb="27" eb="28">
      <t>ア</t>
    </rPh>
    <phoneticPr fontId="1"/>
  </si>
  <si>
    <t>4.中計・決算作業FB指摘その他件数、累積積み上げグラフ</t>
    <rPh sb="7" eb="9">
      <t>サギョウ</t>
    </rPh>
    <rPh sb="11" eb="13">
      <t>シテキ</t>
    </rPh>
    <rPh sb="15" eb="16">
      <t>タ</t>
    </rPh>
    <rPh sb="16" eb="18">
      <t>ケンスウ</t>
    </rPh>
    <rPh sb="19" eb="21">
      <t>ルイセキ</t>
    </rPh>
    <rPh sb="21" eb="22">
      <t>ツ</t>
    </rPh>
    <rPh sb="23" eb="24">
      <t>ア</t>
    </rPh>
    <phoneticPr fontId="1"/>
  </si>
  <si>
    <t>5.中計・決算作業インシデント件数、累積積み上げグラフ</t>
    <rPh sb="7" eb="9">
      <t>サギョウ</t>
    </rPh>
    <rPh sb="15" eb="17">
      <t>ケンスウ</t>
    </rPh>
    <rPh sb="18" eb="20">
      <t>ルイセキ</t>
    </rPh>
    <rPh sb="20" eb="21">
      <t>ツ</t>
    </rPh>
    <rPh sb="22" eb="23">
      <t>ア</t>
    </rPh>
    <phoneticPr fontId="1"/>
  </si>
  <si>
    <t>0002</t>
    <phoneticPr fontId="1"/>
  </si>
  <si>
    <t>0480</t>
    <phoneticPr fontId="1"/>
  </si>
  <si>
    <t>0481</t>
    <phoneticPr fontId="1"/>
  </si>
  <si>
    <t>0482</t>
    <phoneticPr fontId="1"/>
  </si>
  <si>
    <t>0483</t>
    <phoneticPr fontId="1"/>
  </si>
  <si>
    <t>0484</t>
    <phoneticPr fontId="1"/>
  </si>
  <si>
    <t>0485</t>
    <phoneticPr fontId="1"/>
  </si>
  <si>
    <t>0231</t>
    <phoneticPr fontId="1"/>
  </si>
  <si>
    <t>0232</t>
    <phoneticPr fontId="1"/>
  </si>
  <si>
    <t>0233</t>
    <phoneticPr fontId="1"/>
  </si>
  <si>
    <t>myTE、I&amp;D、人事異動、中計決算50社、FB集計用作業用シートの使い方</t>
    <rPh sb="14" eb="18">
      <t>チュウケイケッサン</t>
    </rPh>
    <rPh sb="20" eb="21">
      <t>シャ</t>
    </rPh>
    <rPh sb="27" eb="30">
      <t>サギョウヨウ</t>
    </rPh>
    <rPh sb="34" eb="35">
      <t>ツカ</t>
    </rPh>
    <rPh sb="36" eb="37">
      <t>カタ</t>
    </rPh>
    <phoneticPr fontId="1"/>
  </si>
  <si>
    <t>※チェック後にWordPress公開ミスあり</t>
    <rPh sb="5" eb="6">
      <t>ゴ</t>
    </rPh>
    <rPh sb="16" eb="18">
      <t>コウカイ</t>
    </rPh>
    <phoneticPr fontId="1"/>
  </si>
  <si>
    <t>榑松</t>
    <rPh sb="0" eb="2">
      <t>クレマツ</t>
    </rPh>
    <phoneticPr fontId="1"/>
  </si>
  <si>
    <t>0125</t>
    <phoneticPr fontId="1"/>
  </si>
  <si>
    <t>0126</t>
    <phoneticPr fontId="1"/>
  </si>
  <si>
    <t>0486</t>
    <phoneticPr fontId="1"/>
  </si>
  <si>
    <t>0487</t>
    <phoneticPr fontId="1"/>
  </si>
  <si>
    <t>0488</t>
    <phoneticPr fontId="1"/>
  </si>
  <si>
    <t>0489</t>
    <phoneticPr fontId="1"/>
  </si>
  <si>
    <t>0490</t>
    <phoneticPr fontId="1"/>
  </si>
  <si>
    <t>0491</t>
    <phoneticPr fontId="1"/>
  </si>
  <si>
    <t>0492</t>
    <phoneticPr fontId="1"/>
  </si>
  <si>
    <t>0003</t>
    <phoneticPr fontId="1"/>
  </si>
  <si>
    <t>対象番号</t>
    <rPh sb="0" eb="4">
      <t>タイショウバンゴウ</t>
    </rPh>
    <phoneticPr fontId="1"/>
  </si>
  <si>
    <t>② 前月のデータが残っていれば、「データクリア」ボタンを押下する。</t>
    <rPh sb="2" eb="4">
      <t>ゼンゲツ</t>
    </rPh>
    <rPh sb="9" eb="10">
      <t>ノコ</t>
    </rPh>
    <rPh sb="28" eb="30">
      <t>オウカ</t>
    </rPh>
    <phoneticPr fontId="1"/>
  </si>
  <si>
    <t>③各案件の作業用シートの4行目から11行目までの表に、件数データを入力する。</t>
    <rPh sb="1" eb="4">
      <t>カクアンケン</t>
    </rPh>
    <rPh sb="5" eb="8">
      <t>サギョウヨウ</t>
    </rPh>
    <rPh sb="13" eb="15">
      <t>ギョウメ</t>
    </rPh>
    <rPh sb="19" eb="21">
      <t>ギョウメ</t>
    </rPh>
    <rPh sb="24" eb="25">
      <t>ヒョウ</t>
    </rPh>
    <rPh sb="27" eb="29">
      <t>ケンスウ</t>
    </rPh>
    <rPh sb="33" eb="35">
      <t>ニュウリョク</t>
    </rPh>
    <phoneticPr fontId="1"/>
  </si>
  <si>
    <t>④各案件の12行目以降の表は、関数を組み込んでいるため、間違って入力しないでください。</t>
    <rPh sb="1" eb="4">
      <t>カクアンケン</t>
    </rPh>
    <rPh sb="7" eb="9">
      <t>ギョウメ</t>
    </rPh>
    <rPh sb="9" eb="11">
      <t>イコウ</t>
    </rPh>
    <rPh sb="12" eb="13">
      <t>ヒョウ</t>
    </rPh>
    <rPh sb="15" eb="17">
      <t>カンスウ</t>
    </rPh>
    <rPh sb="18" eb="19">
      <t>ク</t>
    </rPh>
    <rPh sb="20" eb="21">
      <t>コ</t>
    </rPh>
    <rPh sb="28" eb="30">
      <t>マチガ</t>
    </rPh>
    <rPh sb="32" eb="34">
      <t>ニュウリョク</t>
    </rPh>
    <phoneticPr fontId="1"/>
  </si>
  <si>
    <t>⑤③で入力が終わったら、「グラフ用シートにデータを貼り付け」ボタンを押下する。</t>
    <rPh sb="3" eb="5">
      <t>ニュウリョク</t>
    </rPh>
    <rPh sb="6" eb="7">
      <t>オ</t>
    </rPh>
    <rPh sb="16" eb="17">
      <t>ヨウ</t>
    </rPh>
    <rPh sb="25" eb="26">
      <t>ハ</t>
    </rPh>
    <rPh sb="27" eb="28">
      <t>ツ</t>
    </rPh>
    <rPh sb="34" eb="36">
      <t>オウカ</t>
    </rPh>
    <phoneticPr fontId="1"/>
  </si>
  <si>
    <t>0127</t>
    <phoneticPr fontId="1"/>
  </si>
  <si>
    <t>0128</t>
    <phoneticPr fontId="1"/>
  </si>
  <si>
    <t>0129</t>
    <phoneticPr fontId="1"/>
  </si>
  <si>
    <t>0130</t>
    <phoneticPr fontId="1"/>
  </si>
  <si>
    <t>0234</t>
    <phoneticPr fontId="1"/>
  </si>
  <si>
    <t>0235</t>
    <phoneticPr fontId="1"/>
  </si>
  <si>
    <t>0131</t>
    <phoneticPr fontId="1"/>
  </si>
  <si>
    <t>0493</t>
    <phoneticPr fontId="1"/>
  </si>
  <si>
    <t>0494</t>
    <phoneticPr fontId="1"/>
  </si>
  <si>
    <t>0496</t>
    <phoneticPr fontId="1"/>
  </si>
  <si>
    <t>0499</t>
    <phoneticPr fontId="1"/>
  </si>
  <si>
    <t>0501</t>
    <phoneticPr fontId="1"/>
  </si>
  <si>
    <t>0502</t>
    <phoneticPr fontId="1"/>
  </si>
  <si>
    <t>0503</t>
    <phoneticPr fontId="1"/>
  </si>
  <si>
    <t>0132</t>
    <phoneticPr fontId="1"/>
  </si>
  <si>
    <t>0133</t>
    <phoneticPr fontId="1"/>
  </si>
  <si>
    <t>0134</t>
    <phoneticPr fontId="1"/>
  </si>
  <si>
    <t>0135</t>
    <phoneticPr fontId="1"/>
  </si>
  <si>
    <t>0136</t>
    <phoneticPr fontId="1"/>
  </si>
  <si>
    <t>0504</t>
    <phoneticPr fontId="1"/>
  </si>
  <si>
    <t>0505</t>
    <phoneticPr fontId="1"/>
  </si>
  <si>
    <t>0506</t>
    <phoneticPr fontId="1"/>
  </si>
  <si>
    <t>0507</t>
    <phoneticPr fontId="1"/>
  </si>
  <si>
    <t>0508</t>
    <phoneticPr fontId="1"/>
  </si>
  <si>
    <t>0509</t>
    <phoneticPr fontId="1"/>
  </si>
  <si>
    <t>0511</t>
    <phoneticPr fontId="1"/>
  </si>
  <si>
    <t>0512</t>
    <phoneticPr fontId="1"/>
  </si>
  <si>
    <t>0514</t>
    <phoneticPr fontId="1"/>
  </si>
  <si>
    <t>0515</t>
    <phoneticPr fontId="1"/>
  </si>
  <si>
    <t>0516</t>
    <phoneticPr fontId="1"/>
  </si>
  <si>
    <t>0517</t>
    <phoneticPr fontId="1"/>
  </si>
  <si>
    <t>0518</t>
    <phoneticPr fontId="1"/>
  </si>
  <si>
    <t>0519</t>
    <phoneticPr fontId="1"/>
  </si>
  <si>
    <t>0521</t>
    <phoneticPr fontId="1"/>
  </si>
  <si>
    <t>0522</t>
    <phoneticPr fontId="1"/>
  </si>
  <si>
    <t>0523</t>
    <phoneticPr fontId="1"/>
  </si>
  <si>
    <t>0524</t>
    <phoneticPr fontId="1"/>
  </si>
  <si>
    <t>0525</t>
    <phoneticPr fontId="1"/>
  </si>
  <si>
    <t>0526</t>
    <phoneticPr fontId="1"/>
  </si>
  <si>
    <t>0528</t>
    <phoneticPr fontId="1"/>
  </si>
  <si>
    <t>0529</t>
    <phoneticPr fontId="1"/>
  </si>
  <si>
    <t>0531</t>
    <phoneticPr fontId="1"/>
  </si>
  <si>
    <t>0004</t>
    <phoneticPr fontId="1"/>
  </si>
  <si>
    <t>0236</t>
    <phoneticPr fontId="1"/>
  </si>
  <si>
    <t>0237</t>
    <phoneticPr fontId="1"/>
  </si>
  <si>
    <t>0238</t>
    <phoneticPr fontId="1"/>
  </si>
  <si>
    <t>0239</t>
    <phoneticPr fontId="1"/>
  </si>
  <si>
    <t>0240</t>
    <phoneticPr fontId="1"/>
  </si>
  <si>
    <t>0241</t>
    <phoneticPr fontId="1"/>
  </si>
  <si>
    <t>0242</t>
    <phoneticPr fontId="1"/>
  </si>
  <si>
    <t>0243</t>
    <phoneticPr fontId="1"/>
  </si>
  <si>
    <t>0244</t>
    <phoneticPr fontId="1"/>
  </si>
  <si>
    <t>Jpit請求書作成指摘事項、原因別累積グラフ</t>
    <rPh sb="4" eb="9">
      <t>セイキュウショサクセイ</t>
    </rPh>
    <rPh sb="9" eb="13">
      <t>シテキジコウ</t>
    </rPh>
    <rPh sb="14" eb="17">
      <t>ゲンインベツ</t>
    </rPh>
    <rPh sb="17" eb="19">
      <t>ルイセキ</t>
    </rPh>
    <phoneticPr fontId="1"/>
  </si>
  <si>
    <t>0535</t>
    <phoneticPr fontId="1"/>
  </si>
  <si>
    <t>0538</t>
    <phoneticPr fontId="1"/>
  </si>
  <si>
    <t>0540</t>
    <phoneticPr fontId="1"/>
  </si>
  <si>
    <t>FY25/Jpit請求書 FB件数</t>
    <rPh sb="9" eb="12">
      <t>セイキュウショ</t>
    </rPh>
    <rPh sb="15" eb="17">
      <t>ケンスウ</t>
    </rPh>
    <phoneticPr fontId="1"/>
  </si>
  <si>
    <t>FY25/A0055_PRD_中計・決算レポート作成_FB数</t>
    <rPh sb="15" eb="17">
      <t>チュウケイ</t>
    </rPh>
    <rPh sb="18" eb="20">
      <t>ケッサン</t>
    </rPh>
    <rPh sb="24" eb="26">
      <t>サクセイ</t>
    </rPh>
    <rPh sb="29" eb="30">
      <t>スウ</t>
    </rPh>
    <phoneticPr fontId="1"/>
  </si>
  <si>
    <t>1.Jpit請求書作成作業、ケアレスミスFB指摘率累積積み上げ棒グラフ</t>
    <rPh sb="11" eb="13">
      <t>サギョウ</t>
    </rPh>
    <rPh sb="22" eb="24">
      <t>シテキ</t>
    </rPh>
    <rPh sb="24" eb="25">
      <t>リツ</t>
    </rPh>
    <rPh sb="25" eb="28">
      <t>ルイセキツ</t>
    </rPh>
    <rPh sb="29" eb="30">
      <t>ア</t>
    </rPh>
    <rPh sb="31" eb="32">
      <t>ボウ</t>
    </rPh>
    <phoneticPr fontId="1"/>
  </si>
  <si>
    <t>2.Jpit請求書作成作業FB指摘インシデント件数、積み上げグラフ</t>
    <rPh sb="11" eb="13">
      <t>サギョウ</t>
    </rPh>
    <rPh sb="15" eb="17">
      <t>シテキ</t>
    </rPh>
    <rPh sb="23" eb="25">
      <t>ケンスウ</t>
    </rPh>
    <phoneticPr fontId="1"/>
  </si>
  <si>
    <t>3.Jpit請求書作成作業FB指摘解釈、理解があいまい件数、推移グラフ</t>
    <rPh sb="11" eb="13">
      <t>サギョウ</t>
    </rPh>
    <rPh sb="15" eb="17">
      <t>シテキ</t>
    </rPh>
    <rPh sb="17" eb="19">
      <t>カイシャク</t>
    </rPh>
    <rPh sb="20" eb="22">
      <t>リカイ</t>
    </rPh>
    <rPh sb="27" eb="29">
      <t>ケンスウ</t>
    </rPh>
    <rPh sb="30" eb="32">
      <t>スイイ</t>
    </rPh>
    <phoneticPr fontId="1"/>
  </si>
  <si>
    <t>0245</t>
    <phoneticPr fontId="1"/>
  </si>
  <si>
    <t>0246</t>
    <phoneticPr fontId="1"/>
  </si>
  <si>
    <t xml:space="preserve">0247 </t>
    <phoneticPr fontId="1"/>
  </si>
  <si>
    <t>0248</t>
    <phoneticPr fontId="1"/>
  </si>
  <si>
    <t>①</t>
  </si>
  <si>
    <t>②</t>
  </si>
  <si>
    <t>0137</t>
    <phoneticPr fontId="1"/>
  </si>
  <si>
    <t>0138</t>
    <phoneticPr fontId="1"/>
  </si>
  <si>
    <t>0139</t>
    <phoneticPr fontId="1"/>
  </si>
  <si>
    <t>0140</t>
    <phoneticPr fontId="1"/>
  </si>
  <si>
    <t>0141</t>
    <phoneticPr fontId="1"/>
  </si>
  <si>
    <t>0142</t>
    <phoneticPr fontId="1"/>
  </si>
  <si>
    <t>0143</t>
    <phoneticPr fontId="1"/>
  </si>
  <si>
    <t>0144</t>
    <phoneticPr fontId="1"/>
  </si>
  <si>
    <t>0541</t>
    <phoneticPr fontId="1"/>
  </si>
  <si>
    <t>0544</t>
    <phoneticPr fontId="1"/>
  </si>
  <si>
    <t>0545</t>
    <phoneticPr fontId="1"/>
  </si>
  <si>
    <t>0546</t>
    <phoneticPr fontId="1"/>
  </si>
  <si>
    <t>0547</t>
    <phoneticPr fontId="1"/>
  </si>
  <si>
    <t>0548</t>
    <phoneticPr fontId="1"/>
  </si>
  <si>
    <t>0549</t>
    <phoneticPr fontId="1"/>
  </si>
  <si>
    <t>0550</t>
    <phoneticPr fontId="1"/>
  </si>
  <si>
    <t>0552</t>
    <phoneticPr fontId="1"/>
  </si>
  <si>
    <t>0555</t>
    <phoneticPr fontId="1"/>
  </si>
  <si>
    <t>0561</t>
    <phoneticPr fontId="1"/>
  </si>
  <si>
    <t>0564</t>
    <phoneticPr fontId="1"/>
  </si>
  <si>
    <t>0565</t>
    <phoneticPr fontId="1"/>
  </si>
  <si>
    <t>0566</t>
    <phoneticPr fontId="1"/>
  </si>
  <si>
    <t>0568</t>
    <phoneticPr fontId="1"/>
  </si>
  <si>
    <t>0569</t>
    <phoneticPr fontId="1"/>
  </si>
  <si>
    <t>0570</t>
    <phoneticPr fontId="1"/>
  </si>
  <si>
    <t>0571</t>
    <phoneticPr fontId="1"/>
  </si>
  <si>
    <t>0573</t>
    <phoneticPr fontId="1"/>
  </si>
  <si>
    <t>0005</t>
    <phoneticPr fontId="1"/>
  </si>
  <si>
    <t>0145</t>
    <phoneticPr fontId="1"/>
  </si>
  <si>
    <t>0146</t>
    <phoneticPr fontId="1"/>
  </si>
  <si>
    <t>0147</t>
    <phoneticPr fontId="1"/>
  </si>
  <si>
    <t>0148</t>
    <phoneticPr fontId="1"/>
  </si>
  <si>
    <t>0149</t>
    <phoneticPr fontId="1"/>
  </si>
  <si>
    <t>0150</t>
    <phoneticPr fontId="1"/>
  </si>
  <si>
    <t>0249</t>
    <phoneticPr fontId="1"/>
  </si>
  <si>
    <t>0250</t>
    <phoneticPr fontId="1"/>
  </si>
  <si>
    <t>0251</t>
    <phoneticPr fontId="1"/>
  </si>
  <si>
    <t>0252</t>
    <phoneticPr fontId="1"/>
  </si>
  <si>
    <t>0253</t>
    <phoneticPr fontId="1"/>
  </si>
  <si>
    <t>0254</t>
    <phoneticPr fontId="1"/>
  </si>
  <si>
    <t>0006</t>
    <phoneticPr fontId="1"/>
  </si>
  <si>
    <t>稲葉</t>
    <rPh sb="0" eb="2">
      <t>イナバ</t>
    </rPh>
    <phoneticPr fontId="1"/>
  </si>
  <si>
    <t>安齋</t>
    <rPh sb="0" eb="2">
      <t>アンザイ</t>
    </rPh>
    <phoneticPr fontId="1"/>
  </si>
  <si>
    <t>Document History</t>
  </si>
  <si>
    <t>Ver.</t>
    <phoneticPr fontId="17"/>
  </si>
  <si>
    <t>Date</t>
    <phoneticPr fontId="17"/>
  </si>
  <si>
    <t>Created/Updated by
(EnterpriseID)</t>
    <phoneticPr fontId="17"/>
  </si>
  <si>
    <t>Update contents</t>
    <phoneticPr fontId="17"/>
  </si>
  <si>
    <t>Reviewed by
(EnterpriseID)</t>
    <phoneticPr fontId="17"/>
  </si>
  <si>
    <t>Approved by
(EnterpriseID)</t>
    <phoneticPr fontId="17"/>
  </si>
  <si>
    <t>takao.hattori</t>
    <phoneticPr fontId="17"/>
  </si>
  <si>
    <t>新規作成</t>
    <rPh sb="0" eb="4">
      <t>シンキサクセイ</t>
    </rPh>
    <phoneticPr fontId="17"/>
  </si>
  <si>
    <t>0577</t>
    <phoneticPr fontId="1"/>
  </si>
  <si>
    <t>0578</t>
    <phoneticPr fontId="1"/>
  </si>
  <si>
    <t>0579</t>
    <phoneticPr fontId="1"/>
  </si>
  <si>
    <t>0580</t>
    <phoneticPr fontId="1"/>
  </si>
  <si>
    <t>0581</t>
    <phoneticPr fontId="1"/>
  </si>
  <si>
    <t>0582</t>
    <phoneticPr fontId="1"/>
  </si>
  <si>
    <t>0584</t>
    <phoneticPr fontId="1"/>
  </si>
  <si>
    <t>0586</t>
    <phoneticPr fontId="1"/>
  </si>
  <si>
    <t>0587</t>
    <phoneticPr fontId="1"/>
  </si>
  <si>
    <t>0588</t>
    <phoneticPr fontId="1"/>
  </si>
  <si>
    <t>0589</t>
    <phoneticPr fontId="1"/>
  </si>
  <si>
    <t>0590</t>
    <phoneticPr fontId="1"/>
  </si>
  <si>
    <t>0591</t>
    <phoneticPr fontId="1"/>
  </si>
  <si>
    <t>0593</t>
    <phoneticPr fontId="1"/>
  </si>
  <si>
    <t>0594</t>
    <phoneticPr fontId="1"/>
  </si>
  <si>
    <t>0596</t>
    <phoneticPr fontId="1"/>
  </si>
  <si>
    <t>0598</t>
    <phoneticPr fontId="1"/>
  </si>
  <si>
    <t>0599</t>
    <phoneticPr fontId="1"/>
  </si>
  <si>
    <t>0600</t>
    <phoneticPr fontId="1"/>
  </si>
  <si>
    <t>0601</t>
    <phoneticPr fontId="1"/>
  </si>
  <si>
    <t>0051</t>
    <phoneticPr fontId="1"/>
  </si>
  <si>
    <t>0054</t>
    <phoneticPr fontId="1"/>
  </si>
  <si>
    <t>0052</t>
    <phoneticPr fontId="1"/>
  </si>
  <si>
    <t>0055</t>
    <phoneticPr fontId="1"/>
  </si>
  <si>
    <t>0056</t>
    <phoneticPr fontId="1"/>
  </si>
  <si>
    <t>0057</t>
    <phoneticPr fontId="1"/>
  </si>
  <si>
    <t>0058</t>
    <phoneticPr fontId="1"/>
  </si>
  <si>
    <t>0061</t>
    <phoneticPr fontId="1"/>
  </si>
  <si>
    <t>2024/9</t>
    <phoneticPr fontId="1"/>
  </si>
  <si>
    <t>作業年月</t>
    <rPh sb="0" eb="4">
      <t>サギョウネンツキ</t>
    </rPh>
    <phoneticPr fontId="1"/>
  </si>
  <si>
    <t>takao.hattori</t>
    <phoneticPr fontId="1"/>
  </si>
  <si>
    <t>2024/8</t>
    <phoneticPr fontId="1"/>
  </si>
  <si>
    <t>2024/7</t>
    <phoneticPr fontId="1"/>
  </si>
  <si>
    <t>2024/6</t>
    <phoneticPr fontId="1"/>
  </si>
  <si>
    <t>2024/5</t>
    <phoneticPr fontId="1"/>
  </si>
  <si>
    <t>③</t>
  </si>
  <si>
    <t>中野</t>
  </si>
  <si>
    <t>谷口</t>
  </si>
  <si>
    <t>江藤</t>
  </si>
  <si>
    <t>作業年月P</t>
    <rPh sb="0" eb="2">
      <t>サギョウ</t>
    </rPh>
    <rPh sb="2" eb="4">
      <t>ネンツキ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</si>
</sst>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m&quot;月&quot;d&quot;日&quot;;@"/>
    <numFmt numFmtId="177" formatCode="0.0%"/>
    <numFmt numFmtId="178" formatCode="0_);[Red]\(0\)"/>
    <numFmt numFmtId="179" formatCode="0.00_);[Red]\(0.00\)"/>
    <numFmt numFmtId="185" formatCode="yyyy&quot;年&quot;m&quot;月&quot;;@"/>
  </numFmts>
  <fonts count="1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游ゴシック"/>
      <family val="3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2"/>
      <color rgb="FF000000"/>
      <name val="Meiryo UI"/>
      <family val="3"/>
    </font>
    <font>
      <sz val="11"/>
      <color theme="1"/>
      <name val="游ゴシック"/>
      <family val="2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theme="0" tint="0.89999084444715716"/>
      <name val="Meiryo UI"/>
      <family val="2"/>
      <charset val="128"/>
    </font>
    <font>
      <sz val="11"/>
      <color theme="1"/>
      <name val="游ゴシック"/>
      <family val="2"/>
      <scheme val="minor"/>
    </font>
    <font>
      <sz val="11"/>
      <color theme="0" tint="0.89999084444715716"/>
      <name val="游ゴシック"/>
      <family val="2"/>
      <scheme val="minor"/>
    </font>
    <font>
      <sz val="6"/>
      <name val="Meiryo UI"/>
      <family val="2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BB1F0"/>
        <bgColor indexed="64"/>
      </patternFill>
    </fill>
    <fill>
      <patternFill patternType="solid">
        <fgColor theme="2" tint="-0.74999237037263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9" fontId="9" fillId="0" borderId="0" applyFont="0" applyFill="0" applyBorder="0" applyAlignment="0" applyProtection="0">
      <alignment vertical="center"/>
    </xf>
    <xf numFmtId="0" fontId="13" fillId="0" borderId="0">
      <alignment vertical="center"/>
    </xf>
    <xf numFmtId="0" fontId="15" fillId="0" borderId="0"/>
  </cellStyleXfs>
  <cellXfs count="11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>
      <alignment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4" fillId="0" borderId="0" xfId="0" applyFont="1">
      <alignment vertical="center"/>
    </xf>
    <xf numFmtId="0" fontId="0" fillId="2" borderId="1" xfId="0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3" fillId="3" borderId="1" xfId="0" applyFont="1" applyFill="1" applyBorder="1" applyAlignment="1">
      <alignment horizontal="right" vertical="center"/>
    </xf>
    <xf numFmtId="0" fontId="0" fillId="4" borderId="1" xfId="0" applyFill="1" applyBorder="1">
      <alignment vertical="center"/>
    </xf>
    <xf numFmtId="0" fontId="3" fillId="4" borderId="1" xfId="0" applyFont="1" applyFill="1" applyBorder="1" applyAlignment="1">
      <alignment horizontal="right" vertical="center"/>
    </xf>
    <xf numFmtId="0" fontId="0" fillId="2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3" borderId="1" xfId="0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0" fontId="5" fillId="3" borderId="1" xfId="0" applyFont="1" applyFill="1" applyBorder="1" applyAlignment="1">
      <alignment horizontal="right" vertical="center"/>
    </xf>
    <xf numFmtId="0" fontId="0" fillId="5" borderId="1" xfId="0" applyFill="1" applyBorder="1">
      <alignment vertical="center"/>
    </xf>
    <xf numFmtId="0" fontId="3" fillId="5" borderId="1" xfId="0" applyFont="1" applyFill="1" applyBorder="1" applyAlignment="1">
      <alignment horizontal="right" vertical="center"/>
    </xf>
    <xf numFmtId="0" fontId="5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55" fontId="0" fillId="0" borderId="0" xfId="0" applyNumberForma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8" xfId="0" applyBorder="1">
      <alignment vertical="center"/>
    </xf>
    <xf numFmtId="176" fontId="0" fillId="0" borderId="4" xfId="0" applyNumberFormat="1" applyBorder="1" applyAlignment="1">
      <alignment horizontal="center" vertical="center"/>
    </xf>
    <xf numFmtId="56" fontId="0" fillId="0" borderId="4" xfId="0" applyNumberFormat="1" applyBorder="1" applyAlignment="1">
      <alignment horizontal="center" vertical="center"/>
    </xf>
    <xf numFmtId="0" fontId="0" fillId="0" borderId="6" xfId="0" applyBorder="1">
      <alignment vertical="center"/>
    </xf>
    <xf numFmtId="0" fontId="5" fillId="0" borderId="1" xfId="0" applyFont="1" applyBorder="1" applyAlignment="1">
      <alignment horizontal="right" vertical="center"/>
    </xf>
    <xf numFmtId="0" fontId="0" fillId="0" borderId="2" xfId="0" applyBorder="1">
      <alignment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9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6" borderId="1" xfId="0" applyFill="1" applyBorder="1">
      <alignment vertical="center"/>
    </xf>
    <xf numFmtId="0" fontId="6" fillId="0" borderId="0" xfId="0" applyFont="1">
      <alignment vertical="center"/>
    </xf>
    <xf numFmtId="55" fontId="0" fillId="0" borderId="1" xfId="0" applyNumberFormat="1" applyBorder="1">
      <alignment vertical="center"/>
    </xf>
    <xf numFmtId="0" fontId="7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7" fontId="0" fillId="0" borderId="1" xfId="0" quotePrefix="1" applyNumberFormat="1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0" fillId="0" borderId="4" xfId="0" applyBorder="1">
      <alignment vertical="center"/>
    </xf>
    <xf numFmtId="17" fontId="0" fillId="0" borderId="12" xfId="0" quotePrefix="1" applyNumberFormat="1" applyBorder="1" applyAlignment="1">
      <alignment horizontal="center" vertical="center"/>
    </xf>
    <xf numFmtId="0" fontId="8" fillId="0" borderId="0" xfId="0" applyFo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>
      <alignment vertical="center"/>
    </xf>
    <xf numFmtId="0" fontId="0" fillId="7" borderId="1" xfId="0" applyFill="1" applyBorder="1">
      <alignment vertical="center"/>
    </xf>
    <xf numFmtId="0" fontId="5" fillId="7" borderId="1" xfId="0" applyFont="1" applyFill="1" applyBorder="1" applyAlignment="1">
      <alignment horizontal="right" vertical="center"/>
    </xf>
    <xf numFmtId="17" fontId="0" fillId="0" borderId="0" xfId="0" quotePrefix="1" applyNumberFormat="1" applyAlignment="1">
      <alignment horizontal="center" vertical="center"/>
    </xf>
    <xf numFmtId="177" fontId="0" fillId="0" borderId="1" xfId="1" applyNumberFormat="1" applyFont="1" applyFill="1" applyBorder="1">
      <alignment vertical="center"/>
    </xf>
    <xf numFmtId="49" fontId="0" fillId="0" borderId="11" xfId="0" applyNumberForma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77" fontId="0" fillId="0" borderId="5" xfId="0" applyNumberFormat="1" applyBorder="1">
      <alignment vertical="center"/>
    </xf>
    <xf numFmtId="178" fontId="0" fillId="0" borderId="2" xfId="1" applyNumberFormat="1" applyFont="1" applyFill="1" applyBorder="1">
      <alignment vertical="center"/>
    </xf>
    <xf numFmtId="178" fontId="0" fillId="0" borderId="9" xfId="0" applyNumberFormat="1" applyBorder="1">
      <alignment vertical="center"/>
    </xf>
    <xf numFmtId="56" fontId="0" fillId="0" borderId="1" xfId="0" applyNumberFormat="1" applyBorder="1" applyAlignment="1">
      <alignment horizontal="center" vertical="center"/>
    </xf>
    <xf numFmtId="178" fontId="0" fillId="0" borderId="9" xfId="1" applyNumberFormat="1" applyFont="1" applyFill="1" applyBorder="1">
      <alignment vertical="center"/>
    </xf>
    <xf numFmtId="55" fontId="0" fillId="2" borderId="0" xfId="0" applyNumberFormat="1" applyFill="1">
      <alignment vertical="center"/>
    </xf>
    <xf numFmtId="0" fontId="0" fillId="4" borderId="1" xfId="0" applyFill="1" applyBorder="1" applyAlignment="1">
      <alignment horizontal="center"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14" xfId="0" applyBorder="1">
      <alignment vertical="center"/>
    </xf>
    <xf numFmtId="0" fontId="0" fillId="0" borderId="13" xfId="0" applyBorder="1">
      <alignment vertical="center"/>
    </xf>
    <xf numFmtId="49" fontId="0" fillId="0" borderId="15" xfId="0" applyNumberFormat="1" applyBorder="1" applyAlignment="1">
      <alignment horizontal="center" vertical="center"/>
    </xf>
    <xf numFmtId="178" fontId="0" fillId="0" borderId="12" xfId="1" applyNumberFormat="1" applyFont="1" applyFill="1" applyBorder="1">
      <alignment vertical="center"/>
    </xf>
    <xf numFmtId="49" fontId="0" fillId="0" borderId="1" xfId="0" applyNumberFormat="1" applyBorder="1" applyAlignment="1">
      <alignment horizontal="center" vertical="center"/>
    </xf>
    <xf numFmtId="56" fontId="0" fillId="0" borderId="11" xfId="0" applyNumberFormat="1" applyBorder="1" applyAlignment="1">
      <alignment horizontal="center" vertical="center"/>
    </xf>
    <xf numFmtId="56" fontId="0" fillId="0" borderId="5" xfId="0" applyNumberFormat="1" applyBorder="1" applyAlignment="1">
      <alignment horizontal="center" vertical="center"/>
    </xf>
    <xf numFmtId="56" fontId="0" fillId="0" borderId="4" xfId="0" quotePrefix="1" applyNumberForma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178" fontId="0" fillId="0" borderId="1" xfId="1" applyNumberFormat="1" applyFont="1" applyFill="1" applyBorder="1">
      <alignment vertical="center"/>
    </xf>
    <xf numFmtId="49" fontId="0" fillId="0" borderId="4" xfId="0" quotePrefix="1" applyNumberFormat="1" applyBorder="1" applyAlignment="1">
      <alignment horizontal="center" vertical="center"/>
    </xf>
    <xf numFmtId="56" fontId="0" fillId="0" borderId="11" xfId="0" quotePrefix="1" applyNumberFormat="1" applyBorder="1" applyAlignment="1">
      <alignment horizontal="center" vertical="center"/>
    </xf>
    <xf numFmtId="0" fontId="0" fillId="4" borderId="1" xfId="0" quotePrefix="1" applyFill="1" applyBorder="1" applyAlignment="1">
      <alignment horizontal="center" vertical="center"/>
    </xf>
    <xf numFmtId="49" fontId="0" fillId="0" borderId="11" xfId="0" quotePrefix="1" applyNumberFormat="1" applyBorder="1" applyAlignment="1">
      <alignment horizontal="center" vertical="center"/>
    </xf>
    <xf numFmtId="177" fontId="0" fillId="0" borderId="5" xfId="1" applyNumberFormat="1" applyFont="1" applyFill="1" applyBorder="1">
      <alignment vertical="center"/>
    </xf>
    <xf numFmtId="177" fontId="0" fillId="0" borderId="8" xfId="1" applyNumberFormat="1" applyFont="1" applyFill="1" applyBorder="1">
      <alignment vertical="center"/>
    </xf>
    <xf numFmtId="179" fontId="14" fillId="8" borderId="2" xfId="2" applyNumberFormat="1" applyFont="1" applyFill="1" applyBorder="1" applyAlignment="1">
      <alignment horizontal="left" vertical="center"/>
    </xf>
    <xf numFmtId="0" fontId="14" fillId="8" borderId="3" xfId="2" applyFont="1" applyFill="1" applyBorder="1" applyAlignment="1">
      <alignment horizontal="left" vertical="center"/>
    </xf>
    <xf numFmtId="49" fontId="14" fillId="8" borderId="3" xfId="2" applyNumberFormat="1" applyFont="1" applyFill="1" applyBorder="1">
      <alignment vertical="center"/>
    </xf>
    <xf numFmtId="49" fontId="14" fillId="8" borderId="4" xfId="2" applyNumberFormat="1" applyFont="1" applyFill="1" applyBorder="1">
      <alignment vertical="center"/>
    </xf>
    <xf numFmtId="0" fontId="16" fillId="8" borderId="0" xfId="3" applyFont="1" applyFill="1"/>
    <xf numFmtId="179" fontId="14" fillId="8" borderId="1" xfId="2" applyNumberFormat="1" applyFont="1" applyFill="1" applyBorder="1" applyAlignment="1">
      <alignment horizontal="left" vertical="center"/>
    </xf>
    <xf numFmtId="0" fontId="14" fillId="8" borderId="1" xfId="2" applyFont="1" applyFill="1" applyBorder="1" applyAlignment="1">
      <alignment horizontal="left" vertical="center"/>
    </xf>
    <xf numFmtId="49" fontId="14" fillId="8" borderId="1" xfId="2" applyNumberFormat="1" applyFont="1" applyFill="1" applyBorder="1" applyAlignment="1">
      <alignment vertical="center" wrapText="1"/>
    </xf>
    <xf numFmtId="49" fontId="14" fillId="8" borderId="1" xfId="2" applyNumberFormat="1" applyFont="1" applyFill="1" applyBorder="1">
      <alignment vertical="center"/>
    </xf>
    <xf numFmtId="14" fontId="14" fillId="8" borderId="1" xfId="2" applyNumberFormat="1" applyFont="1" applyFill="1" applyBorder="1" applyAlignment="1">
      <alignment horizontal="left" vertical="center"/>
    </xf>
    <xf numFmtId="0" fontId="14" fillId="8" borderId="0" xfId="2" applyFont="1" applyFill="1">
      <alignment vertical="center"/>
    </xf>
    <xf numFmtId="179" fontId="14" fillId="8" borderId="0" xfId="2" applyNumberFormat="1" applyFont="1" applyFill="1" applyAlignment="1">
      <alignment horizontal="left" vertical="center"/>
    </xf>
    <xf numFmtId="0" fontId="14" fillId="8" borderId="0" xfId="2" applyFont="1" applyFill="1" applyAlignment="1">
      <alignment horizontal="left" vertical="center"/>
    </xf>
    <xf numFmtId="49" fontId="14" fillId="8" borderId="0" xfId="2" applyNumberFormat="1" applyFont="1" applyFill="1">
      <alignment vertical="center"/>
    </xf>
    <xf numFmtId="49" fontId="0" fillId="0" borderId="15" xfId="0" quotePrefix="1" applyNumberForma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6" xfId="0" applyBorder="1" applyAlignment="1">
      <alignment horizontal="center" vertical="center"/>
    </xf>
    <xf numFmtId="185" fontId="0" fillId="0" borderId="4" xfId="0" quotePrefix="1" applyNumberFormat="1" applyBorder="1" applyAlignment="1">
      <alignment horizontal="center" vertical="center"/>
    </xf>
    <xf numFmtId="0" fontId="0" fillId="0" borderId="16" xfId="0" applyFill="1" applyBorder="1">
      <alignment vertical="center"/>
    </xf>
    <xf numFmtId="0" fontId="0" fillId="0" borderId="16" xfId="0" applyFill="1" applyBorder="1" applyAlignment="1">
      <alignment horizontal="center" vertical="center"/>
    </xf>
    <xf numFmtId="185" fontId="0" fillId="0" borderId="1" xfId="0" quotePrefix="1" applyNumberFormat="1" applyBorder="1" applyAlignment="1">
      <alignment horizontal="center" vertical="center"/>
    </xf>
  </cellXfs>
  <cellStyles count="4">
    <cellStyle name="パーセント" xfId="1" builtinId="5"/>
    <cellStyle name="標準" xfId="0" builtinId="0"/>
    <cellStyle name="標準 2" xfId="3" xr:uid="{92054332-7FFD-4C64-A2B9-8A825683F9A0}"/>
    <cellStyle name="標準 6" xfId="2" xr:uid="{D47222A5-241B-4FB6-A88D-7D0FCF703A17}"/>
  </cellStyles>
  <dxfs count="136"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178" formatCode="0_);[Red]\(0\)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77" formatCode="0.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8" formatCode="0_);[Red]\(0\)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178" formatCode="0_);[Red]\(0\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8" formatCode="0_);[Red]\(0\)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77" formatCode="0.0%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7" formatCode="m&quot;月&quot;d&quot;日&quot;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7" formatCode="m&quot;月&quot;d&quot;日&quot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sheetMetadata" Target="metadata.xml"/><Relationship Id="rId45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累積棒グラフ'!$C$28:$R$28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08-498D-BF7C-B2FD62E7B5FE}"/>
            </c:ext>
          </c:extLst>
        </c:ser>
        <c:ser>
          <c:idx val="1"/>
          <c:order val="1"/>
          <c:tx>
            <c:strRef>
              <c:f>'myTE 累積棒グラフ'!$B$29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累積棒グラフ'!$C$29:$R$29</c:f>
              <c:numCache>
                <c:formatCode>General</c:formatCode>
                <c:ptCount val="16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08-498D-BF7C-B2FD62E7B5FE}"/>
            </c:ext>
          </c:extLst>
        </c:ser>
        <c:ser>
          <c:idx val="2"/>
          <c:order val="2"/>
          <c:tx>
            <c:strRef>
              <c:f>'myTE 累積棒グラフ'!$B$30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累積棒グラフ'!$C$30:$R$30</c:f>
              <c:numCache>
                <c:formatCode>General</c:formatCode>
                <c:ptCount val="16"/>
                <c:pt idx="0">
                  <c:v>9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008-498D-BF7C-B2FD62E7B5FE}"/>
            </c:ext>
          </c:extLst>
        </c:ser>
        <c:ser>
          <c:idx val="3"/>
          <c:order val="3"/>
          <c:tx>
            <c:strRef>
              <c:f>'myTE 累積棒グラフ'!$B$31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累積棒グラフ'!$C$31:$R$31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008-498D-BF7C-B2FD62E7B5FE}"/>
            </c:ext>
          </c:extLst>
        </c:ser>
        <c:ser>
          <c:idx val="4"/>
          <c:order val="4"/>
          <c:tx>
            <c:strRef>
              <c:f>'myTE 累積棒グラフ'!$B$32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累積棒グラフ'!$C$32:$R$32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008-498D-BF7C-B2FD62E7B5FE}"/>
            </c:ext>
          </c:extLst>
        </c:ser>
        <c:ser>
          <c:idx val="5"/>
          <c:order val="5"/>
          <c:tx>
            <c:strRef>
              <c:f>'myTE 累積棒グラフ'!$B$33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累積棒グラフ'!$C$33:$R$33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008-498D-BF7C-B2FD62E7B5FE}"/>
            </c:ext>
          </c:extLst>
        </c:ser>
        <c:ser>
          <c:idx val="6"/>
          <c:order val="6"/>
          <c:tx>
            <c:strRef>
              <c:f>'myTE 累積棒グラフ'!$B$34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累積棒グラフ'!$C$34:$R$34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8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61-4871-84FF-402167435B22}"/>
            </c:ext>
          </c:extLst>
        </c:ser>
        <c:ser>
          <c:idx val="7"/>
          <c:order val="7"/>
          <c:tx>
            <c:strRef>
              <c:f>'myTE 累積棒グラフ'!$B$35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累積棒グラフ'!$C$35:$R$35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05-4114-A73C-78AC8226C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累積棒グラフ'!$B$61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累積棒グラフ'!$C$61:$R$61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0-4EED-95E9-5508BB5AF1AF}"/>
            </c:ext>
          </c:extLst>
        </c:ser>
        <c:ser>
          <c:idx val="1"/>
          <c:order val="1"/>
          <c:tx>
            <c:strRef>
              <c:f>'myTE 累積棒グラフ'!$B$62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累積棒グラフ'!$C$62:$R$62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0-4EED-95E9-5508BB5AF1AF}"/>
            </c:ext>
          </c:extLst>
        </c:ser>
        <c:ser>
          <c:idx val="2"/>
          <c:order val="2"/>
          <c:tx>
            <c:strRef>
              <c:f>'myTE 累積棒グラフ'!$B$63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累積棒グラフ'!$C$63:$R$63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0-4EED-95E9-5508BB5AF1AF}"/>
            </c:ext>
          </c:extLst>
        </c:ser>
        <c:ser>
          <c:idx val="3"/>
          <c:order val="3"/>
          <c:tx>
            <c:strRef>
              <c:f>'myTE 累積棒グラフ'!$B$64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累積棒グラフ'!$C$64:$R$64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60-4EED-95E9-5508BB5AF1AF}"/>
            </c:ext>
          </c:extLst>
        </c:ser>
        <c:ser>
          <c:idx val="4"/>
          <c:order val="4"/>
          <c:tx>
            <c:strRef>
              <c:f>'myTE 累積棒グラフ'!$B$65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累積棒グラフ'!$C$65:$R$65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60-4EED-95E9-5508BB5AF1AF}"/>
            </c:ext>
          </c:extLst>
        </c:ser>
        <c:ser>
          <c:idx val="5"/>
          <c:order val="5"/>
          <c:tx>
            <c:strRef>
              <c:f>'myTE 累積棒グラフ'!$B$66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累積棒グラフ'!$C$66:$R$66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260-4EED-95E9-5508BB5AF1AF}"/>
            </c:ext>
          </c:extLst>
        </c:ser>
        <c:ser>
          <c:idx val="6"/>
          <c:order val="6"/>
          <c:tx>
            <c:strRef>
              <c:f>'myTE 累積棒グラフ'!$B$67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累積棒グラフ'!$C$67:$R$67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9-4802-B73B-C77CCF43DE22}"/>
            </c:ext>
          </c:extLst>
        </c:ser>
        <c:ser>
          <c:idx val="7"/>
          <c:order val="7"/>
          <c:tx>
            <c:strRef>
              <c:f>'myTE 累積棒グラフ'!$B$68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累積棒グラフ'!$C$68:$R$68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40-450D-9B7E-AF247D3D39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累積棒グラフ'!$C$95:$R$95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5-4F0F-A80D-D33ADC215AC5}"/>
            </c:ext>
          </c:extLst>
        </c:ser>
        <c:ser>
          <c:idx val="1"/>
          <c:order val="1"/>
          <c:tx>
            <c:strRef>
              <c:f>'myTE 累積棒グラフ'!$B$96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累積棒グラフ'!$C$96:$R$96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15-4F0F-A80D-D33ADC215AC5}"/>
            </c:ext>
          </c:extLst>
        </c:ser>
        <c:ser>
          <c:idx val="2"/>
          <c:order val="2"/>
          <c:tx>
            <c:strRef>
              <c:f>'myTE 累積棒グラフ'!$B$97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累積棒グラフ'!$C$97:$R$97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15-4F0F-A80D-D33ADC215AC5}"/>
            </c:ext>
          </c:extLst>
        </c:ser>
        <c:ser>
          <c:idx val="3"/>
          <c:order val="3"/>
          <c:tx>
            <c:strRef>
              <c:f>'myTE 累積棒グラフ'!$B$98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累積棒グラフ'!$C$98:$R$98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15-4F0F-A80D-D33ADC215AC5}"/>
            </c:ext>
          </c:extLst>
        </c:ser>
        <c:ser>
          <c:idx val="4"/>
          <c:order val="4"/>
          <c:tx>
            <c:strRef>
              <c:f>'myTE 累積棒グラフ'!$B$99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累積棒グラフ'!$C$99:$R$99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15-4F0F-A80D-D33ADC215AC5}"/>
            </c:ext>
          </c:extLst>
        </c:ser>
        <c:ser>
          <c:idx val="5"/>
          <c:order val="5"/>
          <c:tx>
            <c:strRef>
              <c:f>'myTE 累積棒グラフ'!$B$100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315-4F0F-A80D-D33ADC215AC5}"/>
            </c:ext>
          </c:extLst>
        </c:ser>
        <c:ser>
          <c:idx val="6"/>
          <c:order val="6"/>
          <c:tx>
            <c:strRef>
              <c:f>'myTE 累積棒グラフ'!$B$101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累積棒グラフ'!$C$101:$R$101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1-47CD-B2F0-3ECC95255239}"/>
            </c:ext>
          </c:extLst>
        </c:ser>
        <c:ser>
          <c:idx val="7"/>
          <c:order val="7"/>
          <c:tx>
            <c:strRef>
              <c:f>'myTE 累積棒グラフ'!$B$102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累積棒グラフ'!$C$102:$R$102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F2-46A1-A0AE-D62ECC3925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累積棒グラフ'!$B$129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累積棒グラフ'!$C$129:$R$129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D8-4671-9F98-25D920DD5B77}"/>
            </c:ext>
          </c:extLst>
        </c:ser>
        <c:ser>
          <c:idx val="1"/>
          <c:order val="1"/>
          <c:tx>
            <c:strRef>
              <c:f>'myTE 累積棒グラフ'!$B$130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累積棒グラフ'!$C$130:$R$130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D8-4671-9F98-25D920DD5B77}"/>
            </c:ext>
          </c:extLst>
        </c:ser>
        <c:ser>
          <c:idx val="2"/>
          <c:order val="2"/>
          <c:tx>
            <c:strRef>
              <c:f>'myTE 累積棒グラフ'!$B$131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D8-4671-9F98-25D920DD5B77}"/>
            </c:ext>
          </c:extLst>
        </c:ser>
        <c:ser>
          <c:idx val="3"/>
          <c:order val="3"/>
          <c:tx>
            <c:strRef>
              <c:f>'myTE 累積棒グラフ'!$B$132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累積棒グラフ'!$C$132:$R$132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D8-4671-9F98-25D920DD5B77}"/>
            </c:ext>
          </c:extLst>
        </c:ser>
        <c:ser>
          <c:idx val="4"/>
          <c:order val="4"/>
          <c:tx>
            <c:strRef>
              <c:f>'myTE 累積棒グラフ'!$B$133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累積棒グラフ'!$C$133:$R$133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D8-4671-9F98-25D920DD5B77}"/>
            </c:ext>
          </c:extLst>
        </c:ser>
        <c:ser>
          <c:idx val="5"/>
          <c:order val="5"/>
          <c:tx>
            <c:strRef>
              <c:f>'myTE 累積棒グラフ'!$B$134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累積棒グラフ'!$C$134:$R$134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7D8-4671-9F98-25D920DD5B77}"/>
            </c:ext>
          </c:extLst>
        </c:ser>
        <c:ser>
          <c:idx val="6"/>
          <c:order val="6"/>
          <c:tx>
            <c:strRef>
              <c:f>'myTE 累積棒グラフ'!$B$135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累積棒グラフ'!$C$135:$R$135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D8-4671-9F98-25D920DD5B77}"/>
            </c:ext>
          </c:extLst>
        </c:ser>
        <c:ser>
          <c:idx val="7"/>
          <c:order val="7"/>
          <c:tx>
            <c:strRef>
              <c:f>'myTE 累積棒グラフ'!$B$136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累積棒グラフ'!$C$136:$R$136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04-4448-A6E2-6F8C50747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累積棒グラフ'!$B$163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累積棒グラフ'!$C$163:$R$163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2-4B0D-AB99-0A0BC935D9BB}"/>
            </c:ext>
          </c:extLst>
        </c:ser>
        <c:ser>
          <c:idx val="1"/>
          <c:order val="1"/>
          <c:tx>
            <c:strRef>
              <c:f>'myTE 累積棒グラフ'!$B$164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累積棒グラフ'!$C$164:$R$164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2-4B0D-AB99-0A0BC935D9BB}"/>
            </c:ext>
          </c:extLst>
        </c:ser>
        <c:ser>
          <c:idx val="2"/>
          <c:order val="2"/>
          <c:tx>
            <c:strRef>
              <c:f>'myTE 累積棒グラフ'!$B$165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累積棒グラフ'!$C$165:$R$165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2-4B0D-AB99-0A0BC935D9BB}"/>
            </c:ext>
          </c:extLst>
        </c:ser>
        <c:ser>
          <c:idx val="3"/>
          <c:order val="3"/>
          <c:tx>
            <c:strRef>
              <c:f>'myTE 累積棒グラフ'!$B$166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累積棒グラフ'!$C$166:$R$166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2-4B0D-AB99-0A0BC935D9BB}"/>
            </c:ext>
          </c:extLst>
        </c:ser>
        <c:ser>
          <c:idx val="4"/>
          <c:order val="4"/>
          <c:tx>
            <c:strRef>
              <c:f>'myTE 累積棒グラフ'!$B$167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累積棒グラフ'!$C$167:$R$167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2-4B0D-AB99-0A0BC935D9BB}"/>
            </c:ext>
          </c:extLst>
        </c:ser>
        <c:ser>
          <c:idx val="5"/>
          <c:order val="5"/>
          <c:tx>
            <c:strRef>
              <c:f>'myTE 累積棒グラフ'!$B$168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累積棒グラフ'!$C$168:$R$168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22-4B0D-AB99-0A0BC935D9BB}"/>
            </c:ext>
          </c:extLst>
        </c:ser>
        <c:ser>
          <c:idx val="6"/>
          <c:order val="6"/>
          <c:tx>
            <c:strRef>
              <c:f>'myTE 累積棒グラフ'!$B$169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累積棒グラフ'!$C$169:$R$169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122-4B0D-AB99-0A0BC935D9BB}"/>
            </c:ext>
          </c:extLst>
        </c:ser>
        <c:ser>
          <c:idx val="7"/>
          <c:order val="7"/>
          <c:tx>
            <c:strRef>
              <c:f>'myTE 累積棒グラフ'!$B$170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 累積棒グラフ'!$C$170:$R$170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E-48F5-B2BE-D6F87DCE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累積棒グラフ'!$C$28:$R$28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44-4405-8E4B-AB80306ED466}"/>
            </c:ext>
          </c:extLst>
        </c:ser>
        <c:ser>
          <c:idx val="1"/>
          <c:order val="1"/>
          <c:tx>
            <c:strRef>
              <c:f>'I&amp;D 累積棒グラフ'!$B$29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累積棒グラフ'!$C$29:$R$29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44-4405-8E4B-AB80306ED466}"/>
            </c:ext>
          </c:extLst>
        </c:ser>
        <c:ser>
          <c:idx val="2"/>
          <c:order val="2"/>
          <c:tx>
            <c:strRef>
              <c:f>'I&amp;D 累積棒グラフ'!$B$30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累積棒グラフ'!$C$30:$R$30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244-4405-8E4B-AB80306ED466}"/>
            </c:ext>
          </c:extLst>
        </c:ser>
        <c:ser>
          <c:idx val="3"/>
          <c:order val="3"/>
          <c:tx>
            <c:strRef>
              <c:f>'I&amp;D 累積棒グラフ'!$B$31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累積棒グラフ'!$C$31:$R$31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7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244-4405-8E4B-AB80306ED466}"/>
            </c:ext>
          </c:extLst>
        </c:ser>
        <c:ser>
          <c:idx val="4"/>
          <c:order val="4"/>
          <c:tx>
            <c:strRef>
              <c:f>'I&amp;D 累積棒グラフ'!$B$32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累積棒グラフ'!$C$32:$R$32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44-4405-8E4B-AB80306ED466}"/>
            </c:ext>
          </c:extLst>
        </c:ser>
        <c:ser>
          <c:idx val="5"/>
          <c:order val="5"/>
          <c:tx>
            <c:strRef>
              <c:f>'I&amp;D 累積棒グラフ'!$B$33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累積棒グラフ'!$C$33:$R$33</c:f>
              <c:numCache>
                <c:formatCode>General</c:formatCode>
                <c:ptCount val="16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244-4405-8E4B-AB80306ED466}"/>
            </c:ext>
          </c:extLst>
        </c:ser>
        <c:ser>
          <c:idx val="6"/>
          <c:order val="6"/>
          <c:tx>
            <c:strRef>
              <c:f>'I&amp;D 累積棒グラフ'!$B$34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累積棒グラフ'!$C$34:$R$34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244-4405-8E4B-AB80306ED466}"/>
            </c:ext>
          </c:extLst>
        </c:ser>
        <c:ser>
          <c:idx val="7"/>
          <c:order val="7"/>
          <c:tx>
            <c:strRef>
              <c:f>'I&amp;D 累積棒グラフ'!$B$35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累積棒グラフ'!$C$35:$R$35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</c:v>
                </c:pt>
                <c:pt idx="4">
                  <c:v>1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F6-4119-A3AA-8E5AD528F0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累積棒グラフ'!$B$61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累積棒グラフ'!$C$61:$R$61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04-4C2A-AF01-9F6E72724747}"/>
            </c:ext>
          </c:extLst>
        </c:ser>
        <c:ser>
          <c:idx val="1"/>
          <c:order val="1"/>
          <c:tx>
            <c:strRef>
              <c:f>'I&amp;D 累積棒グラフ'!$B$62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累積棒グラフ'!$C$62:$R$62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04-4C2A-AF01-9F6E72724747}"/>
            </c:ext>
          </c:extLst>
        </c:ser>
        <c:ser>
          <c:idx val="2"/>
          <c:order val="2"/>
          <c:tx>
            <c:strRef>
              <c:f>'I&amp;D 累積棒グラフ'!$B$63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累積棒グラフ'!$C$63:$R$63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04-4C2A-AF01-9F6E72724747}"/>
            </c:ext>
          </c:extLst>
        </c:ser>
        <c:ser>
          <c:idx val="3"/>
          <c:order val="3"/>
          <c:tx>
            <c:strRef>
              <c:f>'I&amp;D 累積棒グラフ'!$B$64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累積棒グラフ'!$C$64:$R$64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404-4C2A-AF01-9F6E72724747}"/>
            </c:ext>
          </c:extLst>
        </c:ser>
        <c:ser>
          <c:idx val="4"/>
          <c:order val="4"/>
          <c:tx>
            <c:strRef>
              <c:f>'I&amp;D 累積棒グラフ'!$B$65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累積棒グラフ'!$C$65:$R$65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04-4C2A-AF01-9F6E72724747}"/>
            </c:ext>
          </c:extLst>
        </c:ser>
        <c:ser>
          <c:idx val="5"/>
          <c:order val="5"/>
          <c:tx>
            <c:strRef>
              <c:f>'I&amp;D 累積棒グラフ'!$B$66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累積棒グラフ'!$C$66:$R$66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404-4C2A-AF01-9F6E72724747}"/>
            </c:ext>
          </c:extLst>
        </c:ser>
        <c:ser>
          <c:idx val="6"/>
          <c:order val="6"/>
          <c:tx>
            <c:strRef>
              <c:f>'I&amp;D 累積棒グラフ'!$B$67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累積棒グラフ'!$C$67:$R$67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404-4C2A-AF01-9F6E72724747}"/>
            </c:ext>
          </c:extLst>
        </c:ser>
        <c:ser>
          <c:idx val="7"/>
          <c:order val="7"/>
          <c:tx>
            <c:strRef>
              <c:f>'I&amp;D 累積棒グラフ'!$B$68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累積棒グラフ'!$C$68:$R$68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4-44D5-8065-1F2696DBE5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累積棒グラフ'!$C$95:$R$95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95-4084-8CFB-BD7467B7B065}"/>
            </c:ext>
          </c:extLst>
        </c:ser>
        <c:ser>
          <c:idx val="1"/>
          <c:order val="1"/>
          <c:tx>
            <c:strRef>
              <c:f>'I&amp;D 累積棒グラフ'!$B$96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累積棒グラフ'!$C$96:$R$96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95-4084-8CFB-BD7467B7B065}"/>
            </c:ext>
          </c:extLst>
        </c:ser>
        <c:ser>
          <c:idx val="2"/>
          <c:order val="2"/>
          <c:tx>
            <c:strRef>
              <c:f>'I&amp;D 累積棒グラフ'!$B$97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累積棒グラフ'!$C$97:$R$97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95-4084-8CFB-BD7467B7B065}"/>
            </c:ext>
          </c:extLst>
        </c:ser>
        <c:ser>
          <c:idx val="3"/>
          <c:order val="3"/>
          <c:tx>
            <c:strRef>
              <c:f>'I&amp;D 累積棒グラフ'!$B$98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累積棒グラフ'!$C$98:$R$98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95-4084-8CFB-BD7467B7B065}"/>
            </c:ext>
          </c:extLst>
        </c:ser>
        <c:ser>
          <c:idx val="4"/>
          <c:order val="4"/>
          <c:tx>
            <c:strRef>
              <c:f>'I&amp;D 累積棒グラフ'!$B$99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累積棒グラフ'!$C$99:$R$99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95-4084-8CFB-BD7467B7B065}"/>
            </c:ext>
          </c:extLst>
        </c:ser>
        <c:ser>
          <c:idx val="5"/>
          <c:order val="5"/>
          <c:tx>
            <c:strRef>
              <c:f>'I&amp;D 累積棒グラフ'!$B$100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95-4084-8CFB-BD7467B7B065}"/>
            </c:ext>
          </c:extLst>
        </c:ser>
        <c:ser>
          <c:idx val="6"/>
          <c:order val="6"/>
          <c:tx>
            <c:strRef>
              <c:f>'I&amp;D 累積棒グラフ'!$B$101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累積棒グラフ'!$C$101:$R$101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A95-4084-8CFB-BD7467B7B065}"/>
            </c:ext>
          </c:extLst>
        </c:ser>
        <c:ser>
          <c:idx val="7"/>
          <c:order val="7"/>
          <c:tx>
            <c:strRef>
              <c:f>'I&amp;D 累積棒グラフ'!$B$102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累積棒グラフ'!$C$102:$R$102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6A-4652-999C-7433DCC8CF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累積棒グラフ'!$B$129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累積棒グラフ'!$C$129:$R$129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03-4BFE-B3D5-F3B5A35C895A}"/>
            </c:ext>
          </c:extLst>
        </c:ser>
        <c:ser>
          <c:idx val="1"/>
          <c:order val="1"/>
          <c:tx>
            <c:strRef>
              <c:f>'I&amp;D 累積棒グラフ'!$B$130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累積棒グラフ'!$C$130:$R$130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03-4BFE-B3D5-F3B5A35C895A}"/>
            </c:ext>
          </c:extLst>
        </c:ser>
        <c:ser>
          <c:idx val="2"/>
          <c:order val="2"/>
          <c:tx>
            <c:strRef>
              <c:f>'I&amp;D 累積棒グラフ'!$B$131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累積棒グラフ'!$C$131:$R$131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503-4BFE-B3D5-F3B5A35C895A}"/>
            </c:ext>
          </c:extLst>
        </c:ser>
        <c:ser>
          <c:idx val="3"/>
          <c:order val="3"/>
          <c:tx>
            <c:strRef>
              <c:f>'I&amp;D 累積棒グラフ'!$B$132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累積棒グラフ'!$C$132:$R$132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503-4BFE-B3D5-F3B5A35C895A}"/>
            </c:ext>
          </c:extLst>
        </c:ser>
        <c:ser>
          <c:idx val="4"/>
          <c:order val="4"/>
          <c:tx>
            <c:strRef>
              <c:f>'I&amp;D 累積棒グラフ'!$B$133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累積棒グラフ'!$C$133:$R$133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503-4BFE-B3D5-F3B5A35C895A}"/>
            </c:ext>
          </c:extLst>
        </c:ser>
        <c:ser>
          <c:idx val="5"/>
          <c:order val="5"/>
          <c:tx>
            <c:strRef>
              <c:f>'I&amp;D 累積棒グラフ'!$B$134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累積棒グラフ'!$C$134:$R$134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503-4BFE-B3D5-F3B5A35C895A}"/>
            </c:ext>
          </c:extLst>
        </c:ser>
        <c:ser>
          <c:idx val="6"/>
          <c:order val="6"/>
          <c:tx>
            <c:strRef>
              <c:f>'I&amp;D 累積棒グラフ'!$B$135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累積棒グラフ'!$C$135:$R$135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503-4BFE-B3D5-F3B5A35C895A}"/>
            </c:ext>
          </c:extLst>
        </c:ser>
        <c:ser>
          <c:idx val="7"/>
          <c:order val="7"/>
          <c:tx>
            <c:strRef>
              <c:f>'I&amp;D 累積棒グラフ'!$B$136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累積棒グラフ'!$C$136:$R$136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B3-45F9-A32A-D9E7FCF60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累積棒グラフ'!$B$163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累積棒グラフ'!$C$163:$R$163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D7-4A2C-B94E-CF13FD0EA93B}"/>
            </c:ext>
          </c:extLst>
        </c:ser>
        <c:ser>
          <c:idx val="1"/>
          <c:order val="1"/>
          <c:tx>
            <c:strRef>
              <c:f>'I&amp;D 累積棒グラフ'!$B$164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累積棒グラフ'!$C$164:$R$164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D7-4A2C-B94E-CF13FD0EA93B}"/>
            </c:ext>
          </c:extLst>
        </c:ser>
        <c:ser>
          <c:idx val="2"/>
          <c:order val="2"/>
          <c:tx>
            <c:strRef>
              <c:f>'I&amp;D 累積棒グラフ'!$B$165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累積棒グラフ'!$C$165:$R$165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D7-4A2C-B94E-CF13FD0EA93B}"/>
            </c:ext>
          </c:extLst>
        </c:ser>
        <c:ser>
          <c:idx val="3"/>
          <c:order val="3"/>
          <c:tx>
            <c:strRef>
              <c:f>'I&amp;D 累積棒グラフ'!$B$166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累積棒グラフ'!$C$166:$R$166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D7-4A2C-B94E-CF13FD0EA93B}"/>
            </c:ext>
          </c:extLst>
        </c:ser>
        <c:ser>
          <c:idx val="4"/>
          <c:order val="4"/>
          <c:tx>
            <c:strRef>
              <c:f>'I&amp;D 累積棒グラフ'!$B$167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累積棒グラフ'!$C$167:$R$167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D7-4A2C-B94E-CF13FD0EA93B}"/>
            </c:ext>
          </c:extLst>
        </c:ser>
        <c:ser>
          <c:idx val="5"/>
          <c:order val="5"/>
          <c:tx>
            <c:strRef>
              <c:f>'I&amp;D 累積棒グラフ'!$B$168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累積棒グラフ'!$C$168:$R$168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AD7-4A2C-B94E-CF13FD0EA93B}"/>
            </c:ext>
          </c:extLst>
        </c:ser>
        <c:ser>
          <c:idx val="6"/>
          <c:order val="6"/>
          <c:tx>
            <c:strRef>
              <c:f>'I&amp;D 累積棒グラフ'!$B$169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累積棒グラフ'!$C$169:$R$169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AD7-4A2C-B94E-CF13FD0EA93B}"/>
            </c:ext>
          </c:extLst>
        </c:ser>
        <c:ser>
          <c:idx val="7"/>
          <c:order val="7"/>
          <c:tx>
            <c:strRef>
              <c:f>'I&amp;D 累積棒グラフ'!$B$170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'I&amp;D 累積棒グラフ'!$C$162:$R$162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'I&amp;D 累積棒グラフ'!$C$170:$R$170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F-494E-8A0D-0A31A6B7F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人事異動累積棒グラフ!$B$28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人事異動累積棒グラフ!$C$28:$R$28</c:f>
              <c:numCache>
                <c:formatCode>General</c:formatCode>
                <c:ptCount val="16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55-42BC-B232-ECCEF33631C2}"/>
            </c:ext>
          </c:extLst>
        </c:ser>
        <c:ser>
          <c:idx val="1"/>
          <c:order val="1"/>
          <c:tx>
            <c:strRef>
              <c:f>人事異動累積棒グラフ!$B$29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人事異動累積棒グラフ!$C$29:$R$29</c:f>
              <c:numCache>
                <c:formatCode>General</c:formatCode>
                <c:ptCount val="16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55-42BC-B232-ECCEF33631C2}"/>
            </c:ext>
          </c:extLst>
        </c:ser>
        <c:ser>
          <c:idx val="2"/>
          <c:order val="2"/>
          <c:tx>
            <c:strRef>
              <c:f>人事異動累積棒グラフ!$B$30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人事異動累積棒グラフ!$C$30:$R$30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55-42BC-B232-ECCEF33631C2}"/>
            </c:ext>
          </c:extLst>
        </c:ser>
        <c:ser>
          <c:idx val="3"/>
          <c:order val="3"/>
          <c:tx>
            <c:strRef>
              <c:f>人事異動累積棒グラフ!$B$31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人事異動累積棒グラフ!$C$31:$R$31</c:f>
              <c:numCache>
                <c:formatCode>General</c:formatCode>
                <c:ptCount val="16"/>
                <c:pt idx="0">
                  <c:v>0</c:v>
                </c:pt>
                <c:pt idx="1">
                  <c:v>5</c:v>
                </c:pt>
                <c:pt idx="2">
                  <c:v>2</c:v>
                </c:pt>
                <c:pt idx="3">
                  <c:v>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55-42BC-B232-ECCEF33631C2}"/>
            </c:ext>
          </c:extLst>
        </c:ser>
        <c:ser>
          <c:idx val="4"/>
          <c:order val="4"/>
          <c:tx>
            <c:strRef>
              <c:f>人事異動累積棒グラフ!$B$32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人事異動累積棒グラフ!$C$32:$R$32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55-42BC-B232-ECCEF33631C2}"/>
            </c:ext>
          </c:extLst>
        </c:ser>
        <c:ser>
          <c:idx val="5"/>
          <c:order val="5"/>
          <c:tx>
            <c:strRef>
              <c:f>人事異動累積棒グラフ!$B$33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人事異動累積棒グラフ!$C$33:$R$33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55-42BC-B232-ECCEF33631C2}"/>
            </c:ext>
          </c:extLst>
        </c:ser>
        <c:ser>
          <c:idx val="6"/>
          <c:order val="6"/>
          <c:tx>
            <c:strRef>
              <c:f>人事異動累積棒グラフ!$B$34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人事異動累積棒グラフ!$C$34:$R$34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55-42BC-B232-ECCEF33631C2}"/>
            </c:ext>
          </c:extLst>
        </c:ser>
        <c:ser>
          <c:idx val="7"/>
          <c:order val="7"/>
          <c:tx>
            <c:strRef>
              <c:f>人事異動累積棒グラフ!$B$35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人事異動累積棒グラフ!$C$35:$R$35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55-42BC-B232-ECCEF33631C2}"/>
            </c:ext>
          </c:extLst>
        </c:ser>
        <c:ser>
          <c:idx val="8"/>
          <c:order val="8"/>
          <c:tx>
            <c:strRef>
              <c:f>人事異動累積棒グラフ!$B$36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人事異動累積棒グラフ!$C$36:$R$36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55-42BC-B232-ECCEF33631C2}"/>
            </c:ext>
          </c:extLst>
        </c:ser>
        <c:ser>
          <c:idx val="9"/>
          <c:order val="9"/>
          <c:tx>
            <c:strRef>
              <c:f>人事異動累積棒グラフ!$B$37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人事異動累積棒グラフ!$C$37:$R$37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C5-412E-AA9E-446D1A05921D}"/>
            </c:ext>
          </c:extLst>
        </c:ser>
        <c:ser>
          <c:idx val="10"/>
          <c:order val="10"/>
          <c:tx>
            <c:strRef>
              <c:f>人事異動累積棒グラフ!$B$38</c:f>
              <c:strCache>
                <c:ptCount val="1"/>
                <c:pt idx="0">
                  <c:v>安齋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人事異動累積棒グラフ!$C$38:$R$38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9-4622-BA68-446C757E2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人事異動累積棒グラフ!$B$61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人事異動累積棒グラフ!$C$61:$R$61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90-402D-827E-674CD1BFC2CB}"/>
            </c:ext>
          </c:extLst>
        </c:ser>
        <c:ser>
          <c:idx val="1"/>
          <c:order val="1"/>
          <c:tx>
            <c:strRef>
              <c:f>人事異動累積棒グラフ!$B$62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人事異動累積棒グラフ!$C$62:$R$62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90-402D-827E-674CD1BFC2CB}"/>
            </c:ext>
          </c:extLst>
        </c:ser>
        <c:ser>
          <c:idx val="2"/>
          <c:order val="2"/>
          <c:tx>
            <c:strRef>
              <c:f>人事異動累積棒グラフ!$B$63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人事異動累積棒グラフ!$C$63:$R$63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990-402D-827E-674CD1BFC2CB}"/>
            </c:ext>
          </c:extLst>
        </c:ser>
        <c:ser>
          <c:idx val="3"/>
          <c:order val="3"/>
          <c:tx>
            <c:strRef>
              <c:f>人事異動累積棒グラフ!$B$64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人事異動累積棒グラフ!$C$64:$R$64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990-402D-827E-674CD1BFC2CB}"/>
            </c:ext>
          </c:extLst>
        </c:ser>
        <c:ser>
          <c:idx val="4"/>
          <c:order val="4"/>
          <c:tx>
            <c:strRef>
              <c:f>人事異動累積棒グラフ!$B$65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人事異動累積棒グラフ!$C$65:$R$65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990-402D-827E-674CD1BFC2CB}"/>
            </c:ext>
          </c:extLst>
        </c:ser>
        <c:ser>
          <c:idx val="5"/>
          <c:order val="5"/>
          <c:tx>
            <c:strRef>
              <c:f>人事異動累積棒グラフ!$B$66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人事異動累積棒グラフ!$C$66:$R$66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990-402D-827E-674CD1BFC2CB}"/>
            </c:ext>
          </c:extLst>
        </c:ser>
        <c:ser>
          <c:idx val="6"/>
          <c:order val="6"/>
          <c:tx>
            <c:strRef>
              <c:f>人事異動累積棒グラフ!$B$67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人事異動累積棒グラフ!$C$67:$R$67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990-402D-827E-674CD1BFC2CB}"/>
            </c:ext>
          </c:extLst>
        </c:ser>
        <c:ser>
          <c:idx val="7"/>
          <c:order val="7"/>
          <c:tx>
            <c:strRef>
              <c:f>人事異動累積棒グラフ!$B$68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人事異動累積棒グラフ!$C$68:$R$68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990-402D-827E-674CD1BFC2CB}"/>
            </c:ext>
          </c:extLst>
        </c:ser>
        <c:ser>
          <c:idx val="8"/>
          <c:order val="8"/>
          <c:tx>
            <c:strRef>
              <c:f>人事異動累積棒グラフ!$B$69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人事異動累積棒グラフ!$C$69:$R$69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990-402D-827E-674CD1BFC2CB}"/>
            </c:ext>
          </c:extLst>
        </c:ser>
        <c:ser>
          <c:idx val="9"/>
          <c:order val="9"/>
          <c:tx>
            <c:strRef>
              <c:f>人事異動累積棒グラフ!$B$70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人事異動累積棒グラフ!$C$70:$R$70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D7-4BA2-AABD-274320E220CE}"/>
            </c:ext>
          </c:extLst>
        </c:ser>
        <c:ser>
          <c:idx val="10"/>
          <c:order val="10"/>
          <c:tx>
            <c:strRef>
              <c:f>人事異動累積棒グラフ!$B$71</c:f>
              <c:strCache>
                <c:ptCount val="1"/>
                <c:pt idx="0">
                  <c:v>安齋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人事異動累積棒グラフ!$C$71:$R$71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5-428B-8366-BC0F993A3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人事異動累積棒グラフ!$B$95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人事異動累積棒グラフ!$C$95:$R$95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09-4F07-85E0-95C7F27C8311}"/>
            </c:ext>
          </c:extLst>
        </c:ser>
        <c:ser>
          <c:idx val="1"/>
          <c:order val="1"/>
          <c:tx>
            <c:strRef>
              <c:f>人事異動累積棒グラフ!$B$96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人事異動累積棒グラフ!$C$96:$R$96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109-4F07-85E0-95C7F27C8311}"/>
            </c:ext>
          </c:extLst>
        </c:ser>
        <c:ser>
          <c:idx val="2"/>
          <c:order val="2"/>
          <c:tx>
            <c:strRef>
              <c:f>人事異動累積棒グラフ!$B$97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人事異動累積棒グラフ!$C$97:$R$97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109-4F07-85E0-95C7F27C8311}"/>
            </c:ext>
          </c:extLst>
        </c:ser>
        <c:ser>
          <c:idx val="3"/>
          <c:order val="3"/>
          <c:tx>
            <c:strRef>
              <c:f>人事異動累積棒グラフ!$B$98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人事異動累積棒グラフ!$C$98:$R$98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109-4F07-85E0-95C7F27C8311}"/>
            </c:ext>
          </c:extLst>
        </c:ser>
        <c:ser>
          <c:idx val="4"/>
          <c:order val="4"/>
          <c:tx>
            <c:strRef>
              <c:f>人事異動累積棒グラフ!$B$99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人事異動累積棒グラフ!$C$99:$R$99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109-4F07-85E0-95C7F27C8311}"/>
            </c:ext>
          </c:extLst>
        </c:ser>
        <c:ser>
          <c:idx val="5"/>
          <c:order val="5"/>
          <c:tx>
            <c:strRef>
              <c:f>人事異動累積棒グラフ!$B$100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人事異動累積棒グラフ!$C$100:$R$100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109-4F07-85E0-95C7F27C8311}"/>
            </c:ext>
          </c:extLst>
        </c:ser>
        <c:ser>
          <c:idx val="6"/>
          <c:order val="6"/>
          <c:tx>
            <c:strRef>
              <c:f>人事異動累積棒グラフ!$B$101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人事異動累積棒グラフ!$C$101:$R$101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109-4F07-85E0-95C7F27C8311}"/>
            </c:ext>
          </c:extLst>
        </c:ser>
        <c:ser>
          <c:idx val="7"/>
          <c:order val="7"/>
          <c:tx>
            <c:strRef>
              <c:f>人事異動累積棒グラフ!$B$102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人事異動累積棒グラフ!$C$102:$R$102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109-4F07-85E0-95C7F27C8311}"/>
            </c:ext>
          </c:extLst>
        </c:ser>
        <c:ser>
          <c:idx val="8"/>
          <c:order val="8"/>
          <c:tx>
            <c:strRef>
              <c:f>人事異動累積棒グラフ!$B$103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人事異動累積棒グラフ!$C$103:$R$103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109-4F07-85E0-95C7F27C8311}"/>
            </c:ext>
          </c:extLst>
        </c:ser>
        <c:ser>
          <c:idx val="9"/>
          <c:order val="9"/>
          <c:tx>
            <c:strRef>
              <c:f>人事異動累積棒グラフ!$B$104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人事異動累積棒グラフ!$C$104:$R$104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3F-4719-8051-628896B6F7D0}"/>
            </c:ext>
          </c:extLst>
        </c:ser>
        <c:ser>
          <c:idx val="10"/>
          <c:order val="10"/>
          <c:tx>
            <c:strRef>
              <c:f>人事異動累積棒グラフ!$B$105</c:f>
              <c:strCache>
                <c:ptCount val="1"/>
                <c:pt idx="0">
                  <c:v>安齋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人事異動累積棒グラフ!$C$105:$R$105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48-444E-B446-D26DCB54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人事異動累積棒グラフ!$B$129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人事異動累積棒グラフ!$C$129:$R$129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1B-4C35-9535-C4D88A1C0BA2}"/>
            </c:ext>
          </c:extLst>
        </c:ser>
        <c:ser>
          <c:idx val="1"/>
          <c:order val="1"/>
          <c:tx>
            <c:strRef>
              <c:f>人事異動累積棒グラフ!$B$130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人事異動累積棒グラフ!$C$130:$R$130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1B-4C35-9535-C4D88A1C0BA2}"/>
            </c:ext>
          </c:extLst>
        </c:ser>
        <c:ser>
          <c:idx val="2"/>
          <c:order val="2"/>
          <c:tx>
            <c:strRef>
              <c:f>人事異動累積棒グラフ!$B$131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人事異動累積棒グラフ!$C$131:$R$131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1B-4C35-9535-C4D88A1C0BA2}"/>
            </c:ext>
          </c:extLst>
        </c:ser>
        <c:ser>
          <c:idx val="3"/>
          <c:order val="3"/>
          <c:tx>
            <c:strRef>
              <c:f>人事異動累積棒グラフ!$B$132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人事異動累積棒グラフ!$C$132:$R$132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1B-4C35-9535-C4D88A1C0BA2}"/>
            </c:ext>
          </c:extLst>
        </c:ser>
        <c:ser>
          <c:idx val="4"/>
          <c:order val="4"/>
          <c:tx>
            <c:strRef>
              <c:f>人事異動累積棒グラフ!$B$133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人事異動累積棒グラフ!$C$133:$R$133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1B-4C35-9535-C4D88A1C0BA2}"/>
            </c:ext>
          </c:extLst>
        </c:ser>
        <c:ser>
          <c:idx val="5"/>
          <c:order val="5"/>
          <c:tx>
            <c:strRef>
              <c:f>人事異動累積棒グラフ!$B$134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人事異動累積棒グラフ!$C$134:$R$134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1B-4C35-9535-C4D88A1C0BA2}"/>
            </c:ext>
          </c:extLst>
        </c:ser>
        <c:ser>
          <c:idx val="6"/>
          <c:order val="6"/>
          <c:tx>
            <c:strRef>
              <c:f>人事異動累積棒グラフ!$B$135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人事異動累積棒グラフ!$C$135:$R$135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C1B-4C35-9535-C4D88A1C0BA2}"/>
            </c:ext>
          </c:extLst>
        </c:ser>
        <c:ser>
          <c:idx val="7"/>
          <c:order val="7"/>
          <c:tx>
            <c:strRef>
              <c:f>人事異動累積棒グラフ!$B$136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人事異動累積棒グラフ!$C$136:$R$136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C1B-4C35-9535-C4D88A1C0BA2}"/>
            </c:ext>
          </c:extLst>
        </c:ser>
        <c:ser>
          <c:idx val="8"/>
          <c:order val="8"/>
          <c:tx>
            <c:strRef>
              <c:f>人事異動累積棒グラフ!$B$137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人事異動累積棒グラフ!$C$137:$R$137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C1B-4C35-9535-C4D88A1C0BA2}"/>
            </c:ext>
          </c:extLst>
        </c:ser>
        <c:ser>
          <c:idx val="9"/>
          <c:order val="9"/>
          <c:tx>
            <c:strRef>
              <c:f>人事異動累積棒グラフ!$B$138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人事異動累積棒グラフ!$C$138:$R$138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A-43F9-8818-8AE121318001}"/>
            </c:ext>
          </c:extLst>
        </c:ser>
        <c:ser>
          <c:idx val="10"/>
          <c:order val="10"/>
          <c:tx>
            <c:strRef>
              <c:f>人事異動累積棒グラフ!$B$139</c:f>
              <c:strCache>
                <c:ptCount val="1"/>
                <c:pt idx="0">
                  <c:v>安齋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人事異動累積棒グラフ!$C$139:$R$139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3D-416B-85DB-4673FFC54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人事異動累積棒グラフ!$B$163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人事異動累積棒グラフ!$C$163:$R$163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1D-4498-B697-C5D84AB0C77E}"/>
            </c:ext>
          </c:extLst>
        </c:ser>
        <c:ser>
          <c:idx val="1"/>
          <c:order val="1"/>
          <c:tx>
            <c:strRef>
              <c:f>人事異動累積棒グラフ!$B$164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人事異動累積棒グラフ!$C$164:$R$164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1D-4498-B697-C5D84AB0C77E}"/>
            </c:ext>
          </c:extLst>
        </c:ser>
        <c:ser>
          <c:idx val="2"/>
          <c:order val="2"/>
          <c:tx>
            <c:strRef>
              <c:f>人事異動累積棒グラフ!$B$165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人事異動累積棒グラフ!$C$165:$R$165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1D-4498-B697-C5D84AB0C77E}"/>
            </c:ext>
          </c:extLst>
        </c:ser>
        <c:ser>
          <c:idx val="3"/>
          <c:order val="3"/>
          <c:tx>
            <c:strRef>
              <c:f>人事異動累積棒グラフ!$B$166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人事異動累積棒グラフ!$C$166:$R$166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B1D-4498-B697-C5D84AB0C77E}"/>
            </c:ext>
          </c:extLst>
        </c:ser>
        <c:ser>
          <c:idx val="4"/>
          <c:order val="4"/>
          <c:tx>
            <c:strRef>
              <c:f>人事異動累積棒グラフ!$B$167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人事異動累積棒グラフ!$C$167:$R$167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B1D-4498-B697-C5D84AB0C77E}"/>
            </c:ext>
          </c:extLst>
        </c:ser>
        <c:ser>
          <c:idx val="5"/>
          <c:order val="5"/>
          <c:tx>
            <c:strRef>
              <c:f>人事異動累積棒グラフ!$B$168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人事異動累積棒グラフ!$C$168:$R$168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B1D-4498-B697-C5D84AB0C77E}"/>
            </c:ext>
          </c:extLst>
        </c:ser>
        <c:ser>
          <c:idx val="6"/>
          <c:order val="6"/>
          <c:tx>
            <c:strRef>
              <c:f>人事異動累積棒グラフ!$B$169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人事異動累積棒グラフ!$C$169:$R$169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B1D-4498-B697-C5D84AB0C77E}"/>
            </c:ext>
          </c:extLst>
        </c:ser>
        <c:ser>
          <c:idx val="7"/>
          <c:order val="7"/>
          <c:tx>
            <c:strRef>
              <c:f>人事異動累積棒グラフ!$B$170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人事異動累積棒グラフ!$C$170:$R$170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B1D-4498-B697-C5D84AB0C77E}"/>
            </c:ext>
          </c:extLst>
        </c:ser>
        <c:ser>
          <c:idx val="8"/>
          <c:order val="8"/>
          <c:tx>
            <c:strRef>
              <c:f>人事異動累積棒グラフ!$B$171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人事異動累積棒グラフ!$C$171:$R$171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1D-4498-B697-C5D84AB0C77E}"/>
            </c:ext>
          </c:extLst>
        </c:ser>
        <c:ser>
          <c:idx val="9"/>
          <c:order val="9"/>
          <c:tx>
            <c:strRef>
              <c:f>人事異動累積棒グラフ!$B$172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人事異動累積棒グラフ!$C$172:$R$172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DA-4735-BB8E-54BAB97C111C}"/>
            </c:ext>
          </c:extLst>
        </c:ser>
        <c:ser>
          <c:idx val="10"/>
          <c:order val="10"/>
          <c:tx>
            <c:strRef>
              <c:f>人事異動累積棒グラフ!$B$173</c:f>
              <c:strCache>
                <c:ptCount val="1"/>
                <c:pt idx="0">
                  <c:v>安齋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人事異動累積棒グラフ!$C$162:$R$162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人事異動累積棒グラフ!$C$173:$R$173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7B-4F52-A0E4-6F7FC90A62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サーバールーム累積件数グラフ!$C$27:$O$27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サーバールーム累積件数グラフ!$C$28:$O$28</c:f>
              <c:numCache>
                <c:formatCode>General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5-426D-9EC5-0DCA92C96A98}"/>
            </c:ext>
          </c:extLst>
        </c:ser>
        <c:ser>
          <c:idx val="1"/>
          <c:order val="1"/>
          <c:tx>
            <c:strRef>
              <c:f>サーバールーム累積件数グラフ!$B$29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サーバールーム累積件数グラフ!$C$27:$O$27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サーバールーム累積件数グラフ!$C$29:$O$29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C5-426D-9EC5-0DCA92C96A98}"/>
            </c:ext>
          </c:extLst>
        </c:ser>
        <c:ser>
          <c:idx val="2"/>
          <c:order val="2"/>
          <c:tx>
            <c:strRef>
              <c:f>サーバールーム累積件数グラフ!$B$30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サーバールーム累積件数グラフ!$C$27:$O$27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サーバールーム累積件数グラフ!$C$30:$O$30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C5-426D-9EC5-0DCA92C96A98}"/>
            </c:ext>
          </c:extLst>
        </c:ser>
        <c:ser>
          <c:idx val="3"/>
          <c:order val="3"/>
          <c:tx>
            <c:strRef>
              <c:f>サーバールーム累積件数グラフ!$B$31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サーバールーム累積件数グラフ!$C$27:$O$27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サーバールーム累積件数グラフ!$C$31:$O$31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C5-426D-9EC5-0DCA92C96A98}"/>
            </c:ext>
          </c:extLst>
        </c:ser>
        <c:ser>
          <c:idx val="4"/>
          <c:order val="4"/>
          <c:tx>
            <c:strRef>
              <c:f>サーバールーム累積件数グラフ!$B$32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サーバールーム累積件数グラフ!$C$27:$O$27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サーバールーム累積件数グラフ!$C$32:$O$32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C5-426D-9EC5-0DCA92C96A98}"/>
            </c:ext>
          </c:extLst>
        </c:ser>
        <c:ser>
          <c:idx val="5"/>
          <c:order val="5"/>
          <c:tx>
            <c:strRef>
              <c:f>サーバールーム累積件数グラフ!$B$33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サーバールーム累積件数グラフ!$C$27:$O$27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サーバールーム累積件数グラフ!$C$33:$O$33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C5-426D-9EC5-0DCA92C96A98}"/>
            </c:ext>
          </c:extLst>
        </c:ser>
        <c:ser>
          <c:idx val="6"/>
          <c:order val="6"/>
          <c:tx>
            <c:strRef>
              <c:f>サーバールーム累積件数グラフ!$B$34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サーバールーム累積件数グラフ!$C$27:$O$27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サーバールーム累積件数グラフ!$C$34:$O$34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C5-426D-9EC5-0DCA92C96A98}"/>
            </c:ext>
          </c:extLst>
        </c:ser>
        <c:ser>
          <c:idx val="7"/>
          <c:order val="7"/>
          <c:tx>
            <c:strRef>
              <c:f>サーバールーム累積件数グラフ!$B$35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サーバールーム累積件数グラフ!$C$27:$O$27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サーバールーム累積件数グラフ!$C$35:$O$35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34C0-4A29-A55B-14E7E33FD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サーバールーム累積件数グラフ!$B$59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サーバールーム累積件数グラフ!$C$58:$O$58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サーバールーム累積件数グラフ!$C$59:$O$59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7-486E-A36A-A9394D145730}"/>
            </c:ext>
          </c:extLst>
        </c:ser>
        <c:ser>
          <c:idx val="1"/>
          <c:order val="1"/>
          <c:tx>
            <c:strRef>
              <c:f>サーバールーム累積件数グラフ!$B$60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サーバールーム累積件数グラフ!$C$58:$O$58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サーバールーム累積件数グラフ!$C$60:$O$60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E7-486E-A36A-A9394D145730}"/>
            </c:ext>
          </c:extLst>
        </c:ser>
        <c:ser>
          <c:idx val="2"/>
          <c:order val="2"/>
          <c:tx>
            <c:strRef>
              <c:f>サーバールーム累積件数グラフ!$B$61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サーバールーム累積件数グラフ!$C$58:$O$58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サーバールーム累積件数グラフ!$C$61:$O$61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E7-486E-A36A-A9394D145730}"/>
            </c:ext>
          </c:extLst>
        </c:ser>
        <c:ser>
          <c:idx val="3"/>
          <c:order val="3"/>
          <c:tx>
            <c:strRef>
              <c:f>サーバールーム累積件数グラフ!$B$62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サーバールーム累積件数グラフ!$C$58:$O$58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サーバールーム累積件数グラフ!$C$62:$O$62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E7-486E-A36A-A9394D145730}"/>
            </c:ext>
          </c:extLst>
        </c:ser>
        <c:ser>
          <c:idx val="4"/>
          <c:order val="4"/>
          <c:tx>
            <c:strRef>
              <c:f>サーバールーム累積件数グラフ!$B$63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サーバールーム累積件数グラフ!$C$58:$O$58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サーバールーム累積件数グラフ!$C$63:$O$63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E7-486E-A36A-A9394D145730}"/>
            </c:ext>
          </c:extLst>
        </c:ser>
        <c:ser>
          <c:idx val="5"/>
          <c:order val="5"/>
          <c:tx>
            <c:strRef>
              <c:f>サーバールーム累積件数グラフ!$B$64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サーバールーム累積件数グラフ!$C$58:$O$58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サーバールーム累積件数グラフ!$C$64:$O$64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E7-486E-A36A-A9394D145730}"/>
            </c:ext>
          </c:extLst>
        </c:ser>
        <c:ser>
          <c:idx val="6"/>
          <c:order val="6"/>
          <c:tx>
            <c:strRef>
              <c:f>サーバールーム累積件数グラフ!$B$65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サーバールーム累積件数グラフ!$C$58:$O$58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サーバールーム累積件数グラフ!$C$65:$O$65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E7-486E-A36A-A9394D145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サーバールーム累積件数グラフ!$B$91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サーバールーム累積件数グラフ!$C$90:$O$90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サーバールーム累積件数グラフ!$C$91:$O$91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F-4DEE-8BA1-10DA7468DD28}"/>
            </c:ext>
          </c:extLst>
        </c:ser>
        <c:ser>
          <c:idx val="1"/>
          <c:order val="1"/>
          <c:tx>
            <c:strRef>
              <c:f>サーバールーム累積件数グラフ!$B$92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サーバールーム累積件数グラフ!$C$90:$O$90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サーバールーム累積件数グラフ!$C$92:$O$92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8F-4DEE-8BA1-10DA7468DD28}"/>
            </c:ext>
          </c:extLst>
        </c:ser>
        <c:ser>
          <c:idx val="2"/>
          <c:order val="2"/>
          <c:tx>
            <c:strRef>
              <c:f>サーバールーム累積件数グラフ!$B$93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サーバールーム累積件数グラフ!$C$90:$O$90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サーバールーム累積件数グラフ!$C$93:$O$93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8F-4DEE-8BA1-10DA7468DD28}"/>
            </c:ext>
          </c:extLst>
        </c:ser>
        <c:ser>
          <c:idx val="3"/>
          <c:order val="3"/>
          <c:tx>
            <c:strRef>
              <c:f>サーバールーム累積件数グラフ!$B$94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サーバールーム累積件数グラフ!$C$90:$O$90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サーバールーム累積件数グラフ!$C$94:$O$94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D8F-4DEE-8BA1-10DA7468DD28}"/>
            </c:ext>
          </c:extLst>
        </c:ser>
        <c:ser>
          <c:idx val="4"/>
          <c:order val="4"/>
          <c:tx>
            <c:strRef>
              <c:f>サーバールーム累積件数グラフ!$B$95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サーバールーム累積件数グラフ!$C$90:$O$90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サーバールーム累積件数グラフ!$C$95:$O$95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D8F-4DEE-8BA1-10DA7468DD28}"/>
            </c:ext>
          </c:extLst>
        </c:ser>
        <c:ser>
          <c:idx val="5"/>
          <c:order val="5"/>
          <c:tx>
            <c:strRef>
              <c:f>サーバールーム累積件数グラフ!$B$96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サーバールーム累積件数グラフ!$C$90:$O$90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サーバールーム累積件数グラフ!$C$96:$O$96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D8F-4DEE-8BA1-10DA7468DD28}"/>
            </c:ext>
          </c:extLst>
        </c:ser>
        <c:ser>
          <c:idx val="6"/>
          <c:order val="6"/>
          <c:tx>
            <c:strRef>
              <c:f>サーバールーム累積件数グラフ!$B$97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サーバールーム累積件数グラフ!$C$90:$O$90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サーバールーム累積件数グラフ!$C$97:$O$97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D8F-4DEE-8BA1-10DA7468DD28}"/>
            </c:ext>
          </c:extLst>
        </c:ser>
        <c:ser>
          <c:idx val="7"/>
          <c:order val="7"/>
          <c:tx>
            <c:strRef>
              <c:f>サーバールーム累積件数グラフ!$B$98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サーバールーム累積件数グラフ!$C$90:$O$90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サーバールーム累積件数グラフ!$C$98:$O$98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60E8-4333-A9C4-92FA30A06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指摘、マニュアル不備グラフ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サーバールーム累積件数グラフ!$B$121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サーバールーム累積件数グラフ!$C$120:$O$120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サーバールーム累積件数グラフ!$C$121:$O$121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FF-4CD0-86AB-5A82C4DE5B89}"/>
            </c:ext>
          </c:extLst>
        </c:ser>
        <c:ser>
          <c:idx val="1"/>
          <c:order val="1"/>
          <c:tx>
            <c:strRef>
              <c:f>サーバールーム累積件数グラフ!$B$122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サーバールーム累積件数グラフ!$C$120:$O$120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サーバールーム累積件数グラフ!$C$122:$O$122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FF-4CD0-86AB-5A82C4DE5B89}"/>
            </c:ext>
          </c:extLst>
        </c:ser>
        <c:ser>
          <c:idx val="2"/>
          <c:order val="2"/>
          <c:tx>
            <c:strRef>
              <c:f>サーバールーム累積件数グラフ!$B$123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サーバールーム累積件数グラフ!$C$120:$O$120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サーバールーム累積件数グラフ!$C$123:$O$123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FF-4CD0-86AB-5A82C4DE5B89}"/>
            </c:ext>
          </c:extLst>
        </c:ser>
        <c:ser>
          <c:idx val="3"/>
          <c:order val="3"/>
          <c:tx>
            <c:strRef>
              <c:f>サーバールーム累積件数グラフ!$B$124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サーバールーム累積件数グラフ!$C$120:$O$120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サーバールーム累積件数グラフ!$C$124:$O$124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CFF-4CD0-86AB-5A82C4DE5B89}"/>
            </c:ext>
          </c:extLst>
        </c:ser>
        <c:ser>
          <c:idx val="4"/>
          <c:order val="4"/>
          <c:tx>
            <c:strRef>
              <c:f>サーバールーム累積件数グラフ!$B$125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サーバールーム累積件数グラフ!$C$120:$O$120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サーバールーム累積件数グラフ!$C$125:$O$125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CFF-4CD0-86AB-5A82C4DE5B89}"/>
            </c:ext>
          </c:extLst>
        </c:ser>
        <c:ser>
          <c:idx val="5"/>
          <c:order val="5"/>
          <c:tx>
            <c:strRef>
              <c:f>サーバールーム累積件数グラフ!$B$126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サーバールーム累積件数グラフ!$C$120:$O$120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サーバールーム累積件数グラフ!$C$126:$O$126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CFF-4CD0-86AB-5A82C4DE5B89}"/>
            </c:ext>
          </c:extLst>
        </c:ser>
        <c:ser>
          <c:idx val="6"/>
          <c:order val="6"/>
          <c:tx>
            <c:strRef>
              <c:f>サーバールーム累積件数グラフ!$B$127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サーバールーム累積件数グラフ!$C$120:$O$120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サーバールーム累積件数グラフ!$C$127:$O$127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FF-4CD0-86AB-5A82C4DE5B89}"/>
            </c:ext>
          </c:extLst>
        </c:ser>
        <c:ser>
          <c:idx val="7"/>
          <c:order val="7"/>
          <c:tx>
            <c:strRef>
              <c:f>サーバールーム累積件数グラフ!$B$128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サーバールーム累積件数グラフ!$C$120:$O$120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サーバールーム累積件数グラフ!$C$128:$O$128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0068-4171-96FC-060C845BA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指摘、その他グラフ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サーバールーム累積件数グラフ!$B$150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サーバールーム累積件数グラフ!$C$149:$O$149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サーバールーム累積件数グラフ!$C$150:$O$150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C-413F-B9BA-AB09032CF7DE}"/>
            </c:ext>
          </c:extLst>
        </c:ser>
        <c:ser>
          <c:idx val="1"/>
          <c:order val="1"/>
          <c:tx>
            <c:strRef>
              <c:f>サーバールーム累積件数グラフ!$B$151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サーバールーム累積件数グラフ!$C$149:$O$149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サーバールーム累積件数グラフ!$C$151:$O$151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FC-413F-B9BA-AB09032CF7DE}"/>
            </c:ext>
          </c:extLst>
        </c:ser>
        <c:ser>
          <c:idx val="2"/>
          <c:order val="2"/>
          <c:tx>
            <c:strRef>
              <c:f>サーバールーム累積件数グラフ!$B$152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サーバールーム累積件数グラフ!$C$149:$O$149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サーバールーム累積件数グラフ!$C$152:$O$152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FFC-413F-B9BA-AB09032CF7DE}"/>
            </c:ext>
          </c:extLst>
        </c:ser>
        <c:ser>
          <c:idx val="3"/>
          <c:order val="3"/>
          <c:tx>
            <c:strRef>
              <c:f>サーバールーム累積件数グラフ!$B$153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サーバールーム累積件数グラフ!$C$149:$O$149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サーバールーム累積件数グラフ!$C$153:$O$153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FFC-413F-B9BA-AB09032CF7DE}"/>
            </c:ext>
          </c:extLst>
        </c:ser>
        <c:ser>
          <c:idx val="4"/>
          <c:order val="4"/>
          <c:tx>
            <c:strRef>
              <c:f>サーバールーム累積件数グラフ!$B$154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サーバールーム累積件数グラフ!$C$149:$O$149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サーバールーム累積件数グラフ!$C$154:$O$154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FFC-413F-B9BA-AB09032CF7DE}"/>
            </c:ext>
          </c:extLst>
        </c:ser>
        <c:ser>
          <c:idx val="5"/>
          <c:order val="5"/>
          <c:tx>
            <c:strRef>
              <c:f>サーバールーム累積件数グラフ!$B$155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サーバールーム累積件数グラフ!$C$149:$O$149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サーバールーム累積件数グラフ!$C$155:$O$155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FFC-413F-B9BA-AB09032CF7DE}"/>
            </c:ext>
          </c:extLst>
        </c:ser>
        <c:ser>
          <c:idx val="6"/>
          <c:order val="6"/>
          <c:tx>
            <c:strRef>
              <c:f>サーバールーム累積件数グラフ!$B$156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サーバールーム累積件数グラフ!$C$149:$O$149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サーバールーム累積件数グラフ!$C$156:$O$156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FFC-413F-B9BA-AB09032CF7DE}"/>
            </c:ext>
          </c:extLst>
        </c:ser>
        <c:ser>
          <c:idx val="7"/>
          <c:order val="7"/>
          <c:tx>
            <c:strRef>
              <c:f>サーバールーム累積件数グラフ!$B$157</c:f>
              <c:strCache>
                <c:ptCount val="1"/>
                <c:pt idx="0">
                  <c:v>稲葉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サーバールーム累積件数グラフ!$C$149:$O$149</c:f>
              <c:numCache>
                <c:formatCode>yyyy"年"m"月"</c:formatCode>
                <c:ptCount val="13"/>
                <c:pt idx="0">
                  <c:v>45352</c:v>
                </c:pt>
                <c:pt idx="1">
                  <c:v>45383</c:v>
                </c:pt>
                <c:pt idx="2">
                  <c:v>45413</c:v>
                </c:pt>
                <c:pt idx="3">
                  <c:v>45444</c:v>
                </c:pt>
                <c:pt idx="4">
                  <c:v>45474</c:v>
                </c:pt>
                <c:pt idx="5">
                  <c:v>45505</c:v>
                </c:pt>
                <c:pt idx="6">
                  <c:v>45536</c:v>
                </c:pt>
                <c:pt idx="7">
                  <c:v>45566</c:v>
                </c:pt>
                <c:pt idx="8">
                  <c:v>45597</c:v>
                </c:pt>
                <c:pt idx="9">
                  <c:v>45627</c:v>
                </c:pt>
                <c:pt idx="10">
                  <c:v>45658</c:v>
                </c:pt>
                <c:pt idx="11">
                  <c:v>45689</c:v>
                </c:pt>
                <c:pt idx="12">
                  <c:v>45717</c:v>
                </c:pt>
              </c:numCache>
            </c:numRef>
          </c:cat>
          <c:val>
            <c:numRef>
              <c:f>サーバールーム累積件数グラフ!$C$157:$O$157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0-F03C-41CF-B123-CBE61364DA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中計決算50社累積件数グラフ!$B$28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中計決算50社累積件数グラフ!$C$28:$P$28</c:f>
              <c:numCache>
                <c:formatCode>General</c:formatCode>
                <c:ptCount val="1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6-4A13-9513-BB9B6AF5CDCD}"/>
            </c:ext>
          </c:extLst>
        </c:ser>
        <c:ser>
          <c:idx val="1"/>
          <c:order val="1"/>
          <c:tx>
            <c:strRef>
              <c:f>中計決算50社累積件数グラフ!$B$29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中計決算50社累積件数グラフ!$C$29:$P$29</c:f>
              <c:numCache>
                <c:formatCode>General</c:formatCode>
                <c:ptCount val="1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06-4A13-9513-BB9B6AF5CDCD}"/>
            </c:ext>
          </c:extLst>
        </c:ser>
        <c:ser>
          <c:idx val="2"/>
          <c:order val="2"/>
          <c:tx>
            <c:strRef>
              <c:f>中計決算50社累積件数グラフ!$B$30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中計決算50社累積件数グラフ!$C$30:$P$30</c:f>
              <c:numCache>
                <c:formatCode>General</c:formatCode>
                <c:ptCount val="1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6-4A13-9513-BB9B6AF5CDCD}"/>
            </c:ext>
          </c:extLst>
        </c:ser>
        <c:ser>
          <c:idx val="3"/>
          <c:order val="3"/>
          <c:tx>
            <c:strRef>
              <c:f>中計決算50社累積件数グラフ!$B$31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中計決算50社累積件数グラフ!$C$31:$P$31</c:f>
              <c:numCache>
                <c:formatCode>General</c:formatCode>
                <c:ptCount val="1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06-4A13-9513-BB9B6AF5CDCD}"/>
            </c:ext>
          </c:extLst>
        </c:ser>
        <c:ser>
          <c:idx val="4"/>
          <c:order val="4"/>
          <c:tx>
            <c:strRef>
              <c:f>中計決算50社累積件数グラフ!$B$32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中計決算50社累積件数グラフ!$C$32:$P$32</c:f>
              <c:numCache>
                <c:formatCode>General</c:formatCode>
                <c:ptCount val="1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06-4A13-9513-BB9B6AF5CDCD}"/>
            </c:ext>
          </c:extLst>
        </c:ser>
        <c:ser>
          <c:idx val="5"/>
          <c:order val="5"/>
          <c:tx>
            <c:strRef>
              <c:f>中計決算50社累積件数グラフ!$B$33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中計決算50社累積件数グラフ!$C$33:$P$33</c:f>
              <c:numCache>
                <c:formatCode>General</c:formatCode>
                <c:ptCount val="1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06-4A13-9513-BB9B6AF5CDCD}"/>
            </c:ext>
          </c:extLst>
        </c:ser>
        <c:ser>
          <c:idx val="6"/>
          <c:order val="6"/>
          <c:tx>
            <c:strRef>
              <c:f>中計決算50社累積件数グラフ!$B$34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中計決算50社累積件数グラフ!$C$34:$P$34</c:f>
              <c:numCache>
                <c:formatCode>General</c:formatCode>
                <c:ptCount val="1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06-4A13-9513-BB9B6AF5CDCD}"/>
            </c:ext>
          </c:extLst>
        </c:ser>
        <c:ser>
          <c:idx val="7"/>
          <c:order val="7"/>
          <c:tx>
            <c:strRef>
              <c:f>中計決算50社累積件数グラフ!$B$35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中計決算50社累積件数グラフ!$C$35:$P$35</c:f>
              <c:numCache>
                <c:formatCode>General</c:formatCode>
                <c:ptCount val="1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06-4A13-9513-BB9B6AF5CDCD}"/>
            </c:ext>
          </c:extLst>
        </c:ser>
        <c:ser>
          <c:idx val="8"/>
          <c:order val="8"/>
          <c:tx>
            <c:strRef>
              <c:f>中計決算50社累積件数グラフ!$B$36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中計決算50社累積件数グラフ!$C$36:$P$36</c:f>
              <c:numCache>
                <c:formatCode>General</c:formatCode>
                <c:ptCount val="14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206-4A13-9513-BB9B6AF5CDCD}"/>
            </c:ext>
          </c:extLst>
        </c:ser>
        <c:ser>
          <c:idx val="9"/>
          <c:order val="9"/>
          <c:tx>
            <c:strRef>
              <c:f>中計決算50社累積件数グラフ!$B$37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中計決算50社累積件数グラフ!$C$27:$P$27</c:f>
              <c:numCache>
                <c:formatCode>yyyy"年"m"月"</c:formatCode>
                <c:ptCount val="14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中計決算50社累積件数グラフ!$C$37:$P$37</c:f>
              <c:numCache>
                <c:formatCode>General</c:formatCode>
                <c:ptCount val="14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AF-46F0-8931-DF1EADA254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中計決算50社累積件数グラフ!$B$61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中計決算50社累積件数グラフ!$C$61:$R$61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F2-4DAD-93B4-54DEABCE1011}"/>
            </c:ext>
          </c:extLst>
        </c:ser>
        <c:ser>
          <c:idx val="1"/>
          <c:order val="1"/>
          <c:tx>
            <c:strRef>
              <c:f>中計決算50社累積件数グラフ!$B$62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中計決算50社累積件数グラフ!$C$62:$R$62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F2-4DAD-93B4-54DEABCE1011}"/>
            </c:ext>
          </c:extLst>
        </c:ser>
        <c:ser>
          <c:idx val="2"/>
          <c:order val="2"/>
          <c:tx>
            <c:strRef>
              <c:f>中計決算50社累積件数グラフ!$B$63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中計決算50社累積件数グラフ!$C$63:$R$63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BF2-4DAD-93B4-54DEABCE1011}"/>
            </c:ext>
          </c:extLst>
        </c:ser>
        <c:ser>
          <c:idx val="3"/>
          <c:order val="3"/>
          <c:tx>
            <c:strRef>
              <c:f>中計決算50社累積件数グラフ!$B$64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中計決算50社累積件数グラフ!$C$64:$R$64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BF2-4DAD-93B4-54DEABCE1011}"/>
            </c:ext>
          </c:extLst>
        </c:ser>
        <c:ser>
          <c:idx val="4"/>
          <c:order val="4"/>
          <c:tx>
            <c:strRef>
              <c:f>中計決算50社累積件数グラフ!$B$65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中計決算50社累積件数グラフ!$C$65:$R$65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BF2-4DAD-93B4-54DEABCE1011}"/>
            </c:ext>
          </c:extLst>
        </c:ser>
        <c:ser>
          <c:idx val="5"/>
          <c:order val="5"/>
          <c:tx>
            <c:strRef>
              <c:f>中計決算50社累積件数グラフ!$B$66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中計決算50社累積件数グラフ!$C$66:$R$66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BF2-4DAD-93B4-54DEABCE1011}"/>
            </c:ext>
          </c:extLst>
        </c:ser>
        <c:ser>
          <c:idx val="6"/>
          <c:order val="6"/>
          <c:tx>
            <c:strRef>
              <c:f>中計決算50社累積件数グラフ!$B$67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中計決算50社累積件数グラフ!$C$67:$R$67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F2-4DAD-93B4-54DEABCE1011}"/>
            </c:ext>
          </c:extLst>
        </c:ser>
        <c:ser>
          <c:idx val="7"/>
          <c:order val="7"/>
          <c:tx>
            <c:strRef>
              <c:f>中計決算50社累積件数グラフ!$B$68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中計決算50社累積件数グラフ!$C$68:$R$68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BF2-4DAD-93B4-54DEABCE1011}"/>
            </c:ext>
          </c:extLst>
        </c:ser>
        <c:ser>
          <c:idx val="8"/>
          <c:order val="8"/>
          <c:tx>
            <c:strRef>
              <c:f>中計決算50社累積件数グラフ!$B$69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中計決算50社累積件数グラフ!$C$69:$R$69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BF2-4DAD-93B4-54DEABCE1011}"/>
            </c:ext>
          </c:extLst>
        </c:ser>
        <c:ser>
          <c:idx val="9"/>
          <c:order val="9"/>
          <c:tx>
            <c:strRef>
              <c:f>中計決算50社累積件数グラフ!$B$70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中計決算50社累積件数グラフ!$C$60:$R$60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中計決算50社累積件数グラフ!$C$70:$R$70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EF-4B6C-828D-3DA8D5AFB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中計決算50社累積件数グラフ!$B$95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中計決算50社累積件数グラフ!$C$95:$R$95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6-4677-8FE7-AC3FC7B162DD}"/>
            </c:ext>
          </c:extLst>
        </c:ser>
        <c:ser>
          <c:idx val="1"/>
          <c:order val="1"/>
          <c:tx>
            <c:strRef>
              <c:f>中計決算50社累積件数グラフ!$B$96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中計決算50社累積件数グラフ!$C$96:$R$96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C6-4677-8FE7-AC3FC7B162DD}"/>
            </c:ext>
          </c:extLst>
        </c:ser>
        <c:ser>
          <c:idx val="2"/>
          <c:order val="2"/>
          <c:tx>
            <c:strRef>
              <c:f>中計決算50社累積件数グラフ!$B$97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中計決算50社累積件数グラフ!$C$97:$R$97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C6-4677-8FE7-AC3FC7B162DD}"/>
            </c:ext>
          </c:extLst>
        </c:ser>
        <c:ser>
          <c:idx val="3"/>
          <c:order val="3"/>
          <c:tx>
            <c:strRef>
              <c:f>中計決算50社累積件数グラフ!$B$98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中計決算50社累積件数グラフ!$C$98:$R$98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C6-4677-8FE7-AC3FC7B162DD}"/>
            </c:ext>
          </c:extLst>
        </c:ser>
        <c:ser>
          <c:idx val="4"/>
          <c:order val="4"/>
          <c:tx>
            <c:strRef>
              <c:f>中計決算50社累積件数グラフ!$B$99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中計決算50社累積件数グラフ!$C$99:$R$99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C6-4677-8FE7-AC3FC7B162DD}"/>
            </c:ext>
          </c:extLst>
        </c:ser>
        <c:ser>
          <c:idx val="5"/>
          <c:order val="5"/>
          <c:tx>
            <c:strRef>
              <c:f>中計決算50社累積件数グラフ!$B$100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中計決算50社累積件数グラフ!$C$100:$R$100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C6-4677-8FE7-AC3FC7B162DD}"/>
            </c:ext>
          </c:extLst>
        </c:ser>
        <c:ser>
          <c:idx val="6"/>
          <c:order val="6"/>
          <c:tx>
            <c:strRef>
              <c:f>中計決算50社累積件数グラフ!$B$101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中計決算50社累積件数グラフ!$C$101:$R$101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C6-4677-8FE7-AC3FC7B162DD}"/>
            </c:ext>
          </c:extLst>
        </c:ser>
        <c:ser>
          <c:idx val="7"/>
          <c:order val="7"/>
          <c:tx>
            <c:strRef>
              <c:f>中計決算50社累積件数グラフ!$B$102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中計決算50社累積件数グラフ!$C$102:$R$102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C6-4677-8FE7-AC3FC7B162DD}"/>
            </c:ext>
          </c:extLst>
        </c:ser>
        <c:ser>
          <c:idx val="8"/>
          <c:order val="8"/>
          <c:tx>
            <c:strRef>
              <c:f>中計決算50社累積件数グラフ!$B$103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中計決算50社累積件数グラフ!$C$103:$R$103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C6-4677-8FE7-AC3FC7B162DD}"/>
            </c:ext>
          </c:extLst>
        </c:ser>
        <c:ser>
          <c:idx val="9"/>
          <c:order val="9"/>
          <c:tx>
            <c:strRef>
              <c:f>中計決算50社累積件数グラフ!$B$104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中計決算50社累積件数グラフ!$C$94:$R$94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中計決算50社累積件数グラフ!$C$104:$R$104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4-41DC-A984-59D7B560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中計決算50社累積件数グラフ!$B$129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中計決算50社累積件数グラフ!$C$129:$R$129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B5-46FA-8AC1-2F842B79CD9D}"/>
            </c:ext>
          </c:extLst>
        </c:ser>
        <c:ser>
          <c:idx val="1"/>
          <c:order val="1"/>
          <c:tx>
            <c:strRef>
              <c:f>中計決算50社累積件数グラフ!$B$130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中計決算50社累積件数グラフ!$C$130:$R$130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B5-46FA-8AC1-2F842B79CD9D}"/>
            </c:ext>
          </c:extLst>
        </c:ser>
        <c:ser>
          <c:idx val="2"/>
          <c:order val="2"/>
          <c:tx>
            <c:strRef>
              <c:f>中計決算50社累積件数グラフ!$B$131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中計決算50社累積件数グラフ!$C$131:$R$131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B5-46FA-8AC1-2F842B79CD9D}"/>
            </c:ext>
          </c:extLst>
        </c:ser>
        <c:ser>
          <c:idx val="3"/>
          <c:order val="3"/>
          <c:tx>
            <c:strRef>
              <c:f>中計決算50社累積件数グラフ!$B$132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中計決算50社累積件数グラフ!$C$132:$R$132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B5-46FA-8AC1-2F842B79CD9D}"/>
            </c:ext>
          </c:extLst>
        </c:ser>
        <c:ser>
          <c:idx val="4"/>
          <c:order val="4"/>
          <c:tx>
            <c:strRef>
              <c:f>中計決算50社累積件数グラフ!$B$133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中計決算50社累積件数グラフ!$C$133:$R$133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B5-46FA-8AC1-2F842B79CD9D}"/>
            </c:ext>
          </c:extLst>
        </c:ser>
        <c:ser>
          <c:idx val="5"/>
          <c:order val="5"/>
          <c:tx>
            <c:strRef>
              <c:f>中計決算50社累積件数グラフ!$B$134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中計決算50社累積件数グラフ!$C$134:$R$134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3B5-46FA-8AC1-2F842B79CD9D}"/>
            </c:ext>
          </c:extLst>
        </c:ser>
        <c:ser>
          <c:idx val="6"/>
          <c:order val="6"/>
          <c:tx>
            <c:strRef>
              <c:f>中計決算50社累積件数グラフ!$B$135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中計決算50社累積件数グラフ!$C$135:$R$135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3B5-46FA-8AC1-2F842B79CD9D}"/>
            </c:ext>
          </c:extLst>
        </c:ser>
        <c:ser>
          <c:idx val="7"/>
          <c:order val="7"/>
          <c:tx>
            <c:strRef>
              <c:f>中計決算50社累積件数グラフ!$B$136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中計決算50社累積件数グラフ!$C$136:$R$136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3B5-46FA-8AC1-2F842B79CD9D}"/>
            </c:ext>
          </c:extLst>
        </c:ser>
        <c:ser>
          <c:idx val="8"/>
          <c:order val="8"/>
          <c:tx>
            <c:strRef>
              <c:f>中計決算50社累積件数グラフ!$B$137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中計決算50社累積件数グラフ!$C$137:$R$137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3B5-46FA-8AC1-2F842B79CD9D}"/>
            </c:ext>
          </c:extLst>
        </c:ser>
        <c:ser>
          <c:idx val="9"/>
          <c:order val="9"/>
          <c:tx>
            <c:strRef>
              <c:f>中計決算50社累積件数グラフ!$B$138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中計決算50社累積件数グラフ!$C$128:$R$128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中計決算50社累積件数グラフ!$C$138:$R$138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39-48C1-9FFD-FDEE1610B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中計決算50社累積件数グラフ!$B$163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中計決算50社累積件数グラフ!$C$163:$R$163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0-400A-B7A7-E022775C55D2}"/>
            </c:ext>
          </c:extLst>
        </c:ser>
        <c:ser>
          <c:idx val="1"/>
          <c:order val="1"/>
          <c:tx>
            <c:strRef>
              <c:f>中計決算50社累積件数グラフ!$B$164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中計決算50社累積件数グラフ!$C$164:$R$164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80-400A-B7A7-E022775C55D2}"/>
            </c:ext>
          </c:extLst>
        </c:ser>
        <c:ser>
          <c:idx val="2"/>
          <c:order val="2"/>
          <c:tx>
            <c:strRef>
              <c:f>中計決算50社累積件数グラフ!$B$165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中計決算50社累積件数グラフ!$C$165:$R$165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980-400A-B7A7-E022775C55D2}"/>
            </c:ext>
          </c:extLst>
        </c:ser>
        <c:ser>
          <c:idx val="3"/>
          <c:order val="3"/>
          <c:tx>
            <c:strRef>
              <c:f>中計決算50社累積件数グラフ!$B$166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中計決算50社累積件数グラフ!$C$166:$R$166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980-400A-B7A7-E022775C55D2}"/>
            </c:ext>
          </c:extLst>
        </c:ser>
        <c:ser>
          <c:idx val="4"/>
          <c:order val="4"/>
          <c:tx>
            <c:strRef>
              <c:f>中計決算50社累積件数グラフ!$B$167</c:f>
              <c:strCache>
                <c:ptCount val="1"/>
                <c:pt idx="0">
                  <c:v>大浦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中計決算50社累積件数グラフ!$C$167:$R$167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980-400A-B7A7-E022775C55D2}"/>
            </c:ext>
          </c:extLst>
        </c:ser>
        <c:ser>
          <c:idx val="5"/>
          <c:order val="5"/>
          <c:tx>
            <c:strRef>
              <c:f>中計決算50社累積件数グラフ!$B$168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中計決算50社累積件数グラフ!$C$168:$R$168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980-400A-B7A7-E022775C55D2}"/>
            </c:ext>
          </c:extLst>
        </c:ser>
        <c:ser>
          <c:idx val="6"/>
          <c:order val="6"/>
          <c:tx>
            <c:strRef>
              <c:f>中計決算50社累積件数グラフ!$B$169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中計決算50社累積件数グラフ!$C$169:$R$169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980-400A-B7A7-E022775C55D2}"/>
            </c:ext>
          </c:extLst>
        </c:ser>
        <c:ser>
          <c:idx val="7"/>
          <c:order val="7"/>
          <c:tx>
            <c:strRef>
              <c:f>中計決算50社累積件数グラフ!$B$170</c:f>
              <c:strCache>
                <c:ptCount val="1"/>
                <c:pt idx="0">
                  <c:v>若林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中計決算50社累積件数グラフ!$C$170:$R$170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980-400A-B7A7-E022775C55D2}"/>
            </c:ext>
          </c:extLst>
        </c:ser>
        <c:ser>
          <c:idx val="8"/>
          <c:order val="8"/>
          <c:tx>
            <c:strRef>
              <c:f>中計決算50社累積件数グラフ!$B$171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中計決算50社累積件数グラフ!$C$171:$R$171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980-400A-B7A7-E022775C55D2}"/>
            </c:ext>
          </c:extLst>
        </c:ser>
        <c:ser>
          <c:idx val="9"/>
          <c:order val="9"/>
          <c:tx>
            <c:strRef>
              <c:f>中計決算50社累積件数グラフ!$B$172</c:f>
              <c:strCache>
                <c:ptCount val="1"/>
                <c:pt idx="0">
                  <c:v>榑松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中計決算50社累積件数グラフ!$C$162:$R$162</c:f>
              <c:numCache>
                <c:formatCode>yyyy"年"m"月"</c:formatCode>
                <c:ptCount val="16"/>
                <c:pt idx="0">
                  <c:v>45536</c:v>
                </c:pt>
                <c:pt idx="1">
                  <c:v>45566</c:v>
                </c:pt>
                <c:pt idx="2">
                  <c:v>45597</c:v>
                </c:pt>
                <c:pt idx="3">
                  <c:v>45627</c:v>
                </c:pt>
                <c:pt idx="4">
                  <c:v>45658</c:v>
                </c:pt>
                <c:pt idx="5">
                  <c:v>45689</c:v>
                </c:pt>
                <c:pt idx="6">
                  <c:v>45717</c:v>
                </c:pt>
                <c:pt idx="7">
                  <c:v>45748</c:v>
                </c:pt>
                <c:pt idx="8">
                  <c:v>45778</c:v>
                </c:pt>
                <c:pt idx="9">
                  <c:v>45809</c:v>
                </c:pt>
                <c:pt idx="10">
                  <c:v>45839</c:v>
                </c:pt>
                <c:pt idx="11">
                  <c:v>45870</c:v>
                </c:pt>
              </c:numCache>
            </c:numRef>
          </c:cat>
          <c:val>
            <c:numRef>
              <c:f>中計決算50社累積件数グラフ!$C$172:$R$172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1A-4891-ADCB-FD98491E2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Jpit請求書累積件数グラフ!$B$28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Jpit請求書累積件数グラフ!$C$27:$D$27</c:f>
              <c:numCache>
                <c:formatCode>yyyy"年"m"月"</c:formatCode>
                <c:ptCount val="2"/>
              </c:numCache>
            </c:numRef>
          </c:cat>
          <c:val>
            <c:numRef>
              <c:f>Jpit請求書累積件数グラフ!$C$28:$D$28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1F01-48A3-8E62-F4FDE57395CD}"/>
            </c:ext>
          </c:extLst>
        </c:ser>
        <c:ser>
          <c:idx val="1"/>
          <c:order val="1"/>
          <c:tx>
            <c:strRef>
              <c:f>Jpit請求書累積件数グラフ!$B$29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Jpit請求書累積件数グラフ!$C$27:$D$27</c:f>
              <c:numCache>
                <c:formatCode>yyyy"年"m"月"</c:formatCode>
                <c:ptCount val="2"/>
              </c:numCache>
            </c:numRef>
          </c:cat>
          <c:val>
            <c:numRef>
              <c:f>Jpit請求書累積件数グラフ!$C$29:$D$29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1F01-48A3-8E62-F4FDE57395CD}"/>
            </c:ext>
          </c:extLst>
        </c:ser>
        <c:ser>
          <c:idx val="2"/>
          <c:order val="2"/>
          <c:tx>
            <c:strRef>
              <c:f>Jpit請求書累積件数グラフ!$B$30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Jpit請求書累積件数グラフ!$C$27:$D$27</c:f>
              <c:numCache>
                <c:formatCode>yyyy"年"m"月"</c:formatCode>
                <c:ptCount val="2"/>
              </c:numCache>
            </c:numRef>
          </c:cat>
          <c:val>
            <c:numRef>
              <c:f>Jpit請求書累積件数グラフ!$C$30:$D$30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1F01-48A3-8E62-F4FDE57395CD}"/>
            </c:ext>
          </c:extLst>
        </c:ser>
        <c:ser>
          <c:idx val="3"/>
          <c:order val="3"/>
          <c:tx>
            <c:strRef>
              <c:f>Jpit請求書累積件数グラフ!$B$31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Jpit請求書累積件数グラフ!$C$27:$D$27</c:f>
              <c:numCache>
                <c:formatCode>yyyy"年"m"月"</c:formatCode>
                <c:ptCount val="2"/>
              </c:numCache>
            </c:numRef>
          </c:cat>
          <c:val>
            <c:numRef>
              <c:f>Jpit請求書累積件数グラフ!$C$31:$D$31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1F01-48A3-8E62-F4FDE57395CD}"/>
            </c:ext>
          </c:extLst>
        </c:ser>
        <c:ser>
          <c:idx val="4"/>
          <c:order val="4"/>
          <c:tx>
            <c:strRef>
              <c:f>Jpit請求書累積件数グラフ!$B$32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Jpit請求書累積件数グラフ!$C$27:$D$27</c:f>
              <c:numCache>
                <c:formatCode>yyyy"年"m"月"</c:formatCode>
                <c:ptCount val="2"/>
              </c:numCache>
            </c:numRef>
          </c:cat>
          <c:val>
            <c:numRef>
              <c:f>Jpit請求書累積件数グラフ!$C$32:$D$32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1F01-48A3-8E62-F4FDE57395CD}"/>
            </c:ext>
          </c:extLst>
        </c:ser>
        <c:ser>
          <c:idx val="5"/>
          <c:order val="5"/>
          <c:tx>
            <c:strRef>
              <c:f>Jpit請求書累積件数グラフ!$B$33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Jpit請求書累積件数グラフ!$C$27:$D$27</c:f>
              <c:numCache>
                <c:formatCode>yyyy"年"m"月"</c:formatCode>
                <c:ptCount val="2"/>
              </c:numCache>
            </c:numRef>
          </c:cat>
          <c:val>
            <c:numRef>
              <c:f>Jpit請求書累積件数グラフ!$C$33:$D$33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1F01-48A3-8E62-F4FDE57395CD}"/>
            </c:ext>
          </c:extLst>
        </c:ser>
        <c:ser>
          <c:idx val="6"/>
          <c:order val="6"/>
          <c:tx>
            <c:strRef>
              <c:f>Jpit請求書累積件数グラフ!$B$34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Jpit請求書累積件数グラフ!$C$27:$D$27</c:f>
              <c:numCache>
                <c:formatCode>yyyy"年"m"月"</c:formatCode>
                <c:ptCount val="2"/>
              </c:numCache>
            </c:numRef>
          </c:cat>
          <c:val>
            <c:numRef>
              <c:f>Jpit請求書累積件数グラフ!$C$34:$D$34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1F01-48A3-8E62-F4FDE573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cat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Algn val="ctr"/>
        <c:lblOffset val="100"/>
        <c:noMultiLvlLbl val="1"/>
      </c:cat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  <c:majorUnit val="1"/>
        <c:minorUnit val="0.2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Jpit請求書累積件数グラフ!$B$59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Jpit請求書累積件数グラフ!$C$59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3805-4D0A-97C7-6FE3E6206DF1}"/>
            </c:ext>
          </c:extLst>
        </c:ser>
        <c:ser>
          <c:idx val="1"/>
          <c:order val="1"/>
          <c:tx>
            <c:strRef>
              <c:f>Jpit請求書累積件数グラフ!$B$60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Jpit請求書累積件数グラフ!$C$60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3805-4D0A-97C7-6FE3E6206DF1}"/>
            </c:ext>
          </c:extLst>
        </c:ser>
        <c:ser>
          <c:idx val="2"/>
          <c:order val="2"/>
          <c:tx>
            <c:strRef>
              <c:f>Jpit請求書累積件数グラフ!$B$61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Jpit請求書累積件数グラフ!$C$61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3805-4D0A-97C7-6FE3E6206DF1}"/>
            </c:ext>
          </c:extLst>
        </c:ser>
        <c:ser>
          <c:idx val="3"/>
          <c:order val="3"/>
          <c:tx>
            <c:strRef>
              <c:f>Jpit請求書累積件数グラフ!$B$62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Jpit請求書累積件数グラフ!$C$62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3805-4D0A-97C7-6FE3E6206DF1}"/>
            </c:ext>
          </c:extLst>
        </c:ser>
        <c:ser>
          <c:idx val="4"/>
          <c:order val="4"/>
          <c:tx>
            <c:strRef>
              <c:f>Jpit請求書累積件数グラフ!$B$63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Jpit請求書累積件数グラフ!$C$63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3805-4D0A-97C7-6FE3E6206DF1}"/>
            </c:ext>
          </c:extLst>
        </c:ser>
        <c:ser>
          <c:idx val="5"/>
          <c:order val="5"/>
          <c:tx>
            <c:strRef>
              <c:f>Jpit請求書累積件数グラフ!$B$64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Jpit請求書累積件数グラフ!$C$64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3805-4D0A-97C7-6FE3E6206DF1}"/>
            </c:ext>
          </c:extLst>
        </c:ser>
        <c:ser>
          <c:idx val="6"/>
          <c:order val="6"/>
          <c:tx>
            <c:strRef>
              <c:f>Jpit請求書累積件数グラフ!$B$65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Jpit請求書累積件数グラフ!$C$58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Jpit請求書累積件数グラフ!$C$65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3805-4D0A-97C7-6FE3E6206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Jpit請求書累積件数グラフ!$B$91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Jpit請求書累積件数グラフ!$C$91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A91F-4FDA-903C-79834E817D8E}"/>
            </c:ext>
          </c:extLst>
        </c:ser>
        <c:ser>
          <c:idx val="1"/>
          <c:order val="1"/>
          <c:tx>
            <c:strRef>
              <c:f>Jpit請求書累積件数グラフ!$B$92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Jpit請求書累積件数グラフ!$C$92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A91F-4FDA-903C-79834E817D8E}"/>
            </c:ext>
          </c:extLst>
        </c:ser>
        <c:ser>
          <c:idx val="2"/>
          <c:order val="2"/>
          <c:tx>
            <c:strRef>
              <c:f>Jpit請求書累積件数グラフ!$B$93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Jpit請求書累積件数グラフ!$C$93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2-A91F-4FDA-903C-79834E817D8E}"/>
            </c:ext>
          </c:extLst>
        </c:ser>
        <c:ser>
          <c:idx val="3"/>
          <c:order val="3"/>
          <c:tx>
            <c:strRef>
              <c:f>Jpit請求書累積件数グラフ!$B$94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Jpit請求書累積件数グラフ!$C$94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3-A91F-4FDA-903C-79834E817D8E}"/>
            </c:ext>
          </c:extLst>
        </c:ser>
        <c:ser>
          <c:idx val="4"/>
          <c:order val="4"/>
          <c:tx>
            <c:strRef>
              <c:f>Jpit請求書累積件数グラフ!$B$95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Jpit請求書累積件数グラフ!$C$95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4-A91F-4FDA-903C-79834E817D8E}"/>
            </c:ext>
          </c:extLst>
        </c:ser>
        <c:ser>
          <c:idx val="5"/>
          <c:order val="5"/>
          <c:tx>
            <c:strRef>
              <c:f>Jpit請求書累積件数グラフ!$B$96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Jpit請求書累積件数グラフ!$C$90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Jpit請求書累積件数グラフ!$C$96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5-A91F-4FDA-903C-79834E817D8E}"/>
            </c:ext>
          </c:extLst>
        </c:ser>
        <c:ser>
          <c:idx val="6"/>
          <c:order val="6"/>
          <c:tx>
            <c:strRef>
              <c:f>Jpit請求書累積件数グラフ!$B$97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Jpit請求書累積件数グラフ!$C$90</c:f>
              <c:numCache>
                <c:formatCode>yyyy"年"m"月"</c:formatCode>
                <c:ptCount val="1"/>
                <c:pt idx="0">
                  <c:v>45444</c:v>
                </c:pt>
              </c:numCache>
            </c:numRef>
          </c:cat>
          <c:val>
            <c:numRef>
              <c:f>Jpit請求書累積件数グラフ!$C$97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6-A91F-4FDA-903C-79834E817D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累積棒グラフ(2023年9月～2024年3月)'!$B$28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累積棒グラフ(2023年9月～2024年3月)'!$C$28:$I$28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D-45EB-AAFC-80C05C7ADA67}"/>
            </c:ext>
          </c:extLst>
        </c:ser>
        <c:ser>
          <c:idx val="1"/>
          <c:order val="1"/>
          <c:tx>
            <c:strRef>
              <c:f>'myTE 累積棒グラフ(2023年9月～2024年3月)'!$B$29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累積棒グラフ(2023年9月～2024年3月)'!$C$29:$I$29</c:f>
              <c:numCache>
                <c:formatCode>General</c:formatCode>
                <c:ptCount val="7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5D-45EB-AAFC-80C05C7ADA67}"/>
            </c:ext>
          </c:extLst>
        </c:ser>
        <c:ser>
          <c:idx val="2"/>
          <c:order val="2"/>
          <c:tx>
            <c:strRef>
              <c:f>'myTE 累積棒グラフ(2023年9月～2024年3月)'!$B$30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累積棒グラフ(2023年9月～2024年3月)'!$C$30:$I$30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C5D-45EB-AAFC-80C05C7ADA67}"/>
            </c:ext>
          </c:extLst>
        </c:ser>
        <c:ser>
          <c:idx val="3"/>
          <c:order val="3"/>
          <c:tx>
            <c:strRef>
              <c:f>'myTE 累積棒グラフ(2023年9月～2024年3月)'!$B$31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累積棒グラフ(2023年9月～2024年3月)'!$C$31:$I$31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5D-45EB-AAFC-80C05C7ADA67}"/>
            </c:ext>
          </c:extLst>
        </c:ser>
        <c:ser>
          <c:idx val="4"/>
          <c:order val="4"/>
          <c:tx>
            <c:strRef>
              <c:f>'myTE 累積棒グラフ(2023年9月～2024年3月)'!$B$32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累積棒グラフ(2023年9月～2024年3月)'!$C$32:$I$32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5D-45EB-AAFC-80C05C7ADA67}"/>
            </c:ext>
          </c:extLst>
        </c:ser>
        <c:ser>
          <c:idx val="5"/>
          <c:order val="5"/>
          <c:tx>
            <c:strRef>
              <c:f>'myTE 累積棒グラフ(2023年9月～2024年3月)'!$B$33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累積棒グラフ(2023年9月～2024年3月)'!$C$33:$I$33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C5D-45EB-AAFC-80C05C7AD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累積棒グラフ(2023年9月～2024年3月)'!$B$57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累積棒グラフ(2023年9月～2024年3月)'!$C$57:$I$57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0-44D2-A362-2E00080CF821}"/>
            </c:ext>
          </c:extLst>
        </c:ser>
        <c:ser>
          <c:idx val="1"/>
          <c:order val="1"/>
          <c:tx>
            <c:strRef>
              <c:f>'myTE 累積棒グラフ(2023年9月～2024年3月)'!$B$58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累積棒グラフ(2023年9月～2024年3月)'!$C$58:$I$58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70-44D2-A362-2E00080CF821}"/>
            </c:ext>
          </c:extLst>
        </c:ser>
        <c:ser>
          <c:idx val="2"/>
          <c:order val="2"/>
          <c:tx>
            <c:strRef>
              <c:f>'myTE 累積棒グラフ(2023年9月～2024年3月)'!$B$59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累積棒グラフ(2023年9月～2024年3月)'!$C$59:$I$59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B70-44D2-A362-2E00080CF821}"/>
            </c:ext>
          </c:extLst>
        </c:ser>
        <c:ser>
          <c:idx val="3"/>
          <c:order val="3"/>
          <c:tx>
            <c:strRef>
              <c:f>'myTE 累積棒グラフ(2023年9月～2024年3月)'!$B$60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累積棒グラフ(2023年9月～2024年3月)'!$C$60:$I$60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B70-44D2-A362-2E00080CF821}"/>
            </c:ext>
          </c:extLst>
        </c:ser>
        <c:ser>
          <c:idx val="4"/>
          <c:order val="4"/>
          <c:tx>
            <c:strRef>
              <c:f>'myTE 累積棒グラフ(2023年9月～2024年3月)'!$B$61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累積棒グラフ(2023年9月～2024年3月)'!$C$61:$I$61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B70-44D2-A362-2E00080CF821}"/>
            </c:ext>
          </c:extLst>
        </c:ser>
        <c:ser>
          <c:idx val="5"/>
          <c:order val="5"/>
          <c:tx>
            <c:strRef>
              <c:f>'myTE 累積棒グラフ(2023年9月～2024年3月)'!$B$62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累積棒グラフ(2023年9月～2024年3月)'!$C$62:$I$62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B70-44D2-A362-2E00080CF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 累積棒グラフ(2023年9月～2024年3月)'!$B$87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累積棒グラフ(2023年9月～2024年3月)'!$C$87:$I$87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4F-4BA1-93F1-755B25596A5A}"/>
            </c:ext>
          </c:extLst>
        </c:ser>
        <c:ser>
          <c:idx val="1"/>
          <c:order val="1"/>
          <c:tx>
            <c:strRef>
              <c:f>'myTE 累積棒グラフ(2023年9月～2024年3月)'!$B$88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累積棒グラフ(2023年9月～2024年3月)'!$C$88:$I$88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4F-4BA1-93F1-755B25596A5A}"/>
            </c:ext>
          </c:extLst>
        </c:ser>
        <c:ser>
          <c:idx val="2"/>
          <c:order val="2"/>
          <c:tx>
            <c:strRef>
              <c:f>'myTE 累積棒グラフ(2023年9月～2024年3月)'!$B$89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累積棒グラフ(2023年9月～2024年3月)'!$C$89:$I$89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4F-4BA1-93F1-755B25596A5A}"/>
            </c:ext>
          </c:extLst>
        </c:ser>
        <c:ser>
          <c:idx val="3"/>
          <c:order val="3"/>
          <c:tx>
            <c:strRef>
              <c:f>'myTE 累積棒グラフ(2023年9月～2024年3月)'!$B$90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累積棒グラフ(2023年9月～2024年3月)'!$C$90:$I$90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04F-4BA1-93F1-755B25596A5A}"/>
            </c:ext>
          </c:extLst>
        </c:ser>
        <c:ser>
          <c:idx val="4"/>
          <c:order val="4"/>
          <c:tx>
            <c:strRef>
              <c:f>'myTE 累積棒グラフ(2023年9月～2024年3月)'!$B$91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累積棒グラフ(2023年9月～2024年3月)'!$C$91:$I$91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4F-4BA1-93F1-755B25596A5A}"/>
            </c:ext>
          </c:extLst>
        </c:ser>
        <c:ser>
          <c:idx val="5"/>
          <c:order val="5"/>
          <c:tx>
            <c:strRef>
              <c:f>'myTE 累積棒グラフ(2023年9月～2024年3月)'!$B$92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'myTE 累積棒グラフ(2023年9月～2024年3月)'!$C$92:$I$92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04F-4BA1-93F1-755B25596A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累積棒グラフ(2023年9月～2024年3月)'!$B$28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累積棒グラフ(2023年9月～2024年3月)'!$C$28:$I$28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4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DC-436E-8611-29FD2B439B5B}"/>
            </c:ext>
          </c:extLst>
        </c:ser>
        <c:ser>
          <c:idx val="1"/>
          <c:order val="1"/>
          <c:tx>
            <c:strRef>
              <c:f>'I&amp;D 累積棒グラフ(2023年9月～2024年3月)'!$B$29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累積棒グラフ(2023年9月～2024年3月)'!$C$29:$I$29</c:f>
              <c:numCache>
                <c:formatCode>General</c:formatCode>
                <c:ptCount val="7"/>
                <c:pt idx="0">
                  <c:v>10</c:v>
                </c:pt>
                <c:pt idx="1">
                  <c:v>1</c:v>
                </c:pt>
                <c:pt idx="2">
                  <c:v>5</c:v>
                </c:pt>
                <c:pt idx="3">
                  <c:v>9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DC-436E-8611-29FD2B439B5B}"/>
            </c:ext>
          </c:extLst>
        </c:ser>
        <c:ser>
          <c:idx val="2"/>
          <c:order val="2"/>
          <c:tx>
            <c:strRef>
              <c:f>'I&amp;D 累積棒グラフ(2023年9月～2024年3月)'!$B$30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累積棒グラフ(2023年9月～2024年3月)'!$C$30:$I$30</c:f>
              <c:numCache>
                <c:formatCode>General</c:formatCode>
                <c:ptCount val="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DC-436E-8611-29FD2B439B5B}"/>
            </c:ext>
          </c:extLst>
        </c:ser>
        <c:ser>
          <c:idx val="3"/>
          <c:order val="3"/>
          <c:tx>
            <c:strRef>
              <c:f>'I&amp;D 累積棒グラフ(2023年9月～2024年3月)'!$B$31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累積棒グラフ(2023年9月～2024年3月)'!$C$31:$I$31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9DC-436E-8611-29FD2B439B5B}"/>
            </c:ext>
          </c:extLst>
        </c:ser>
        <c:ser>
          <c:idx val="4"/>
          <c:order val="4"/>
          <c:tx>
            <c:strRef>
              <c:f>'I&amp;D 累積棒グラフ(2023年9月～2024年3月)'!$B$32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累積棒グラフ(2023年9月～2024年3月)'!$C$32:$I$32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C-436E-8611-29FD2B439B5B}"/>
            </c:ext>
          </c:extLst>
        </c:ser>
        <c:ser>
          <c:idx val="5"/>
          <c:order val="5"/>
          <c:tx>
            <c:strRef>
              <c:f>'I&amp;D 累積棒グラフ(2023年9月～2024年3月)'!$B$33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累積棒グラフ(2023年9月～2024年3月)'!$C$27:$I$27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累積棒グラフ(2023年9月～2024年3月)'!$C$33:$I$33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9DC-436E-8611-29FD2B439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累積棒グラフ(2023年9月～2024年3月)'!$B$57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累積棒グラフ(2023年9月～2024年3月)'!$C$57:$I$57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1E-49A0-8FC0-4CCDB479F117}"/>
            </c:ext>
          </c:extLst>
        </c:ser>
        <c:ser>
          <c:idx val="1"/>
          <c:order val="1"/>
          <c:tx>
            <c:strRef>
              <c:f>'I&amp;D 累積棒グラフ(2023年9月～2024年3月)'!$B$58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累積棒グラフ(2023年9月～2024年3月)'!$C$58:$I$58</c:f>
              <c:numCache>
                <c:formatCode>General</c:formatCode>
                <c:ptCount val="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1E-49A0-8FC0-4CCDB479F117}"/>
            </c:ext>
          </c:extLst>
        </c:ser>
        <c:ser>
          <c:idx val="2"/>
          <c:order val="2"/>
          <c:tx>
            <c:strRef>
              <c:f>'I&amp;D 累積棒グラフ(2023年9月～2024年3月)'!$B$59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累積棒グラフ(2023年9月～2024年3月)'!$C$59:$I$59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1E-49A0-8FC0-4CCDB479F117}"/>
            </c:ext>
          </c:extLst>
        </c:ser>
        <c:ser>
          <c:idx val="3"/>
          <c:order val="3"/>
          <c:tx>
            <c:strRef>
              <c:f>'I&amp;D 累積棒グラフ(2023年9月～2024年3月)'!$B$60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累積棒グラフ(2023年9月～2024年3月)'!$C$60:$I$60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1E-49A0-8FC0-4CCDB479F117}"/>
            </c:ext>
          </c:extLst>
        </c:ser>
        <c:ser>
          <c:idx val="4"/>
          <c:order val="4"/>
          <c:tx>
            <c:strRef>
              <c:f>'I&amp;D 累積棒グラフ(2023年9月～2024年3月)'!$B$61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累積棒グラフ(2023年9月～2024年3月)'!$C$61:$I$61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1E-49A0-8FC0-4CCDB479F117}"/>
            </c:ext>
          </c:extLst>
        </c:ser>
        <c:ser>
          <c:idx val="5"/>
          <c:order val="5"/>
          <c:tx>
            <c:strRef>
              <c:f>'I&amp;D 累積棒グラフ(2023年9月～2024年3月)'!$B$62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累積棒グラフ(2023年9月～2024年3月)'!$C$56:$I$56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累積棒グラフ(2023年9月～2024年3月)'!$C$62:$I$62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1E-49A0-8FC0-4CCDB479F1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'I&amp;D 累積棒グラフ(2023年9月～2024年3月)'!$B$87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累積棒グラフ(2023年9月～2024年3月)'!$C$87:$I$87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26-489B-B0D5-49F3C9FD77CC}"/>
            </c:ext>
          </c:extLst>
        </c:ser>
        <c:ser>
          <c:idx val="1"/>
          <c:order val="1"/>
          <c:tx>
            <c:strRef>
              <c:f>'I&amp;D 累積棒グラフ(2023年9月～2024年3月)'!$B$88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累積棒グラフ(2023年9月～2024年3月)'!$C$88:$I$88</c:f>
              <c:numCache>
                <c:formatCode>General</c:formatCode>
                <c:ptCount val="7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26-489B-B0D5-49F3C9FD77CC}"/>
            </c:ext>
          </c:extLst>
        </c:ser>
        <c:ser>
          <c:idx val="2"/>
          <c:order val="2"/>
          <c:tx>
            <c:strRef>
              <c:f>'I&amp;D 累積棒グラフ(2023年9月～2024年3月)'!$B$89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累積棒グラフ(2023年9月～2024年3月)'!$C$89:$I$89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26-489B-B0D5-49F3C9FD77CC}"/>
            </c:ext>
          </c:extLst>
        </c:ser>
        <c:ser>
          <c:idx val="3"/>
          <c:order val="3"/>
          <c:tx>
            <c:strRef>
              <c:f>'I&amp;D 累積棒グラフ(2023年9月～2024年3月)'!$B$90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累積棒グラフ(2023年9月～2024年3月)'!$C$90:$I$90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26-489B-B0D5-49F3C9FD77CC}"/>
            </c:ext>
          </c:extLst>
        </c:ser>
        <c:ser>
          <c:idx val="4"/>
          <c:order val="4"/>
          <c:tx>
            <c:strRef>
              <c:f>'I&amp;D 累積棒グラフ(2023年9月～2024年3月)'!$B$91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累積棒グラフ(2023年9月～2024年3月)'!$C$91:$I$91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26-489B-B0D5-49F3C9FD77CC}"/>
            </c:ext>
          </c:extLst>
        </c:ser>
        <c:ser>
          <c:idx val="5"/>
          <c:order val="5"/>
          <c:tx>
            <c:strRef>
              <c:f>'I&amp;D 累積棒グラフ(2023年9月～2024年3月)'!$B$92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'I&amp;D 累積棒グラフ(2023年9月～2024年3月)'!$C$86:$I$86</c:f>
              <c:numCache>
                <c:formatCode>yyyy"年"m"月"</c:formatCode>
                <c:ptCount val="7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  <c:pt idx="6">
                  <c:v>45352</c:v>
                </c:pt>
              </c:numCache>
            </c:numRef>
          </c:cat>
          <c:val>
            <c:numRef>
              <c:f>'I&amp;D 累積棒グラフ(2023年9月～2024年3月)'!$C$92:$I$92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726-489B-B0D5-49F3C9FD7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'人事異動・組織改編累積件数グラフ(2024年1月～3月)'!$B$28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'人事異動・組織改編累積件数グラフ(2024年1月～3月)'!$C$28:$E$28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B-4E9E-AF8D-261B3A297071}"/>
            </c:ext>
          </c:extLst>
        </c:ser>
        <c:ser>
          <c:idx val="1"/>
          <c:order val="1"/>
          <c:tx>
            <c:strRef>
              <c:f>'人事異動・組織改編累積件数グラフ(2024年1月～3月)'!$B$29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'人事異動・組織改編累積件数グラフ(2024年1月～3月)'!$C$29:$E$29</c:f>
              <c:numCache>
                <c:formatCode>General</c:formatCode>
                <c:ptCount val="3"/>
                <c:pt idx="0">
                  <c:v>2</c:v>
                </c:pt>
                <c:pt idx="1">
                  <c:v>4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AB-4E9E-AF8D-261B3A297071}"/>
            </c:ext>
          </c:extLst>
        </c:ser>
        <c:ser>
          <c:idx val="2"/>
          <c:order val="2"/>
          <c:tx>
            <c:strRef>
              <c:f>'人事異動・組織改編累積件数グラフ(2024年1月～3月)'!$B$30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'人事異動・組織改編累積件数グラフ(2024年1月～3月)'!$C$30:$E$30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AB-4E9E-AF8D-261B3A297071}"/>
            </c:ext>
          </c:extLst>
        </c:ser>
        <c:ser>
          <c:idx val="3"/>
          <c:order val="3"/>
          <c:tx>
            <c:strRef>
              <c:f>'人事異動・組織改編累積件数グラフ(2024年1月～3月)'!$B$31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'人事異動・組織改編累積件数グラフ(2024年1月～3月)'!$C$31:$E$31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2AB-4E9E-AF8D-261B3A297071}"/>
            </c:ext>
          </c:extLst>
        </c:ser>
        <c:ser>
          <c:idx val="4"/>
          <c:order val="4"/>
          <c:tx>
            <c:strRef>
              <c:f>'人事異動・組織改編累積件数グラフ(2024年1月～3月)'!$B$32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'人事異動・組織改編累積件数グラフ(2024年1月～3月)'!$C$32:$E$32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AB-4E9E-AF8D-261B3A297071}"/>
            </c:ext>
          </c:extLst>
        </c:ser>
        <c:ser>
          <c:idx val="5"/>
          <c:order val="5"/>
          <c:tx>
            <c:strRef>
              <c:f>'人事異動・組織改編累積件数グラフ(2024年1月～3月)'!$B$33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'人事異動・組織改編累積件数グラフ(2024年1月～3月)'!$C$33:$E$33</c:f>
              <c:numCache>
                <c:formatCode>General</c:formatCode>
                <c:ptCount val="3"/>
                <c:pt idx="0">
                  <c:v>3</c:v>
                </c:pt>
                <c:pt idx="1">
                  <c:v>3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2AB-4E9E-AF8D-261B3A297071}"/>
            </c:ext>
          </c:extLst>
        </c:ser>
        <c:ser>
          <c:idx val="6"/>
          <c:order val="6"/>
          <c:tx>
            <c:strRef>
              <c:f>'人事異動・組織改編累積件数グラフ(2024年1月～3月)'!$B$34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'人事異動・組織改編累積件数グラフ(2024年1月～3月)'!$C$34:$E$34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3-43A1-8A58-250FAF7F7958}"/>
            </c:ext>
          </c:extLst>
        </c:ser>
        <c:ser>
          <c:idx val="7"/>
          <c:order val="7"/>
          <c:tx>
            <c:strRef>
              <c:f>'人事異動・組織改編累積件数グラフ(2024年1月～3月)'!$B$35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'人事異動・組織改編累積件数グラフ(2024年1月～3月)'!$C$27:$E$27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'人事異動・組織改編累積件数グラフ(2024年1月～3月)'!$C$35:$E$35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33-43A1-8A58-250FAF7F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指摘インシデント、件数積み上げグラフ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'人事異動・組織改編累積件数グラフ(2024年1月～3月)'!$B$59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'人事異動・組織改編累積件数グラフ(2024年1月～3月)'!$C$59:$E$59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56-4140-A221-816868EACEF9}"/>
            </c:ext>
          </c:extLst>
        </c:ser>
        <c:ser>
          <c:idx val="1"/>
          <c:order val="1"/>
          <c:tx>
            <c:strRef>
              <c:f>'人事異動・組織改編累積件数グラフ(2024年1月～3月)'!$B$60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'人事異動・組織改編累積件数グラフ(2024年1月～3月)'!$C$60:$E$60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56-4140-A221-816868EACEF9}"/>
            </c:ext>
          </c:extLst>
        </c:ser>
        <c:ser>
          <c:idx val="2"/>
          <c:order val="2"/>
          <c:tx>
            <c:strRef>
              <c:f>'人事異動・組織改編累積件数グラフ(2024年1月～3月)'!$B$61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'人事異動・組織改編累積件数グラフ(2024年1月～3月)'!$C$61:$E$61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A56-4140-A221-816868EACEF9}"/>
            </c:ext>
          </c:extLst>
        </c:ser>
        <c:ser>
          <c:idx val="3"/>
          <c:order val="3"/>
          <c:tx>
            <c:strRef>
              <c:f>'人事異動・組織改編累積件数グラフ(2024年1月～3月)'!$B$62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'人事異動・組織改編累積件数グラフ(2024年1月～3月)'!$C$62:$E$62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A56-4140-A221-816868EACEF9}"/>
            </c:ext>
          </c:extLst>
        </c:ser>
        <c:ser>
          <c:idx val="4"/>
          <c:order val="4"/>
          <c:tx>
            <c:strRef>
              <c:f>'人事異動・組織改編累積件数グラフ(2024年1月～3月)'!$B$63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'人事異動・組織改編累積件数グラフ(2024年1月～3月)'!$C$63:$E$63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A56-4140-A221-816868EACEF9}"/>
            </c:ext>
          </c:extLst>
        </c:ser>
        <c:ser>
          <c:idx val="5"/>
          <c:order val="5"/>
          <c:tx>
            <c:strRef>
              <c:f>'人事異動・組織改編累積件数グラフ(2024年1月～3月)'!$B$64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'人事異動・組織改編累積件数グラフ(2024年1月～3月)'!$C$64:$E$64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A56-4140-A221-816868EACEF9}"/>
            </c:ext>
          </c:extLst>
        </c:ser>
        <c:ser>
          <c:idx val="6"/>
          <c:order val="6"/>
          <c:tx>
            <c:strRef>
              <c:f>'人事異動・組織改編累積件数グラフ(2024年1月～3月)'!$B$65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'人事異動・組織改編累積件数グラフ(2024年1月～3月)'!$C$65:$E$65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D-4AFF-9384-E724A26E7092}"/>
            </c:ext>
          </c:extLst>
        </c:ser>
        <c:ser>
          <c:idx val="7"/>
          <c:order val="7"/>
          <c:tx>
            <c:strRef>
              <c:f>'人事異動・組織改編累積件数グラフ(2024年1月～3月)'!$B$66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'人事異動・組織改編累積件数グラフ(2024年1月～3月)'!$C$58:$E$58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'人事異動・組織改編累積件数グラフ(2024年1月～3月)'!$C$66:$E$66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D-4AFF-9384-E724A26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指摘解釈、理解があいまい件数、積み上げグラフ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'人事異動・組織改編累積件数グラフ(2024年1月～3月)'!$B$91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'人事異動・組織改編累積件数グラフ(2024年1月～3月)'!$C$91:$E$91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6E-4D3E-B2CE-68519AAC5B04}"/>
            </c:ext>
          </c:extLst>
        </c:ser>
        <c:ser>
          <c:idx val="1"/>
          <c:order val="1"/>
          <c:tx>
            <c:strRef>
              <c:f>'人事異動・組織改編累積件数グラフ(2024年1月～3月)'!$B$92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'人事異動・組織改編累積件数グラフ(2024年1月～3月)'!$C$92:$E$92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6E-4D3E-B2CE-68519AAC5B04}"/>
            </c:ext>
          </c:extLst>
        </c:ser>
        <c:ser>
          <c:idx val="2"/>
          <c:order val="2"/>
          <c:tx>
            <c:strRef>
              <c:f>'人事異動・組織改編累積件数グラフ(2024年1月～3月)'!$B$93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'人事異動・組織改編累積件数グラフ(2024年1月～3月)'!$C$93:$E$93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6E-4D3E-B2CE-68519AAC5B04}"/>
            </c:ext>
          </c:extLst>
        </c:ser>
        <c:ser>
          <c:idx val="3"/>
          <c:order val="3"/>
          <c:tx>
            <c:strRef>
              <c:f>'人事異動・組織改編累積件数グラフ(2024年1月～3月)'!$B$94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'人事異動・組織改編累積件数グラフ(2024年1月～3月)'!$C$94:$E$94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6E-4D3E-B2CE-68519AAC5B04}"/>
            </c:ext>
          </c:extLst>
        </c:ser>
        <c:ser>
          <c:idx val="4"/>
          <c:order val="4"/>
          <c:tx>
            <c:strRef>
              <c:f>'人事異動・組織改編累積件数グラフ(2024年1月～3月)'!$B$95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'人事異動・組織改編累積件数グラフ(2024年1月～3月)'!$C$95:$E$95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6E-4D3E-B2CE-68519AAC5B04}"/>
            </c:ext>
          </c:extLst>
        </c:ser>
        <c:ser>
          <c:idx val="5"/>
          <c:order val="5"/>
          <c:tx>
            <c:strRef>
              <c:f>'人事異動・組織改編累積件数グラフ(2024年1月～3月)'!$B$96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'人事異動・組織改編累積件数グラフ(2024年1月～3月)'!$C$96:$E$96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6E-4D3E-B2CE-68519AAC5B04}"/>
            </c:ext>
          </c:extLst>
        </c:ser>
        <c:ser>
          <c:idx val="6"/>
          <c:order val="6"/>
          <c:tx>
            <c:strRef>
              <c:f>'人事異動・組織改編累積件数グラフ(2024年1月～3月)'!$B$97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'人事異動・組織改編累積件数グラフ(2024年1月～3月)'!$C$97:$E$97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29-45BD-B018-76FFE54C537A}"/>
            </c:ext>
          </c:extLst>
        </c:ser>
        <c:ser>
          <c:idx val="7"/>
          <c:order val="7"/>
          <c:tx>
            <c:strRef>
              <c:f>'人事異動・組織改編累積件数グラフ(2024年1月～3月)'!$B$98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'人事異動・組織改編累積件数グラフ(2024年1月～3月)'!$C$90:$E$90</c:f>
              <c:numCache>
                <c:formatCode>yyyy"年"m"月"</c:formatCode>
                <c:ptCount val="3"/>
                <c:pt idx="0">
                  <c:v>45292</c:v>
                </c:pt>
                <c:pt idx="1">
                  <c:v>45323</c:v>
                </c:pt>
                <c:pt idx="2">
                  <c:v>45352</c:v>
                </c:pt>
              </c:numCache>
            </c:numRef>
          </c:cat>
          <c:val>
            <c:numRef>
              <c:f>'人事異動・組織改編累積件数グラフ(2024年1月～3月)'!$C$98:$E$98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29-45BD-B018-76FFE54C5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97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指摘ケアレスミス件数推移</a:t>
            </a:r>
          </a:p>
        </c:rich>
      </c:tx>
      <c:layout>
        <c:manualLayout>
          <c:xMode val="edge"/>
          <c:yMode val="edge"/>
          <c:x val="0.2111042733735953"/>
          <c:y val="3.5947712418300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'服部案(FB推移グラフ)'!$B$28</c:f>
              <c:strCache>
                <c:ptCount val="1"/>
                <c:pt idx="0">
                  <c:v>ダイクス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'服部案(FB推移グラフ)'!$C$28:$H$28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C8-4CA7-8697-515038B6C8AC}"/>
            </c:ext>
          </c:extLst>
        </c:ser>
        <c:ser>
          <c:idx val="1"/>
          <c:order val="1"/>
          <c:tx>
            <c:strRef>
              <c:f>'服部案(FB推移グラフ)'!$B$29</c:f>
              <c:strCache>
                <c:ptCount val="1"/>
                <c:pt idx="0">
                  <c:v>中野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'服部案(FB推移グラフ)'!$C$29:$H$29</c:f>
              <c:numCache>
                <c:formatCode>General</c:formatCode>
                <c:ptCount val="6"/>
                <c:pt idx="0">
                  <c:v>1</c:v>
                </c:pt>
                <c:pt idx="1">
                  <c:v>6</c:v>
                </c:pt>
                <c:pt idx="2">
                  <c:v>2</c:v>
                </c:pt>
                <c:pt idx="3">
                  <c:v>0</c:v>
                </c:pt>
                <c:pt idx="4">
                  <c:v>19</c:v>
                </c:pt>
                <c:pt idx="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C8-4CA7-8697-515038B6C8AC}"/>
            </c:ext>
          </c:extLst>
        </c:ser>
        <c:ser>
          <c:idx val="2"/>
          <c:order val="2"/>
          <c:tx>
            <c:strRef>
              <c:f>'服部案(FB推移グラフ)'!$B$30</c:f>
              <c:strCache>
                <c:ptCount val="1"/>
                <c:pt idx="0">
                  <c:v>渡邊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'服部案(FB推移グラフ)'!$C$30:$H$30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C8-4CA7-8697-515038B6C8AC}"/>
            </c:ext>
          </c:extLst>
        </c:ser>
        <c:ser>
          <c:idx val="3"/>
          <c:order val="3"/>
          <c:tx>
            <c:strRef>
              <c:f>'服部案(FB推移グラフ)'!$B$31</c:f>
              <c:strCache>
                <c:ptCount val="1"/>
                <c:pt idx="0">
                  <c:v>江藤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'服部案(FB推移グラフ)'!$C$31:$H$31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BC8-4CA7-8697-515038B6C8AC}"/>
            </c:ext>
          </c:extLst>
        </c:ser>
        <c:ser>
          <c:idx val="4"/>
          <c:order val="4"/>
          <c:tx>
            <c:strRef>
              <c:f>'服部案(FB推移グラフ)'!$B$32</c:f>
              <c:strCache>
                <c:ptCount val="1"/>
                <c:pt idx="0">
                  <c:v>木村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'服部案(FB推移グラフ)'!$C$32:$H$32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15-493E-A0AE-A700EC98EAD9}"/>
            </c:ext>
          </c:extLst>
        </c:ser>
        <c:ser>
          <c:idx val="5"/>
          <c:order val="5"/>
          <c:tx>
            <c:strRef>
              <c:f>'服部案(FB推移グラフ)'!$B$33</c:f>
              <c:strCache>
                <c:ptCount val="1"/>
                <c:pt idx="0">
                  <c:v>西川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'服部案(FB推移グラフ)'!$C$27:$H$27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'服部案(FB推移グラフ)'!$C$33:$H$33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15-493E-A0AE-A700EC98E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562640"/>
        <c:axId val="817822320"/>
      </c:lineChart>
      <c:dateAx>
        <c:axId val="70556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7822320"/>
        <c:crosses val="autoZero"/>
        <c:auto val="1"/>
        <c:lblOffset val="100"/>
        <c:baseTimeUnit val="months"/>
      </c:dateAx>
      <c:valAx>
        <c:axId val="81782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ケアレスミス件数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556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指摘インシデント件数推移</a:t>
            </a:r>
          </a:p>
        </c:rich>
      </c:tx>
      <c:layout>
        <c:manualLayout>
          <c:xMode val="edge"/>
          <c:yMode val="edge"/>
          <c:x val="0.2111042733735953"/>
          <c:y val="3.59477124183006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'服部案(FB推移グラフ)'!$B$56</c:f>
              <c:strCache>
                <c:ptCount val="1"/>
                <c:pt idx="0">
                  <c:v>ダイクス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'服部案(FB推移グラフ)'!$C$56:$H$56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48-4E8B-ACDA-EE48E0858B9C}"/>
            </c:ext>
          </c:extLst>
        </c:ser>
        <c:ser>
          <c:idx val="1"/>
          <c:order val="1"/>
          <c:tx>
            <c:strRef>
              <c:f>'服部案(FB推移グラフ)'!$B$57</c:f>
              <c:strCache>
                <c:ptCount val="1"/>
                <c:pt idx="0">
                  <c:v>中野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'服部案(FB推移グラフ)'!$C$57:$H$57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7F-44B2-B8E8-5FE8560F70F3}"/>
            </c:ext>
          </c:extLst>
        </c:ser>
        <c:ser>
          <c:idx val="2"/>
          <c:order val="2"/>
          <c:tx>
            <c:strRef>
              <c:f>'服部案(FB推移グラフ)'!$B$58</c:f>
              <c:strCache>
                <c:ptCount val="1"/>
                <c:pt idx="0">
                  <c:v>渡邊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'服部案(FB推移グラフ)'!$C$58:$H$58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7F-44B2-B8E8-5FE8560F70F3}"/>
            </c:ext>
          </c:extLst>
        </c:ser>
        <c:ser>
          <c:idx val="3"/>
          <c:order val="3"/>
          <c:tx>
            <c:strRef>
              <c:f>'服部案(FB推移グラフ)'!$B$59</c:f>
              <c:strCache>
                <c:ptCount val="1"/>
                <c:pt idx="0">
                  <c:v>江藤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'服部案(FB推移グラフ)'!$C$59:$H$59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7F-44B2-B8E8-5FE8560F70F3}"/>
            </c:ext>
          </c:extLst>
        </c:ser>
        <c:ser>
          <c:idx val="4"/>
          <c:order val="4"/>
          <c:tx>
            <c:strRef>
              <c:f>'服部案(FB推移グラフ)'!$B$60</c:f>
              <c:strCache>
                <c:ptCount val="1"/>
                <c:pt idx="0">
                  <c:v>木村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'服部案(FB推移グラフ)'!$C$60:$H$60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C4-48EE-B27E-307F25287FCC}"/>
            </c:ext>
          </c:extLst>
        </c:ser>
        <c:ser>
          <c:idx val="5"/>
          <c:order val="5"/>
          <c:tx>
            <c:strRef>
              <c:f>'服部案(FB推移グラフ)'!$B$61</c:f>
              <c:strCache>
                <c:ptCount val="1"/>
                <c:pt idx="0">
                  <c:v>西川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'服部案(FB推移グラフ)'!$C$55:$H$55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'服部案(FB推移グラフ)'!$C$61:$H$61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C4-48EE-B27E-307F25287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562640"/>
        <c:axId val="817822320"/>
      </c:lineChart>
      <c:dateAx>
        <c:axId val="70556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7822320"/>
        <c:crosses val="autoZero"/>
        <c:auto val="1"/>
        <c:lblOffset val="100"/>
        <c:baseTimeUnit val="months"/>
      </c:dateAx>
      <c:valAx>
        <c:axId val="81782232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インシデント件数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05562640"/>
        <c:crosses val="autoZero"/>
        <c:crossBetween val="between"/>
        <c:majorUnit val="1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'服部案(FB推移グラフ)'!$B$84</c:f>
              <c:strCache>
                <c:ptCount val="1"/>
                <c:pt idx="0">
                  <c:v>ダイクス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'服部案(FB推移グラフ)'!$C$84:$H$84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FB-4E39-9FF1-FF2F8DB29F19}"/>
            </c:ext>
          </c:extLst>
        </c:ser>
        <c:ser>
          <c:idx val="1"/>
          <c:order val="1"/>
          <c:tx>
            <c:strRef>
              <c:f>'服部案(FB推移グラフ)'!$B$85</c:f>
              <c:strCache>
                <c:ptCount val="1"/>
                <c:pt idx="0">
                  <c:v>中野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'服部案(FB推移グラフ)'!$C$85:$H$85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FB-4E39-9FF1-FF2F8DB29F19}"/>
            </c:ext>
          </c:extLst>
        </c:ser>
        <c:ser>
          <c:idx val="2"/>
          <c:order val="2"/>
          <c:tx>
            <c:strRef>
              <c:f>'服部案(FB推移グラフ)'!$B$86</c:f>
              <c:strCache>
                <c:ptCount val="1"/>
                <c:pt idx="0">
                  <c:v>渡邊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'服部案(FB推移グラフ)'!$C$86:$H$86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FB-4E39-9FF1-FF2F8DB29F19}"/>
            </c:ext>
          </c:extLst>
        </c:ser>
        <c:ser>
          <c:idx val="3"/>
          <c:order val="3"/>
          <c:tx>
            <c:strRef>
              <c:f>'服部案(FB推移グラフ)'!$B$87</c:f>
              <c:strCache>
                <c:ptCount val="1"/>
                <c:pt idx="0">
                  <c:v>江藤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'服部案(FB推移グラフ)'!$C$87:$H$87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FB-4E39-9FF1-FF2F8DB29F19}"/>
            </c:ext>
          </c:extLst>
        </c:ser>
        <c:ser>
          <c:idx val="4"/>
          <c:order val="4"/>
          <c:tx>
            <c:strRef>
              <c:f>'服部案(FB推移グラフ)'!$B$88</c:f>
              <c:strCache>
                <c:ptCount val="1"/>
                <c:pt idx="0">
                  <c:v>木村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'服部案(FB推移グラフ)'!$C$88:$H$88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23-4E68-8F71-15C1B5FCB9A6}"/>
            </c:ext>
          </c:extLst>
        </c:ser>
        <c:ser>
          <c:idx val="5"/>
          <c:order val="5"/>
          <c:tx>
            <c:strRef>
              <c:f>'服部案(FB推移グラフ)'!$B$89</c:f>
              <c:strCache>
                <c:ptCount val="1"/>
                <c:pt idx="0">
                  <c:v>西川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'服部案(FB推移グラフ)'!$C$83:$H$83</c:f>
              <c:numCache>
                <c:formatCode>yyyy"年"m"月"</c:formatCode>
                <c:ptCount val="6"/>
                <c:pt idx="0">
                  <c:v>45170</c:v>
                </c:pt>
                <c:pt idx="1">
                  <c:v>45200</c:v>
                </c:pt>
                <c:pt idx="2">
                  <c:v>45231</c:v>
                </c:pt>
                <c:pt idx="3">
                  <c:v>45261</c:v>
                </c:pt>
                <c:pt idx="4">
                  <c:v>45292</c:v>
                </c:pt>
                <c:pt idx="5">
                  <c:v>45323</c:v>
                </c:pt>
              </c:numCache>
            </c:numRef>
          </c:cat>
          <c:val>
            <c:numRef>
              <c:f>'服部案(FB推移グラフ)'!$C$89:$H$89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23-4E68-8F71-15C1B5FCB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296272"/>
        <c:axId val="825179440"/>
      </c:lineChart>
      <c:dateAx>
        <c:axId val="483296272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5179440"/>
        <c:crosses val="autoZero"/>
        <c:auto val="1"/>
        <c:lblOffset val="100"/>
        <c:baseTimeUnit val="months"/>
      </c:dateAx>
      <c:valAx>
        <c:axId val="825179440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832962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指摘率累積棒グラフ</a:t>
            </a:r>
            <a:r>
              <a:rPr lang="en-US" altLang="ja-JP"/>
              <a:t>(</a:t>
            </a:r>
            <a:r>
              <a:rPr lang="ja-JP" altLang="en-US"/>
              <a:t>ケアレスミス</a:t>
            </a:r>
            <a:r>
              <a:rPr lang="en-US" altLang="ja-JP"/>
              <a:t>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人事異動・組織改編累FB率グラフ!$B$28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人事異動・組織改編累FB率グラフ!$C$28:$D$28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2-4A86-86B1-5CABAEA1FD68}"/>
            </c:ext>
          </c:extLst>
        </c:ser>
        <c:ser>
          <c:idx val="1"/>
          <c:order val="1"/>
          <c:tx>
            <c:strRef>
              <c:f>人事異動・組織改編累FB率グラフ!$B$29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人事異動・組織改編累FB率グラフ!$C$29:$D$29</c:f>
              <c:numCache>
                <c:formatCode>General</c:formatCode>
                <c:ptCount val="2"/>
                <c:pt idx="0">
                  <c:v>13.3</c:v>
                </c:pt>
                <c:pt idx="1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92-4A86-86B1-5CABAEA1FD68}"/>
            </c:ext>
          </c:extLst>
        </c:ser>
        <c:ser>
          <c:idx val="2"/>
          <c:order val="2"/>
          <c:tx>
            <c:strRef>
              <c:f>人事異動・組織改編累FB率グラフ!$B$30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人事異動・組織改編累FB率グラフ!$C$30:$D$30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92-4A86-86B1-5CABAEA1FD68}"/>
            </c:ext>
          </c:extLst>
        </c:ser>
        <c:ser>
          <c:idx val="3"/>
          <c:order val="3"/>
          <c:tx>
            <c:strRef>
              <c:f>人事異動・組織改編累FB率グラフ!$B$31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人事異動・組織改編累FB率グラフ!$C$31:$D$31</c:f>
              <c:numCache>
                <c:formatCode>General</c:formatCode>
                <c:ptCount val="2"/>
                <c:pt idx="0">
                  <c:v>20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92-4A86-86B1-5CABAEA1FD68}"/>
            </c:ext>
          </c:extLst>
        </c:ser>
        <c:ser>
          <c:idx val="4"/>
          <c:order val="4"/>
          <c:tx>
            <c:strRef>
              <c:f>人事異動・組織改編累FB率グラフ!$B$32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人事異動・組織改編累FB率グラフ!$C$32:$D$32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92-4A86-86B1-5CABAEA1FD68}"/>
            </c:ext>
          </c:extLst>
        </c:ser>
        <c:ser>
          <c:idx val="5"/>
          <c:order val="5"/>
          <c:tx>
            <c:strRef>
              <c:f>人事異動・組織改編累FB率グラフ!$B$33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人事異動・組織改編累FB率グラフ!$C$33:$D$33</c:f>
              <c:numCache>
                <c:formatCode>General</c:formatCode>
                <c:ptCount val="2"/>
                <c:pt idx="0">
                  <c:v>0.7</c:v>
                </c:pt>
                <c:pt idx="1">
                  <c:v>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92-4A86-86B1-5CABAEA1FD68}"/>
            </c:ext>
          </c:extLst>
        </c:ser>
        <c:ser>
          <c:idx val="6"/>
          <c:order val="6"/>
          <c:tx>
            <c:strRef>
              <c:f>人事異動・組織改編累FB率グラフ!$B$34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人事異動・組織改編累FB率グラフ!$C$34:$D$34</c:f>
              <c:numCache>
                <c:formatCode>General</c:formatCode>
                <c:ptCount val="2"/>
                <c:pt idx="0">
                  <c:v>0.4</c:v>
                </c:pt>
                <c:pt idx="1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8E-4982-A335-E7807B384910}"/>
            </c:ext>
          </c:extLst>
        </c:ser>
        <c:ser>
          <c:idx val="7"/>
          <c:order val="7"/>
          <c:tx>
            <c:strRef>
              <c:f>人事異動・組織改編累FB率グラフ!$B$35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人事異動・組織改編累FB率グラフ!$C$35:$D$35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8E-4982-A335-E7807B384910}"/>
            </c:ext>
          </c:extLst>
        </c:ser>
        <c:ser>
          <c:idx val="8"/>
          <c:order val="8"/>
          <c:tx>
            <c:strRef>
              <c:f>人事異動・組織改編累FB率グラフ!$B$36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人事異動・組織改編累FB率グラフ!$C$27:$D$27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人事異動・組織改編累FB率グラフ!$C$36:$D$36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8E-4982-A335-E7807B384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FB</a:t>
                </a:r>
                <a:r>
                  <a:rPr lang="ja-JP" altLang="en-US"/>
                  <a:t>指摘率</a:t>
                </a:r>
                <a:r>
                  <a:rPr lang="en-US" altLang="ja-JP"/>
                  <a:t>(%)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FB</a:t>
            </a: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指摘率累積棒グラフ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ja-JP" altLang="en-US"/>
              <a:t>インシデント</a:t>
            </a:r>
            <a:r>
              <a:rPr lang="en-US" altLang="ja-JP"/>
              <a:t>)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人事異動・組織改編累FB率グラフ!$B$59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人事異動・組織改編累FB率グラフ!$C$59:$D$59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5-48C1-AE74-B0BB77001377}"/>
            </c:ext>
          </c:extLst>
        </c:ser>
        <c:ser>
          <c:idx val="1"/>
          <c:order val="1"/>
          <c:tx>
            <c:strRef>
              <c:f>人事異動・組織改編累FB率グラフ!$B$60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人事異動・組織改編累FB率グラフ!$C$60:$D$60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35-48C1-AE74-B0BB77001377}"/>
            </c:ext>
          </c:extLst>
        </c:ser>
        <c:ser>
          <c:idx val="2"/>
          <c:order val="2"/>
          <c:tx>
            <c:strRef>
              <c:f>人事異動・組織改編累FB率グラフ!$B$61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人事異動・組織改編累FB率グラフ!$C$61:$D$61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35-48C1-AE74-B0BB77001377}"/>
            </c:ext>
          </c:extLst>
        </c:ser>
        <c:ser>
          <c:idx val="3"/>
          <c:order val="3"/>
          <c:tx>
            <c:strRef>
              <c:f>人事異動・組織改編累FB率グラフ!$B$62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人事異動・組織改編累FB率グラフ!$C$62:$D$62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35-48C1-AE74-B0BB77001377}"/>
            </c:ext>
          </c:extLst>
        </c:ser>
        <c:ser>
          <c:idx val="4"/>
          <c:order val="4"/>
          <c:tx>
            <c:strRef>
              <c:f>人事異動・組織改編累FB率グラフ!$B$63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人事異動・組織改編累FB率グラフ!$C$63:$D$63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35-48C1-AE74-B0BB77001377}"/>
            </c:ext>
          </c:extLst>
        </c:ser>
        <c:ser>
          <c:idx val="5"/>
          <c:order val="5"/>
          <c:tx>
            <c:strRef>
              <c:f>人事異動・組織改編累FB率グラフ!$B$64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人事異動・組織改編累FB率グラフ!$C$64:$D$64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C35-48C1-AE74-B0BB77001377}"/>
            </c:ext>
          </c:extLst>
        </c:ser>
        <c:ser>
          <c:idx val="6"/>
          <c:order val="6"/>
          <c:tx>
            <c:strRef>
              <c:f>人事異動・組織改編累FB率グラフ!$B$65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人事異動・組織改編累FB率グラフ!$C$65:$D$65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13-4AF8-BB4B-1ABAF6A3EAFD}"/>
            </c:ext>
          </c:extLst>
        </c:ser>
        <c:ser>
          <c:idx val="7"/>
          <c:order val="7"/>
          <c:tx>
            <c:strRef>
              <c:f>人事異動・組織改編累FB率グラフ!$B$66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人事異動・組織改編累FB率グラフ!$C$66:$D$66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13-4AF8-BB4B-1ABAF6A3EAFD}"/>
            </c:ext>
          </c:extLst>
        </c:ser>
        <c:ser>
          <c:idx val="8"/>
          <c:order val="8"/>
          <c:tx>
            <c:strRef>
              <c:f>人事異動・組織改編累FB率グラフ!$B$67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人事異動・組織改編累FB率グラフ!$C$58:$D$58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人事異動・組織改編累FB率グラフ!$C$67:$D$67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513-4AF8-BB4B-1ABAF6A3E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FB</a:t>
                </a: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指摘率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(%)</a:t>
                </a:r>
                <a:endParaRPr lang="ja-JP" alt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FB</a:t>
            </a: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指摘率累積棒グラフ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(</a:t>
            </a:r>
            <a:r>
              <a:rPr lang="ja-JP" alt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解釈</a:t>
            </a:r>
            <a:r>
              <a:rPr lang="en-US" altLang="ja-JP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)</a:t>
            </a:r>
            <a:endParaRPr lang="ja-JP" altLang="en-US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65000"/>
                    <a:lumOff val="35000"/>
                  </a:sysClr>
                </a:solidFill>
              </a:defRPr>
            </a:pP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人事異動・組織改編累FB率グラフ!$B$93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人事異動・組織改編累FB率グラフ!$C$93:$D$93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DA-466E-B70D-CF1638F3D7E3}"/>
            </c:ext>
          </c:extLst>
        </c:ser>
        <c:ser>
          <c:idx val="1"/>
          <c:order val="1"/>
          <c:tx>
            <c:strRef>
              <c:f>人事異動・組織改編累FB率グラフ!$B$94</c:f>
              <c:strCache>
                <c:ptCount val="1"/>
                <c:pt idx="0">
                  <c:v>照井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人事異動・組織改編累FB率グラフ!$C$94:$D$94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DA-466E-B70D-CF1638F3D7E3}"/>
            </c:ext>
          </c:extLst>
        </c:ser>
        <c:ser>
          <c:idx val="2"/>
          <c:order val="2"/>
          <c:tx>
            <c:strRef>
              <c:f>人事異動・組織改編累FB率グラフ!$B$95</c:f>
              <c:strCache>
                <c:ptCount val="1"/>
                <c:pt idx="0">
                  <c:v>前田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人事異動・組織改編累FB率グラフ!$C$95:$D$95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4DA-466E-B70D-CF1638F3D7E3}"/>
            </c:ext>
          </c:extLst>
        </c:ser>
        <c:ser>
          <c:idx val="3"/>
          <c:order val="3"/>
          <c:tx>
            <c:strRef>
              <c:f>人事異動・組織改編累FB率グラフ!$B$96</c:f>
              <c:strCache>
                <c:ptCount val="1"/>
                <c:pt idx="0">
                  <c:v>服部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人事異動・組織改編累FB率グラフ!$C$96:$D$96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4DA-466E-B70D-CF1638F3D7E3}"/>
            </c:ext>
          </c:extLst>
        </c:ser>
        <c:ser>
          <c:idx val="4"/>
          <c:order val="4"/>
          <c:tx>
            <c:strRef>
              <c:f>人事異動・組織改編累FB率グラフ!$B$97</c:f>
              <c:strCache>
                <c:ptCount val="1"/>
                <c:pt idx="0">
                  <c:v>和田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人事異動・組織改編累FB率グラフ!$C$97:$D$97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A-466E-B70D-CF1638F3D7E3}"/>
            </c:ext>
          </c:extLst>
        </c:ser>
        <c:ser>
          <c:idx val="5"/>
          <c:order val="5"/>
          <c:tx>
            <c:strRef>
              <c:f>人事異動・組織改編累FB率グラフ!$B$98</c:f>
              <c:strCache>
                <c:ptCount val="1"/>
                <c:pt idx="0">
                  <c:v>深澤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人事異動・組織改編累FB率グラフ!$C$98:$D$98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DA-466E-B70D-CF1638F3D7E3}"/>
            </c:ext>
          </c:extLst>
        </c:ser>
        <c:ser>
          <c:idx val="6"/>
          <c:order val="6"/>
          <c:tx>
            <c:strRef>
              <c:f>人事異動・組織改編累FB率グラフ!$B$99</c:f>
              <c:strCache>
                <c:ptCount val="1"/>
                <c:pt idx="0">
                  <c:v>長谷川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人事異動・組織改編累FB率グラフ!$C$99:$D$99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8A-4BFC-88D8-4486798DCB40}"/>
            </c:ext>
          </c:extLst>
        </c:ser>
        <c:ser>
          <c:idx val="7"/>
          <c:order val="7"/>
          <c:tx>
            <c:strRef>
              <c:f>人事異動・組織改編累FB率グラフ!$B$100</c:f>
              <c:strCache>
                <c:ptCount val="1"/>
                <c:pt idx="0">
                  <c:v>西川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人事異動・組織改編累FB率グラフ!$C$100:$D$100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8A-4BFC-88D8-4486798DCB40}"/>
            </c:ext>
          </c:extLst>
        </c:ser>
        <c:ser>
          <c:idx val="8"/>
          <c:order val="8"/>
          <c:tx>
            <c:strRef>
              <c:f>人事異動・組織改編累FB率グラフ!$B$101</c:f>
              <c:strCache>
                <c:ptCount val="1"/>
                <c:pt idx="0">
                  <c:v>本山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人事異動・組織改編累FB率グラフ!$C$92:$D$92</c:f>
              <c:numCache>
                <c:formatCode>yyyy"年"m"月"</c:formatCode>
                <c:ptCount val="2"/>
                <c:pt idx="0">
                  <c:v>45292</c:v>
                </c:pt>
                <c:pt idx="1">
                  <c:v>45323</c:v>
                </c:pt>
              </c:numCache>
            </c:numRef>
          </c:cat>
          <c:val>
            <c:numRef>
              <c:f>人事異動・組織改編累FB率グラフ!$C$101:$D$101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8A-4BFC-88D8-4486798DC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FB</a:t>
                </a:r>
                <a:r>
                  <a:rPr lang="ja-JP" altLang="en-US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指摘率</a:t>
                </a:r>
                <a:r>
                  <a:rPr lang="en-US" altLang="ja-JP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(%)</a:t>
                </a:r>
                <a:endParaRPr lang="ja-JP" alt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altLang="ja-JP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游ゴシック" panose="020B0400000000000000" pitchFamily="50" charset="-128"/>
              </a:rPr>
              <a:t>FB</a:t>
            </a:r>
            <a:r>
              <a:rPr kumimoji="0" lang="ja-JP" alt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游ゴシック" panose="020B0400000000000000" pitchFamily="50" charset="-128"/>
              </a:rPr>
              <a:t>指摘ケアレスミス件数、累積積み上げグラフ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グラフテスト'!$B$28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グラフテスト'!$C$28:$R$28</c:f>
              <c:numCache>
                <c:formatCode>General</c:formatCode>
                <c:ptCount val="16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18-479E-82F6-0F952AADA289}"/>
            </c:ext>
          </c:extLst>
        </c:ser>
        <c:ser>
          <c:idx val="1"/>
          <c:order val="1"/>
          <c:tx>
            <c:strRef>
              <c:f>'myTE　グラフテスト'!$B$29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グラフテスト'!$C$29:$R$29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18-479E-82F6-0F952AADA289}"/>
            </c:ext>
          </c:extLst>
        </c:ser>
        <c:ser>
          <c:idx val="2"/>
          <c:order val="2"/>
          <c:tx>
            <c:strRef>
              <c:f>'myTE　グラフテスト'!$B$30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グラフテスト'!$C$30:$R$30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18-479E-82F6-0F952AADA289}"/>
            </c:ext>
          </c:extLst>
        </c:ser>
        <c:ser>
          <c:idx val="3"/>
          <c:order val="3"/>
          <c:tx>
            <c:strRef>
              <c:f>'myTE　グラフテスト'!$B$31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グラフテスト'!$C$31:$R$31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818-479E-82F6-0F952AADA289}"/>
            </c:ext>
          </c:extLst>
        </c:ser>
        <c:ser>
          <c:idx val="4"/>
          <c:order val="4"/>
          <c:tx>
            <c:strRef>
              <c:f>'myTE　グラフテスト'!$B$32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グラフテスト'!$C$32:$R$32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818-479E-82F6-0F952AADA289}"/>
            </c:ext>
          </c:extLst>
        </c:ser>
        <c:ser>
          <c:idx val="6"/>
          <c:order val="6"/>
          <c:tx>
            <c:strRef>
              <c:f>'myTE　グラフテスト'!$B$34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グラフテスト'!$C$34:$R$34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818-479E-82F6-0F952AADA289}"/>
            </c:ext>
          </c:extLst>
        </c:ser>
        <c:ser>
          <c:idx val="5"/>
          <c:order val="5"/>
          <c:tx>
            <c:strRef>
              <c:f>'myTE　グラフテスト'!$B$33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グラフテスト'!$C$27:$R$27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グラフテスト'!$C$33:$R$33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818-479E-82F6-0F952AADA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9537840"/>
        <c:axId val="1839538800"/>
      </c:barChart>
      <c:dateAx>
        <c:axId val="1839537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39538800"/>
        <c:crosses val="autoZero"/>
        <c:auto val="1"/>
        <c:lblOffset val="100"/>
        <c:baseTimeUnit val="months"/>
      </c:dateAx>
      <c:valAx>
        <c:axId val="183953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83953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指摘解釈・理解があいまい件数、累積積み上げグラフ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グラフテスト'!$B$61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グラフテスト'!$C$61:$R$61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A7-48B6-833B-088957765B9A}"/>
            </c:ext>
          </c:extLst>
        </c:ser>
        <c:ser>
          <c:idx val="1"/>
          <c:order val="1"/>
          <c:tx>
            <c:strRef>
              <c:f>'myTE　グラフテスト'!$B$62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グラフテスト'!$C$62:$R$62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A7-48B6-833B-088957765B9A}"/>
            </c:ext>
          </c:extLst>
        </c:ser>
        <c:ser>
          <c:idx val="2"/>
          <c:order val="2"/>
          <c:tx>
            <c:strRef>
              <c:f>'myTE　グラフテスト'!$B$63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グラフテスト'!$C$63:$R$63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A7-48B6-833B-088957765B9A}"/>
            </c:ext>
          </c:extLst>
        </c:ser>
        <c:ser>
          <c:idx val="3"/>
          <c:order val="3"/>
          <c:tx>
            <c:strRef>
              <c:f>'myTE　グラフテスト'!$B$64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グラフテスト'!$C$64:$R$64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A7-48B6-833B-088957765B9A}"/>
            </c:ext>
          </c:extLst>
        </c:ser>
        <c:ser>
          <c:idx val="4"/>
          <c:order val="4"/>
          <c:tx>
            <c:strRef>
              <c:f>'myTE　グラフテスト'!$B$65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グラフテスト'!$C$65:$R$65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A7-48B6-833B-088957765B9A}"/>
            </c:ext>
          </c:extLst>
        </c:ser>
        <c:ser>
          <c:idx val="5"/>
          <c:order val="5"/>
          <c:tx>
            <c:strRef>
              <c:f>'myTE　グラフテスト'!$B$66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グラフテスト'!$C$66:$R$66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A7-48B6-833B-088957765B9A}"/>
            </c:ext>
          </c:extLst>
        </c:ser>
        <c:ser>
          <c:idx val="6"/>
          <c:order val="6"/>
          <c:tx>
            <c:strRef>
              <c:f>'myTE　グラフテスト'!$B$67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グラフテスト'!$C$60:$R$60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グラフテスト'!$C$67:$R$67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A7-48B6-833B-088957765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指摘マニュアル不備件数、累積積み上げグラフ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グラフテスト'!$B$95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グラフテスト'!$C$95:$R$95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CE-40DE-A71A-D6729979B19A}"/>
            </c:ext>
          </c:extLst>
        </c:ser>
        <c:ser>
          <c:idx val="1"/>
          <c:order val="1"/>
          <c:tx>
            <c:strRef>
              <c:f>'myTE　グラフテスト'!$B$96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グラフテスト'!$C$96:$R$96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CE-40DE-A71A-D6729979B19A}"/>
            </c:ext>
          </c:extLst>
        </c:ser>
        <c:ser>
          <c:idx val="2"/>
          <c:order val="2"/>
          <c:tx>
            <c:strRef>
              <c:f>'myTE　グラフテスト'!$B$97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グラフテスト'!$C$97:$R$97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CE-40DE-A71A-D6729979B19A}"/>
            </c:ext>
          </c:extLst>
        </c:ser>
        <c:ser>
          <c:idx val="3"/>
          <c:order val="3"/>
          <c:tx>
            <c:strRef>
              <c:f>'myTE　グラフテスト'!$B$98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グラフテスト'!$C$98:$R$98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CE-40DE-A71A-D6729979B19A}"/>
            </c:ext>
          </c:extLst>
        </c:ser>
        <c:ser>
          <c:idx val="4"/>
          <c:order val="4"/>
          <c:tx>
            <c:strRef>
              <c:f>'myTE　グラフテスト'!$B$99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グラフテスト'!$C$99:$R$99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2CE-40DE-A71A-D6729979B19A}"/>
            </c:ext>
          </c:extLst>
        </c:ser>
        <c:ser>
          <c:idx val="5"/>
          <c:order val="5"/>
          <c:tx>
            <c:strRef>
              <c:f>'myTE　グラフテスト'!$B$100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グラフテスト'!$C$100:$R$100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2CE-40DE-A71A-D6729979B19A}"/>
            </c:ext>
          </c:extLst>
        </c:ser>
        <c:ser>
          <c:idx val="6"/>
          <c:order val="6"/>
          <c:tx>
            <c:strRef>
              <c:f>'myTE　グラフテスト'!$B$101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グラフテスト'!$C$94:$R$94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グラフテスト'!$C$101:$R$101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CE-40DE-A71A-D6729979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指摘その他件数、累積積み上げグラフ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グラフテスト'!$B$129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グラフテスト'!$C$129:$R$129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F-498A-83E6-AC287EAC2DEC}"/>
            </c:ext>
          </c:extLst>
        </c:ser>
        <c:ser>
          <c:idx val="1"/>
          <c:order val="1"/>
          <c:tx>
            <c:strRef>
              <c:f>'myTE　グラフテスト'!$B$130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グラフテスト'!$C$130:$R$130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F-498A-83E6-AC287EAC2DEC}"/>
            </c:ext>
          </c:extLst>
        </c:ser>
        <c:ser>
          <c:idx val="2"/>
          <c:order val="2"/>
          <c:tx>
            <c:strRef>
              <c:f>'myTE　グラフテスト'!$B$131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グラフテスト'!$C$131:$R$131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F-498A-83E6-AC287EAC2DEC}"/>
            </c:ext>
          </c:extLst>
        </c:ser>
        <c:ser>
          <c:idx val="3"/>
          <c:order val="3"/>
          <c:tx>
            <c:strRef>
              <c:f>'myTE　グラフテスト'!$B$132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グラフテスト'!$C$132:$R$132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9F-498A-83E6-AC287EAC2DEC}"/>
            </c:ext>
          </c:extLst>
        </c:ser>
        <c:ser>
          <c:idx val="4"/>
          <c:order val="4"/>
          <c:tx>
            <c:strRef>
              <c:f>'myTE　グラフテスト'!$B$133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グラフテスト'!$C$133:$R$133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9F-498A-83E6-AC287EAC2DEC}"/>
            </c:ext>
          </c:extLst>
        </c:ser>
        <c:ser>
          <c:idx val="5"/>
          <c:order val="5"/>
          <c:tx>
            <c:strRef>
              <c:f>'myTE　グラフテスト'!$B$134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グラフテスト'!$C$134:$R$134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9F-498A-83E6-AC287EAC2DEC}"/>
            </c:ext>
          </c:extLst>
        </c:ser>
        <c:ser>
          <c:idx val="6"/>
          <c:order val="6"/>
          <c:tx>
            <c:strRef>
              <c:f>'myTE　グラフテスト'!$B$135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グラフテスト'!$C$128:$R$128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グラフテスト'!$C$135:$R$135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9F-498A-83E6-AC287EAC2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FB</a:t>
            </a:r>
            <a:r>
              <a:rPr lang="ja-JP" altLang="en-US"/>
              <a:t>指摘インシデント件数、累積積み上げグラフ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'myTE　グラフテスト'!$B$163</c:f>
              <c:strCache>
                <c:ptCount val="1"/>
                <c:pt idx="0">
                  <c:v>ダイクス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グラフテスト'!$C$163:$R$163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BE-4D8D-9E28-8C86345B7FD3}"/>
            </c:ext>
          </c:extLst>
        </c:ser>
        <c:ser>
          <c:idx val="1"/>
          <c:order val="1"/>
          <c:tx>
            <c:strRef>
              <c:f>'myTE　グラフテスト'!$B$164</c:f>
              <c:strCache>
                <c:ptCount val="1"/>
                <c:pt idx="0">
                  <c:v>中野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グラフテスト'!$C$164:$R$164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9BE-4D8D-9E28-8C86345B7FD3}"/>
            </c:ext>
          </c:extLst>
        </c:ser>
        <c:ser>
          <c:idx val="2"/>
          <c:order val="2"/>
          <c:tx>
            <c:strRef>
              <c:f>'myTE　グラフテスト'!$B$165</c:f>
              <c:strCache>
                <c:ptCount val="1"/>
                <c:pt idx="0">
                  <c:v>渡邊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グラフテスト'!$C$165:$R$165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9BE-4D8D-9E28-8C86345B7FD3}"/>
            </c:ext>
          </c:extLst>
        </c:ser>
        <c:ser>
          <c:idx val="3"/>
          <c:order val="3"/>
          <c:tx>
            <c:strRef>
              <c:f>'myTE　グラフテスト'!$B$166</c:f>
              <c:strCache>
                <c:ptCount val="1"/>
                <c:pt idx="0">
                  <c:v>江藤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グラフテスト'!$C$166:$R$166</c:f>
              <c:numCache>
                <c:formatCode>General</c:formatCode>
                <c:ptCount val="16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9BE-4D8D-9E28-8C86345B7FD3}"/>
            </c:ext>
          </c:extLst>
        </c:ser>
        <c:ser>
          <c:idx val="4"/>
          <c:order val="4"/>
          <c:tx>
            <c:strRef>
              <c:f>'myTE　グラフテスト'!$B$167</c:f>
              <c:strCache>
                <c:ptCount val="1"/>
                <c:pt idx="0">
                  <c:v>木村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グラフテスト'!$C$167:$R$167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9BE-4D8D-9E28-8C86345B7FD3}"/>
            </c:ext>
          </c:extLst>
        </c:ser>
        <c:ser>
          <c:idx val="5"/>
          <c:order val="5"/>
          <c:tx>
            <c:strRef>
              <c:f>'myTE　グラフテスト'!$B$168</c:f>
              <c:strCache>
                <c:ptCount val="1"/>
                <c:pt idx="0">
                  <c:v>野沢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グラフテスト'!$C$168:$R$168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9BE-4D8D-9E28-8C86345B7FD3}"/>
            </c:ext>
          </c:extLst>
        </c:ser>
        <c:ser>
          <c:idx val="6"/>
          <c:order val="6"/>
          <c:tx>
            <c:strRef>
              <c:f>'myTE　グラフテスト'!$B$169</c:f>
              <c:strCache>
                <c:ptCount val="1"/>
                <c:pt idx="0">
                  <c:v>谷口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'myTE　グラフテスト'!$C$162:$R$162</c:f>
              <c:numCache>
                <c:formatCode>yyyy"年"m"月"</c:formatCode>
                <c:ptCount val="16"/>
                <c:pt idx="0">
                  <c:v>45383</c:v>
                </c:pt>
                <c:pt idx="1">
                  <c:v>45413</c:v>
                </c:pt>
                <c:pt idx="2">
                  <c:v>45444</c:v>
                </c:pt>
                <c:pt idx="3">
                  <c:v>45474</c:v>
                </c:pt>
                <c:pt idx="4">
                  <c:v>45505</c:v>
                </c:pt>
                <c:pt idx="5">
                  <c:v>45536</c:v>
                </c:pt>
                <c:pt idx="6">
                  <c:v>45566</c:v>
                </c:pt>
                <c:pt idx="7">
                  <c:v>45597</c:v>
                </c:pt>
                <c:pt idx="8">
                  <c:v>45627</c:v>
                </c:pt>
                <c:pt idx="9">
                  <c:v>45658</c:v>
                </c:pt>
                <c:pt idx="10">
                  <c:v>45689</c:v>
                </c:pt>
                <c:pt idx="11">
                  <c:v>45717</c:v>
                </c:pt>
                <c:pt idx="12">
                  <c:v>45748</c:v>
                </c:pt>
                <c:pt idx="13">
                  <c:v>45778</c:v>
                </c:pt>
                <c:pt idx="14">
                  <c:v>45809</c:v>
                </c:pt>
                <c:pt idx="15">
                  <c:v>45839</c:v>
                </c:pt>
              </c:numCache>
            </c:numRef>
          </c:cat>
          <c:val>
            <c:numRef>
              <c:f>'myTE　グラフテスト'!$C$169:$R$169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9BE-4D8D-9E28-8C86345B7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52184415"/>
        <c:axId val="1959456351"/>
      </c:barChart>
      <c:dateAx>
        <c:axId val="19521844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作業年月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yyyy&quot;年&quot;m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9456351"/>
        <c:crosses val="autoZero"/>
        <c:auto val="1"/>
        <c:lblOffset val="100"/>
        <c:baseTimeUnit val="months"/>
      </c:dateAx>
      <c:valAx>
        <c:axId val="195945635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件数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952184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5" Type="http://schemas.openxmlformats.org/officeDocument/2006/relationships/chart" Target="../charts/chart48.xml"/><Relationship Id="rId4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66AEA7C-8A58-41FD-BF2D-9831A73D7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364A977-8BC4-4F96-89DA-3529991C43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B4CA6CB-8FC4-45BB-BAC4-298B5D25C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D7B3FEF-5CF3-4191-8B27-AC10EC697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C15745C8-FF08-417B-B172-53C84A7853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2A55875-1C7D-4EC9-9BD0-214EB52FE9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FBC9F1C3-32E9-4F56-AB65-628B57A8C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F3630EE7-60BF-4C60-8154-A6FBD4E979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DDF0D79F-D171-4561-BD00-23148178BB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EEFF1233-EF68-4D54-BB4D-D2023931DC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953850A-F57F-47EB-A0E7-D2F022687A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A7456DB-025B-4655-97C2-5C96F5D4F3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F157806-25AE-48AE-BB86-0D6EB973DA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4AA117D9-D674-4A7E-9381-FED95495D8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9FD1C966-47E3-46C7-A018-BABE23763E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28C1BDF-1DF6-4F0B-887C-77BCB6854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100FCAFC-2719-4051-B356-9BFFCFE52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72</xdr:row>
      <xdr:rowOff>0</xdr:rowOff>
    </xdr:from>
    <xdr:to>
      <xdr:col>10</xdr:col>
      <xdr:colOff>1588</xdr:colOff>
      <xdr:row>86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643E3F6-6AB1-44F7-90A7-593B2D83A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103</xdr:row>
      <xdr:rowOff>0</xdr:rowOff>
    </xdr:from>
    <xdr:to>
      <xdr:col>10</xdr:col>
      <xdr:colOff>1588</xdr:colOff>
      <xdr:row>117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52FF6CE0-EEDC-4710-860C-72E2D676EF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132</xdr:row>
      <xdr:rowOff>0</xdr:rowOff>
    </xdr:from>
    <xdr:to>
      <xdr:col>10</xdr:col>
      <xdr:colOff>1588</xdr:colOff>
      <xdr:row>146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32BE2C97-8B32-44A0-B8CB-C3D893AA38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20A3AAD8-A726-435B-8330-BA53BEA89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27CF3F49-3653-4894-890C-E3D22CA8D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2FF4587-7F3D-4915-AD1B-5B79D37427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CAA4A68A-2379-4D82-890A-DEAF515DF92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71164467-BB5A-494E-AD45-2E56ECE0A7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44450</xdr:colOff>
      <xdr:row>13</xdr:row>
      <xdr:rowOff>19050</xdr:rowOff>
    </xdr:from>
    <xdr:to>
      <xdr:col>11</xdr:col>
      <xdr:colOff>76200</xdr:colOff>
      <xdr:row>16</xdr:row>
      <xdr:rowOff>38100</xdr:rowOff>
    </xdr:to>
    <xdr:sp macro="[0]!Module1.MyTe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FCDC73BA-EEBA-D4A1-835C-4C585653537F}"/>
            </a:ext>
          </a:extLst>
        </xdr:cNvPr>
        <xdr:cNvSpPr/>
      </xdr:nvSpPr>
      <xdr:spPr>
        <a:xfrm>
          <a:off x="9994900" y="2990850"/>
          <a:ext cx="1517650" cy="704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  <xdr:twoCellAnchor>
    <xdr:from>
      <xdr:col>10</xdr:col>
      <xdr:colOff>25400</xdr:colOff>
      <xdr:row>6</xdr:row>
      <xdr:rowOff>6350</xdr:rowOff>
    </xdr:from>
    <xdr:to>
      <xdr:col>11</xdr:col>
      <xdr:colOff>6350</xdr:colOff>
      <xdr:row>10</xdr:row>
      <xdr:rowOff>12700</xdr:rowOff>
    </xdr:to>
    <xdr:sp macro="[0]!myTE_Mai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793E867-8AC7-DF75-BA68-090AE9D50FA9}"/>
            </a:ext>
          </a:extLst>
        </xdr:cNvPr>
        <xdr:cNvSpPr/>
      </xdr:nvSpPr>
      <xdr:spPr>
        <a:xfrm>
          <a:off x="9975850" y="1377950"/>
          <a:ext cx="1466850" cy="9207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データクリアと入力シートから集計シートにコピー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</xdr:colOff>
      <xdr:row>9</xdr:row>
      <xdr:rowOff>19050</xdr:rowOff>
    </xdr:from>
    <xdr:to>
      <xdr:col>14</xdr:col>
      <xdr:colOff>127000</xdr:colOff>
      <xdr:row>11</xdr:row>
      <xdr:rowOff>209550</xdr:rowOff>
    </xdr:to>
    <xdr:sp macro="[0]!Module2.IandD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3469F4BF-7FD7-4283-B8F4-119AFDFD55EF}"/>
            </a:ext>
          </a:extLst>
        </xdr:cNvPr>
        <xdr:cNvSpPr/>
      </xdr:nvSpPr>
      <xdr:spPr>
        <a:xfrm>
          <a:off x="13893800" y="2076450"/>
          <a:ext cx="1498600" cy="6477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  <xdr:twoCellAnchor>
    <xdr:from>
      <xdr:col>13</xdr:col>
      <xdr:colOff>50800</xdr:colOff>
      <xdr:row>5</xdr:row>
      <xdr:rowOff>25400</xdr:rowOff>
    </xdr:from>
    <xdr:to>
      <xdr:col>14</xdr:col>
      <xdr:colOff>127000</xdr:colOff>
      <xdr:row>8</xdr:row>
      <xdr:rowOff>6350</xdr:rowOff>
    </xdr:to>
    <xdr:sp macro="[0]!iandd_data_clea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65A2D2E0-319C-44AB-8BEA-6A248160A673}"/>
            </a:ext>
          </a:extLst>
        </xdr:cNvPr>
        <xdr:cNvSpPr/>
      </xdr:nvSpPr>
      <xdr:spPr>
        <a:xfrm>
          <a:off x="13925550" y="1168400"/>
          <a:ext cx="1466850" cy="6667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データクリア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32</xdr:row>
      <xdr:rowOff>3174</xdr:rowOff>
    </xdr:from>
    <xdr:to>
      <xdr:col>0</xdr:col>
      <xdr:colOff>1670050</xdr:colOff>
      <xdr:row>35</xdr:row>
      <xdr:rowOff>31749</xdr:rowOff>
    </xdr:to>
    <xdr:sp macro="[0]!Jinji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BE59162-1BCB-4267-B39A-C822BA217235}"/>
            </a:ext>
          </a:extLst>
        </xdr:cNvPr>
        <xdr:cNvSpPr/>
      </xdr:nvSpPr>
      <xdr:spPr>
        <a:xfrm>
          <a:off x="215900" y="7318374"/>
          <a:ext cx="1454150" cy="7143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  <xdr:twoCellAnchor>
    <xdr:from>
      <xdr:col>0</xdr:col>
      <xdr:colOff>234950</xdr:colOff>
      <xdr:row>27</xdr:row>
      <xdr:rowOff>25400</xdr:rowOff>
    </xdr:from>
    <xdr:to>
      <xdr:col>0</xdr:col>
      <xdr:colOff>1701800</xdr:colOff>
      <xdr:row>30</xdr:row>
      <xdr:rowOff>6350</xdr:rowOff>
    </xdr:to>
    <xdr:sp macro="[0]!jinji_data_clea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350FC4AC-0747-4247-BA12-F58D6A9747F6}"/>
            </a:ext>
          </a:extLst>
        </xdr:cNvPr>
        <xdr:cNvSpPr/>
      </xdr:nvSpPr>
      <xdr:spPr>
        <a:xfrm>
          <a:off x="234950" y="6197600"/>
          <a:ext cx="1466850" cy="6667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データクリア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32</xdr:row>
      <xdr:rowOff>219075</xdr:rowOff>
    </xdr:from>
    <xdr:to>
      <xdr:col>0</xdr:col>
      <xdr:colOff>2089150</xdr:colOff>
      <xdr:row>36</xdr:row>
      <xdr:rowOff>9525</xdr:rowOff>
    </xdr:to>
    <xdr:sp macro="[0]!Chukei_Insert_data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9DA4EBE3-CD6D-4DD5-9924-A2CC2779FC3D}"/>
            </a:ext>
          </a:extLst>
        </xdr:cNvPr>
        <xdr:cNvSpPr/>
      </xdr:nvSpPr>
      <xdr:spPr>
        <a:xfrm>
          <a:off x="228600" y="7534275"/>
          <a:ext cx="1860550" cy="7048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グラフ用シートにデータ貼り付け</a:t>
          </a:r>
        </a:p>
      </xdr:txBody>
    </xdr:sp>
    <xdr:clientData/>
  </xdr:twoCellAnchor>
  <xdr:twoCellAnchor>
    <xdr:from>
      <xdr:col>0</xdr:col>
      <xdr:colOff>304800</xdr:colOff>
      <xdr:row>28</xdr:row>
      <xdr:rowOff>31750</xdr:rowOff>
    </xdr:from>
    <xdr:to>
      <xdr:col>0</xdr:col>
      <xdr:colOff>1771650</xdr:colOff>
      <xdr:row>31</xdr:row>
      <xdr:rowOff>12700</xdr:rowOff>
    </xdr:to>
    <xdr:sp macro="[0]!jinji_data_clear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29C9E873-2EFA-41C5-81BB-C5D36B769FB8}"/>
            </a:ext>
          </a:extLst>
        </xdr:cNvPr>
        <xdr:cNvSpPr/>
      </xdr:nvSpPr>
      <xdr:spPr>
        <a:xfrm>
          <a:off x="304800" y="6432550"/>
          <a:ext cx="1466850" cy="666750"/>
        </a:xfrm>
        <a:prstGeom prst="round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データクリア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68" name="グラフ 1">
          <a:extLst>
            <a:ext uri="{FF2B5EF4-FFF2-40B4-BE49-F238E27FC236}">
              <a16:creationId xmlns:a16="http://schemas.microsoft.com/office/drawing/2014/main" id="{9568B613-14BC-4D76-B9BB-FBC4B2A0FA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46" name="グラフ 2">
          <a:extLst>
            <a:ext uri="{FF2B5EF4-FFF2-40B4-BE49-F238E27FC236}">
              <a16:creationId xmlns:a16="http://schemas.microsoft.com/office/drawing/2014/main" id="{67BC0179-A8AB-48A7-A367-0A44B89027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72</xdr:row>
      <xdr:rowOff>0</xdr:rowOff>
    </xdr:from>
    <xdr:to>
      <xdr:col>10</xdr:col>
      <xdr:colOff>1588</xdr:colOff>
      <xdr:row>86</xdr:row>
      <xdr:rowOff>104775</xdr:rowOff>
    </xdr:to>
    <xdr:graphicFrame macro="">
      <xdr:nvGraphicFramePr>
        <xdr:cNvPr id="67" name="グラフ 3">
          <a:extLst>
            <a:ext uri="{FF2B5EF4-FFF2-40B4-BE49-F238E27FC236}">
              <a16:creationId xmlns:a16="http://schemas.microsoft.com/office/drawing/2014/main" id="{32D24B91-FA34-45C0-8BCA-AA75BA5B07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025B237-75EB-4A02-91FF-FFA37F8375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9</xdr:col>
      <xdr:colOff>655638</xdr:colOff>
      <xdr:row>52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400B83F8-0A69-4C28-A581-7F86BD700C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10</xdr:col>
      <xdr:colOff>1588</xdr:colOff>
      <xdr:row>82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401CAB67-B0C7-43AC-A6A7-66906A7545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106E9B69-5E0A-4CE1-90D1-53445972D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38</xdr:row>
      <xdr:rowOff>0</xdr:rowOff>
    </xdr:from>
    <xdr:to>
      <xdr:col>9</xdr:col>
      <xdr:colOff>655638</xdr:colOff>
      <xdr:row>52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6431AFFD-9C58-42EC-A1B8-154166730B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68</xdr:row>
      <xdr:rowOff>0</xdr:rowOff>
    </xdr:from>
    <xdr:to>
      <xdr:col>10</xdr:col>
      <xdr:colOff>1588</xdr:colOff>
      <xdr:row>82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B7AF7355-5D65-4556-873B-3A46CA2D8B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2" name="グラフ 1">
          <a:extLst>
            <a:ext uri="{FF2B5EF4-FFF2-40B4-BE49-F238E27FC236}">
              <a16:creationId xmlns:a16="http://schemas.microsoft.com/office/drawing/2014/main" id="{040FCCCD-BD9A-4BDC-BE7F-1C1F81BE2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40" name="グラフ 2">
          <a:extLst>
            <a:ext uri="{FF2B5EF4-FFF2-40B4-BE49-F238E27FC236}">
              <a16:creationId xmlns:a16="http://schemas.microsoft.com/office/drawing/2014/main" id="{8CB532AE-7E5C-4C87-88FE-47863731CC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72</xdr:row>
      <xdr:rowOff>0</xdr:rowOff>
    </xdr:from>
    <xdr:to>
      <xdr:col>10</xdr:col>
      <xdr:colOff>1588</xdr:colOff>
      <xdr:row>86</xdr:row>
      <xdr:rowOff>104775</xdr:rowOff>
    </xdr:to>
    <xdr:graphicFrame macro="">
      <xdr:nvGraphicFramePr>
        <xdr:cNvPr id="58" name="グラフ 3">
          <a:extLst>
            <a:ext uri="{FF2B5EF4-FFF2-40B4-BE49-F238E27FC236}">
              <a16:creationId xmlns:a16="http://schemas.microsoft.com/office/drawing/2014/main" id="{717D88DE-860E-4813-9870-A95DF5540A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</xdr:colOff>
      <xdr:row>6</xdr:row>
      <xdr:rowOff>215900</xdr:rowOff>
    </xdr:from>
    <xdr:to>
      <xdr:col>9</xdr:col>
      <xdr:colOff>12700</xdr:colOff>
      <xdr:row>23</xdr:row>
      <xdr:rowOff>57150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8DC212A0-1755-963D-8E71-4609B43BD6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36</xdr:row>
      <xdr:rowOff>0</xdr:rowOff>
    </xdr:from>
    <xdr:to>
      <xdr:col>10</xdr:col>
      <xdr:colOff>19050</xdr:colOff>
      <xdr:row>51</xdr:row>
      <xdr:rowOff>31750</xdr:rowOff>
    </xdr:to>
    <xdr:graphicFrame macro="">
      <xdr:nvGraphicFramePr>
        <xdr:cNvPr id="6" name="グラフ 4">
          <a:extLst>
            <a:ext uri="{FF2B5EF4-FFF2-40B4-BE49-F238E27FC236}">
              <a16:creationId xmlns:a16="http://schemas.microsoft.com/office/drawing/2014/main" id="{8C2F4254-4071-40A0-8E91-A5EAF89A0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63</xdr:row>
      <xdr:rowOff>215900</xdr:rowOff>
    </xdr:from>
    <xdr:to>
      <xdr:col>10</xdr:col>
      <xdr:colOff>0</xdr:colOff>
      <xdr:row>80</xdr:row>
      <xdr:rowOff>25400</xdr:rowOff>
    </xdr:to>
    <xdr:graphicFrame macro="">
      <xdr:nvGraphicFramePr>
        <xdr:cNvPr id="7" name="グラフ 6">
          <a:extLst>
            <a:ext uri="{FF2B5EF4-FFF2-40B4-BE49-F238E27FC236}">
              <a16:creationId xmlns:a16="http://schemas.microsoft.com/office/drawing/2014/main" id="{2600800C-0C27-CA4A-FAC0-80750067B8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9</xdr:col>
      <xdr:colOff>647699</xdr:colOff>
      <xdr:row>22</xdr:row>
      <xdr:rowOff>76199</xdr:rowOff>
    </xdr:to>
    <xdr:graphicFrame macro="">
      <xdr:nvGraphicFramePr>
        <xdr:cNvPr id="22" name="グラフ 1">
          <a:extLst>
            <a:ext uri="{FF2B5EF4-FFF2-40B4-BE49-F238E27FC236}">
              <a16:creationId xmlns:a16="http://schemas.microsoft.com/office/drawing/2014/main" id="{67903478-A1AF-42FE-B8D6-5CA3D05BD6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9</xdr:col>
      <xdr:colOff>655638</xdr:colOff>
      <xdr:row>54</xdr:row>
      <xdr:rowOff>101600</xdr:rowOff>
    </xdr:to>
    <xdr:graphicFrame macro="">
      <xdr:nvGraphicFramePr>
        <xdr:cNvPr id="40" name="グラフ 2">
          <a:extLst>
            <a:ext uri="{FF2B5EF4-FFF2-40B4-BE49-F238E27FC236}">
              <a16:creationId xmlns:a16="http://schemas.microsoft.com/office/drawing/2014/main" id="{6A86F202-8B56-4CFE-AC5D-FB9CA915B1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10</xdr:col>
      <xdr:colOff>1588</xdr:colOff>
      <xdr:row>88</xdr:row>
      <xdr:rowOff>104775</xdr:rowOff>
    </xdr:to>
    <xdr:graphicFrame macro="">
      <xdr:nvGraphicFramePr>
        <xdr:cNvPr id="58" name="グラフ 3">
          <a:extLst>
            <a:ext uri="{FF2B5EF4-FFF2-40B4-BE49-F238E27FC236}">
              <a16:creationId xmlns:a16="http://schemas.microsoft.com/office/drawing/2014/main" id="{9F3921FD-F415-4029-887E-C3ED84D5EA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649286</xdr:colOff>
      <xdr:row>7</xdr:row>
      <xdr:rowOff>206374</xdr:rowOff>
    </xdr:from>
    <xdr:to>
      <xdr:col>11</xdr:col>
      <xdr:colOff>6350</xdr:colOff>
      <xdr:row>23</xdr:row>
      <xdr:rowOff>196850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71320A9-DE4D-49A4-9EFA-30486D08F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42</xdr:row>
      <xdr:rowOff>0</xdr:rowOff>
    </xdr:from>
    <xdr:to>
      <xdr:col>11</xdr:col>
      <xdr:colOff>6350</xdr:colOff>
      <xdr:row>56</xdr:row>
      <xdr:rowOff>101600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97F2169-BF1A-4D6A-B3DF-A62C691BC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74</xdr:row>
      <xdr:rowOff>0</xdr:rowOff>
    </xdr:from>
    <xdr:to>
      <xdr:col>12</xdr:col>
      <xdr:colOff>736600</xdr:colOff>
      <xdr:row>88</xdr:row>
      <xdr:rowOff>104775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AFA49D4-1DCA-4084-9E2B-46D9701FC7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12</xdr:col>
      <xdr:colOff>736600</xdr:colOff>
      <xdr:row>122</xdr:row>
      <xdr:rowOff>104775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E9FDF670-3EF6-4246-92B9-620DAB2EE6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142</xdr:row>
      <xdr:rowOff>0</xdr:rowOff>
    </xdr:from>
    <xdr:to>
      <xdr:col>12</xdr:col>
      <xdr:colOff>736600</xdr:colOff>
      <xdr:row>156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B8D02D5B-408D-457A-A9F0-911572233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8C91F76-EE79-483D-913C-9597C44A6F9D}" name="テーブル17" displayName="テーブル17" ref="A3:J100" totalsRowCount="1" headerRowDxfId="135" dataDxfId="133" headerRowBorderDxfId="134" tableBorderDxfId="132" totalsRowBorderDxfId="131">
  <autoFilter ref="A3:J99" xr:uid="{E8C91F76-EE79-483D-913C-9597C44A6F9D}"/>
  <tableColumns count="10">
    <tableColumn id="1" xr3:uid="{D106753B-3E2A-4185-B183-D5F361C3BD04}" name="対象" totalsRowLabel="集計" dataDxfId="130" totalsRowDxfId="9"/>
    <tableColumn id="4" xr3:uid="{0CA469A1-19CC-4D07-8ACD-769704785BF0}" name="作業年月P" dataDxfId="129" totalsRowDxfId="8"/>
    <tableColumn id="7" xr3:uid="{CCBCF6C8-7AC9-4BF5-967C-DCEB03D40F11}" name="工程" dataDxfId="128" totalsRowDxfId="7"/>
    <tableColumn id="2" xr3:uid="{E6784F4A-3E55-43D1-AEF0-B7A447146D46}" name="担当者" dataDxfId="127" totalsRowDxfId="6"/>
    <tableColumn id="3" xr3:uid="{0BEE33CD-20F7-4AFF-A047-F7D3897955B7}" name="ケアレスミス" totalsRowFunction="sum" dataDxfId="126" totalsRowDxfId="5"/>
    <tableColumn id="5" xr3:uid="{0DF9DD0D-6934-4CFE-8F62-33BADA240DAC}" name="解釈" totalsRowFunction="sum" dataDxfId="125" totalsRowDxfId="4"/>
    <tableColumn id="10" xr3:uid="{D5230770-6D8D-43C1-810E-F6F709F5168A}" name="マニュアル" totalsRowFunction="sum" dataDxfId="124" totalsRowDxfId="3"/>
    <tableColumn id="8" xr3:uid="{3E9DFA07-0CCF-4090-8C5C-8AC92680345D}" name="その他" totalsRowFunction="sum" dataDxfId="123" totalsRowDxfId="2"/>
    <tableColumn id="6" xr3:uid="{8DBF907C-4A23-4B96-9E3A-0C2AB9F2FECA}" name="合計" totalsRowFunction="sum" dataDxfId="122" totalsRowDxfId="1">
      <calculatedColumnFormula>SUM(テーブル17[[#This Row],[ケアレスミス]:[解釈]])</calculatedColumnFormula>
    </tableColumn>
    <tableColumn id="9" xr3:uid="{0FBDE155-21DE-4F24-937B-4EC3743962A1}" name="インシデント" totalsRowFunction="sum" dataDxfId="121" totalsRowDxfId="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06FF7E-9989-4FE4-994E-46A75FD7E093}" name="テーブル13" displayName="テーブル13" ref="A3:K120" totalsRowCount="1" headerRowDxfId="120" headerRowBorderDxfId="119" tableBorderDxfId="118" totalsRowBorderDxfId="117">
  <autoFilter ref="A3:K119" xr:uid="{5A01C656-1144-422A-BFF1-BD4AE42E7E92}"/>
  <tableColumns count="11">
    <tableColumn id="1" xr3:uid="{ECFBB2E5-AD1A-4FD9-BC28-9790C02FE316}" name="対象" totalsRowLabel="集計" dataDxfId="116" totalsRowDxfId="20"/>
    <tableColumn id="11" xr3:uid="{C841C237-4FE5-46D3-8069-FE8CB165F881}" name="作業年月" dataDxfId="115" totalsRowDxfId="19"/>
    <tableColumn id="7" xr3:uid="{AC27F45D-1570-4B1B-A41B-CD66A02C4941}" name="工程" dataDxfId="114" totalsRowDxfId="18"/>
    <tableColumn id="2" xr3:uid="{66C425BE-2190-479E-825A-026C299024FC}" name="担当者" dataDxfId="113" totalsRowDxfId="17"/>
    <tableColumn id="3" xr3:uid="{56B37C07-0B1F-4B7F-9541-1CA6054D97AE}" name="ケアレスミス" totalsRowFunction="sum" dataDxfId="112" totalsRowDxfId="16"/>
    <tableColumn id="5" xr3:uid="{AAED3D22-5FF2-43FE-B073-9C4109D03D15}" name="解釈" totalsRowFunction="sum" dataDxfId="111" totalsRowDxfId="15"/>
    <tableColumn id="4" xr3:uid="{A5FCC73D-4068-4699-B04E-155C83FF5C37}" name="マニュアル" totalsRowFunction="sum" dataDxfId="110" totalsRowDxfId="14"/>
    <tableColumn id="8" xr3:uid="{30FE81D5-4DC0-4D9F-8A49-E76D5F532017}" name="その他" totalsRowFunction="sum" dataDxfId="109" totalsRowDxfId="13"/>
    <tableColumn id="6" xr3:uid="{C57C404D-CBDC-429D-B660-4B81290BB9D8}" name="FB数合計" totalsRowFunction="sum" dataDxfId="108" totalsRowDxfId="12"/>
    <tableColumn id="9" xr3:uid="{884E11A1-B21D-474A-A2EF-C6D7A659C355}" name="インシデント" totalsRowFunction="sum" dataDxfId="107" totalsRowDxfId="11"/>
    <tableColumn id="10" xr3:uid="{4D155995-506B-4552-9569-4BFDC5A0A142}" name="列1" totalsRowDxfId="10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BD9A1D-2F71-49EC-9B33-D210A7845F8D}" name="テーブル134" displayName="テーブル134" ref="A3:K250" totalsRowCount="1" headerRowDxfId="106" totalsRowDxfId="103" headerRowBorderDxfId="105" tableBorderDxfId="104" totalsRowBorderDxfId="102">
  <autoFilter ref="A3:K249" xr:uid="{5A01C656-1144-422A-BFF1-BD4AE42E7E92}"/>
  <tableColumns count="11">
    <tableColumn id="1" xr3:uid="{1965FFF3-1CD8-4E7D-B143-731B4DE78647}" name="対象" totalsRowLabel="集計" dataDxfId="101" totalsRowDxfId="31"/>
    <tableColumn id="4" xr3:uid="{1DD2CD20-BB30-4C2E-A340-406B22298100}" name="作業年月" dataDxfId="100" totalsRowDxfId="30"/>
    <tableColumn id="2" xr3:uid="{BD1C64E0-42CA-497A-B445-DC8C89B554F4}" name="担当者" dataDxfId="99" totalsRowDxfId="29"/>
    <tableColumn id="3" xr3:uid="{16D7DD4F-5220-4AC7-B368-7AC4FCFC4ACC}" name="ケアレスミス" totalsRowFunction="sum" dataDxfId="98" totalsRowDxfId="28"/>
    <tableColumn id="5" xr3:uid="{A20A1B08-EA95-4752-B76C-314C13CC3236}" name="解釈" totalsRowFunction="sum" dataDxfId="97" totalsRowDxfId="27"/>
    <tableColumn id="10" xr3:uid="{9007C162-C615-4B27-91D9-16962DB31D3A}" name="マニュアル" totalsRowFunction="sum" dataDxfId="96" totalsRowDxfId="26"/>
    <tableColumn id="9" xr3:uid="{EB177906-F18B-4157-A3AC-D5A7FFD4AA85}" name="その他" totalsRowFunction="sum" dataDxfId="95" totalsRowDxfId="25"/>
    <tableColumn id="6" xr3:uid="{B338046B-D664-45E7-9A28-41DA6A12648E}" name="FB数合計" totalsRowFunction="sum" dataDxfId="94" totalsRowDxfId="24"/>
    <tableColumn id="7" xr3:uid="{254391EC-7CD7-4B3A-892F-8502C854455E}" name="件数" totalsRowFunction="sum" dataDxfId="93" totalsRowDxfId="23"/>
    <tableColumn id="8" xr3:uid="{182FF3F1-59EE-4315-B964-806656838358}" name="FB率" totalsRowFunction="custom" dataDxfId="92" totalsRowDxfId="22" dataCellStyle="パーセント">
      <totalsRowFormula>(H250/I250)</totalsRowFormula>
    </tableColumn>
    <tableColumn id="11" xr3:uid="{00766B1B-4B7E-47D9-A888-BCB8F6182B10}" name="インシデント" totalsRowFunction="sum" dataDxfId="91" totalsRowDxfId="21" dataCellStyle="パーセント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3A6502-8ACE-46F7-9D42-E1D30DAC89BF}" name="テーブル135" displayName="テーブル135" ref="A3:G58" totalsRowCount="1" headerRowDxfId="90" dataDxfId="88" headerRowBorderDxfId="89" tableBorderDxfId="87" totalsRowBorderDxfId="86">
  <autoFilter ref="A3:G57" xr:uid="{5A01C656-1144-422A-BFF1-BD4AE42E7E92}"/>
  <tableColumns count="7">
    <tableColumn id="1" xr3:uid="{AD30D251-6551-4740-8032-94498904527A}" name="案件番号" totalsRowLabel="集計" dataDxfId="85" totalsRowDxfId="84"/>
    <tableColumn id="7" xr3:uid="{0E4D07A0-C150-4A68-B286-93D0F8667D14}" name="作業年月" dataDxfId="83" totalsRowDxfId="82"/>
    <tableColumn id="2" xr3:uid="{B2CB558C-8412-456E-AB33-209A6C233149}" name="担当者" dataDxfId="81" totalsRowDxfId="80"/>
    <tableColumn id="3" xr3:uid="{5D373622-E7BD-4C4E-8437-9D91F069D011}" name="ケアレスミス" totalsRowFunction="sum" dataDxfId="79" totalsRowDxfId="78"/>
    <tableColumn id="4" xr3:uid="{41222DBE-A105-48F0-9696-CE86F74D566D}" name="インシデント" totalsRowFunction="sum" dataDxfId="77" totalsRowDxfId="76"/>
    <tableColumn id="5" xr3:uid="{52AFEF6F-EDEE-4CCE-8971-3BD4CA2B91A8}" name="解釈" totalsRowFunction="sum" dataDxfId="75" totalsRowDxfId="74"/>
    <tableColumn id="6" xr3:uid="{9427F2DE-6DD8-4543-B718-35DCFC0373FF}" name="FB数合計" totalsRowFunction="sum" dataDxfId="73" totalsRowDxfId="72">
      <calculatedColumnFormula>SUM(テーブル135[[#This Row],[ケアレスミス]:[解釈]])</calculatedColumnFormula>
    </tableColumn>
  </tableColumns>
  <tableStyleInfo name="TableStyleMedium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5FE6C3-3CF1-4CFB-BE88-E7F57D8B88AE}" name="テーブル1342" displayName="テーブル1342" ref="A3:I91" totalsRowCount="1" headerRowDxfId="71" totalsRowDxfId="68" headerRowBorderDxfId="70" tableBorderDxfId="69" totalsRowBorderDxfId="67">
  <autoFilter ref="A3:I90" xr:uid="{5A01C656-1144-422A-BFF1-BD4AE42E7E92}"/>
  <tableColumns count="9">
    <tableColumn id="1" xr3:uid="{FF5FACB9-1DC7-4C9D-A2FB-6BE0EBCE060C}" name="対象" totalsRowLabel="集計" dataDxfId="66" totalsRowDxfId="65"/>
    <tableColumn id="7" xr3:uid="{AE3D2B69-56A7-4B23-A93C-9711849CCAC7}" name="作業年月" dataDxfId="64" totalsRowDxfId="63"/>
    <tableColumn id="2" xr3:uid="{77BE3CF0-DC05-45E0-B97D-739BBD0C7391}" name="担当者" dataDxfId="62" totalsRowDxfId="61"/>
    <tableColumn id="3" xr3:uid="{E754F9C5-B2B3-4144-A4EB-F5EE1628F3E5}" name="ケアレスミス" totalsRowFunction="sum" dataDxfId="60" totalsRowDxfId="59"/>
    <tableColumn id="5" xr3:uid="{EE6F3FD3-D166-4CE9-8E6C-059DE35F9A49}" name="解釈" totalsRowFunction="sum" dataDxfId="58" totalsRowDxfId="57"/>
    <tableColumn id="10" xr3:uid="{7B09B99C-B3BD-488B-A487-708EF989197E}" name="マニュアル" totalsRowFunction="sum" dataDxfId="56" totalsRowDxfId="55"/>
    <tableColumn id="9" xr3:uid="{90940A8F-DF4A-4110-B077-497944692DB0}" name="その他" totalsRowFunction="sum" dataDxfId="54" totalsRowDxfId="53"/>
    <tableColumn id="6" xr3:uid="{137A2D0C-683E-40FA-B788-B8E531E533DA}" name="FB数合計" totalsRowFunction="sum" dataDxfId="52" totalsRowDxfId="51">
      <calculatedColumnFormula>SUM(D4,E4)</calculatedColumnFormula>
    </tableColumn>
    <tableColumn id="11" xr3:uid="{5758B35D-C4B1-46D7-A352-D4C5D33C5E9C}" name="インシデント" totalsRowFunction="sum" dataDxfId="50" totalsRowDxfId="49" dataCellStyle="パーセント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14B77E3-3702-4C0F-A266-438969403B2D}" name="テーブル1356" displayName="テーブル1356" ref="A3:F58" totalsRowCount="1" headerRowDxfId="48" dataDxfId="46" headerRowBorderDxfId="47" tableBorderDxfId="45" totalsRowBorderDxfId="44">
  <autoFilter ref="A3:F57" xr:uid="{5A01C656-1144-422A-BFF1-BD4AE42E7E92}"/>
  <tableColumns count="6">
    <tableColumn id="1" xr3:uid="{D21DF01B-7C46-40CD-B439-40B3C8AB61A5}" name="対象月" totalsRowLabel="集計" dataDxfId="43" totalsRowDxfId="42"/>
    <tableColumn id="2" xr3:uid="{EF401576-8755-45A9-860D-B730A1FBD7CA}" name="担当者" dataDxfId="41" totalsRowDxfId="40"/>
    <tableColumn id="3" xr3:uid="{49FE98E4-EBF4-4297-BB22-B4528C54597A}" name="ケアレスミス" totalsRowFunction="sum" dataDxfId="39" totalsRowDxfId="38"/>
    <tableColumn id="4" xr3:uid="{05D4F532-A71A-4D90-9BC4-DA31344CF759}" name="インシデント" totalsRowFunction="sum" dataDxfId="37" totalsRowDxfId="36"/>
    <tableColumn id="5" xr3:uid="{C808A17B-9E6F-4685-8C44-32F947752E12}" name="解釈" totalsRowFunction="sum" dataDxfId="35" totalsRowDxfId="34"/>
    <tableColumn id="6" xr3:uid="{B2F9D348-8CAD-4138-BE24-47F6561B4D31}" name="FB数合計" totalsRowFunction="sum" dataDxfId="33" totalsRowDxfId="32">
      <calculatedColumnFormula>SUM(テーブル1356[[#This Row],[ケアレスミス]:[解釈]])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9F27C-2F2B-41CC-AA11-D4DF60447B1B}">
  <sheetPr codeName="Sheet1">
    <tabColor rgb="FF0070C0"/>
  </sheetPr>
  <dimension ref="A1:M100"/>
  <sheetViews>
    <sheetView workbookViewId="0">
      <pane ySplit="3" topLeftCell="A73" activePane="bottomLeft" state="frozen"/>
      <selection pane="bottomLeft" activeCell="A82" sqref="A82"/>
    </sheetView>
  </sheetViews>
  <sheetFormatPr defaultRowHeight="18" x14ac:dyDescent="0.55000000000000004"/>
  <cols>
    <col min="1" max="2" width="9.58203125" customWidth="1"/>
    <col min="3" max="3" width="6.83203125" customWidth="1"/>
    <col min="4" max="4" width="11.75" customWidth="1"/>
    <col min="5" max="5" width="13.58203125" customWidth="1"/>
    <col min="6" max="6" width="8.6640625" customWidth="1"/>
    <col min="7" max="7" width="11.33203125" customWidth="1"/>
    <col min="8" max="8" width="8.6640625" customWidth="1"/>
    <col min="9" max="9" width="7.83203125" customWidth="1"/>
    <col min="10" max="10" width="13.4140625" customWidth="1"/>
    <col min="11" max="16" width="9.5" bestFit="1" customWidth="1"/>
  </cols>
  <sheetData>
    <row r="1" spans="1:13" x14ac:dyDescent="0.55000000000000004">
      <c r="A1" s="12" t="s">
        <v>327</v>
      </c>
      <c r="B1" s="12"/>
      <c r="C1" s="12"/>
      <c r="D1" s="8"/>
      <c r="E1" s="5"/>
      <c r="F1" s="5"/>
      <c r="G1" s="5"/>
      <c r="H1" s="5"/>
      <c r="I1" s="5"/>
      <c r="J1" s="5"/>
      <c r="K1" s="5"/>
      <c r="L1" s="5"/>
      <c r="M1" s="5"/>
    </row>
    <row r="3" spans="1:13" x14ac:dyDescent="0.55000000000000004">
      <c r="A3" s="49" t="s">
        <v>316</v>
      </c>
      <c r="B3" s="49" t="s">
        <v>696</v>
      </c>
      <c r="C3" s="49" t="s">
        <v>276</v>
      </c>
      <c r="D3" s="46" t="s">
        <v>1</v>
      </c>
      <c r="E3" s="46" t="s">
        <v>10</v>
      </c>
      <c r="F3" s="46" t="s">
        <v>50</v>
      </c>
      <c r="G3" s="47" t="s">
        <v>354</v>
      </c>
      <c r="H3" s="47" t="s">
        <v>347</v>
      </c>
      <c r="I3" s="47" t="s">
        <v>94</v>
      </c>
      <c r="J3" s="46" t="s">
        <v>53</v>
      </c>
    </row>
    <row r="4" spans="1:13" x14ac:dyDescent="0.55000000000000004">
      <c r="A4" s="48" t="s">
        <v>277</v>
      </c>
      <c r="B4" s="85">
        <v>45366</v>
      </c>
      <c r="C4" s="33" t="s">
        <v>219</v>
      </c>
      <c r="D4" s="2" t="s">
        <v>27</v>
      </c>
      <c r="E4" s="36">
        <v>0</v>
      </c>
      <c r="F4" s="36">
        <v>0</v>
      </c>
      <c r="G4" s="64">
        <v>0</v>
      </c>
      <c r="H4" s="64">
        <v>0</v>
      </c>
      <c r="I4" s="37">
        <f>SUM(テーブル17[[#This Row],[ケアレスミス]:[解釈]])</f>
        <v>0</v>
      </c>
      <c r="J4" s="35">
        <v>0</v>
      </c>
    </row>
    <row r="5" spans="1:13" x14ac:dyDescent="0.55000000000000004">
      <c r="A5" s="48" t="s">
        <v>278</v>
      </c>
      <c r="B5" s="85">
        <v>45366</v>
      </c>
      <c r="C5" s="33" t="s">
        <v>220</v>
      </c>
      <c r="D5" s="2" t="s">
        <v>29</v>
      </c>
      <c r="E5" s="36">
        <v>0</v>
      </c>
      <c r="F5" s="36">
        <v>0</v>
      </c>
      <c r="G5" s="64">
        <v>0</v>
      </c>
      <c r="H5" s="64">
        <v>0</v>
      </c>
      <c r="I5" s="37">
        <f>SUM(テーブル17[[#This Row],[ケアレスミス]:[解釈]])</f>
        <v>0</v>
      </c>
      <c r="J5" s="35">
        <v>0</v>
      </c>
    </row>
    <row r="6" spans="1:13" x14ac:dyDescent="0.55000000000000004">
      <c r="A6" s="48" t="s">
        <v>279</v>
      </c>
      <c r="B6" s="85">
        <v>45366</v>
      </c>
      <c r="C6" s="33" t="s">
        <v>221</v>
      </c>
      <c r="D6" s="2" t="s">
        <v>28</v>
      </c>
      <c r="E6" s="36">
        <v>1</v>
      </c>
      <c r="F6" s="36">
        <v>0</v>
      </c>
      <c r="G6" s="64">
        <v>0</v>
      </c>
      <c r="H6" s="64">
        <v>0</v>
      </c>
      <c r="I6" s="37">
        <f>SUM(テーブル17[[#This Row],[ケアレスミス]:[解釈]])</f>
        <v>1</v>
      </c>
      <c r="J6" s="35">
        <v>0</v>
      </c>
    </row>
    <row r="7" spans="1:13" x14ac:dyDescent="0.55000000000000004">
      <c r="A7" s="48" t="s">
        <v>280</v>
      </c>
      <c r="B7" s="85">
        <v>45366</v>
      </c>
      <c r="C7" s="33" t="s">
        <v>219</v>
      </c>
      <c r="D7" s="2" t="s">
        <v>28</v>
      </c>
      <c r="E7" s="36">
        <v>0</v>
      </c>
      <c r="F7" s="36">
        <v>0</v>
      </c>
      <c r="G7" s="64">
        <v>0</v>
      </c>
      <c r="H7" s="64">
        <v>0</v>
      </c>
      <c r="I7" s="37">
        <f>SUM(テーブル17[[#This Row],[ケアレスミス]:[解釈]])</f>
        <v>0</v>
      </c>
      <c r="J7" s="35">
        <v>0</v>
      </c>
    </row>
    <row r="8" spans="1:13" x14ac:dyDescent="0.55000000000000004">
      <c r="A8" s="48" t="s">
        <v>281</v>
      </c>
      <c r="B8" s="85">
        <v>45366</v>
      </c>
      <c r="C8" s="33" t="s">
        <v>220</v>
      </c>
      <c r="D8" s="2" t="s">
        <v>27</v>
      </c>
      <c r="E8" s="36">
        <v>0</v>
      </c>
      <c r="F8" s="36">
        <v>0</v>
      </c>
      <c r="G8" s="64">
        <v>0</v>
      </c>
      <c r="H8" s="64">
        <v>0</v>
      </c>
      <c r="I8" s="37">
        <f>SUM(テーブル17[[#This Row],[ケアレスミス]:[解釈]])</f>
        <v>0</v>
      </c>
      <c r="J8" s="35">
        <v>0</v>
      </c>
    </row>
    <row r="9" spans="1:13" x14ac:dyDescent="0.55000000000000004">
      <c r="A9" s="48" t="s">
        <v>282</v>
      </c>
      <c r="B9" s="85">
        <v>45366</v>
      </c>
      <c r="C9" s="33" t="s">
        <v>221</v>
      </c>
      <c r="D9" s="2" t="s">
        <v>29</v>
      </c>
      <c r="E9" s="36">
        <v>1</v>
      </c>
      <c r="F9" s="36">
        <v>0</v>
      </c>
      <c r="G9" s="64">
        <v>0</v>
      </c>
      <c r="H9" s="64">
        <v>0</v>
      </c>
      <c r="I9" s="37">
        <f>SUM(テーブル17[[#This Row],[ケアレスミス]:[解釈]])</f>
        <v>1</v>
      </c>
      <c r="J9" s="35">
        <v>0</v>
      </c>
    </row>
    <row r="10" spans="1:13" x14ac:dyDescent="0.55000000000000004">
      <c r="A10" s="48" t="s">
        <v>283</v>
      </c>
      <c r="B10" s="85">
        <v>45366</v>
      </c>
      <c r="C10" s="33" t="s">
        <v>219</v>
      </c>
      <c r="D10" s="2" t="s">
        <v>29</v>
      </c>
      <c r="E10" s="1">
        <v>0</v>
      </c>
      <c r="F10" s="1">
        <v>0</v>
      </c>
      <c r="G10" s="37">
        <v>0</v>
      </c>
      <c r="H10" s="64">
        <v>0</v>
      </c>
      <c r="I10" s="37">
        <f>SUM(テーブル17[[#This Row],[ケアレスミス]:[解釈]])</f>
        <v>0</v>
      </c>
      <c r="J10" s="35">
        <v>0</v>
      </c>
    </row>
    <row r="11" spans="1:13" x14ac:dyDescent="0.55000000000000004">
      <c r="A11" s="48" t="s">
        <v>284</v>
      </c>
      <c r="B11" s="85">
        <v>45366</v>
      </c>
      <c r="C11" s="33" t="s">
        <v>220</v>
      </c>
      <c r="D11" s="2" t="s">
        <v>28</v>
      </c>
      <c r="E11" s="1">
        <v>4</v>
      </c>
      <c r="F11" s="1">
        <v>0</v>
      </c>
      <c r="G11" s="37">
        <v>0</v>
      </c>
      <c r="H11" s="64">
        <v>0</v>
      </c>
      <c r="I11" s="37">
        <f>SUM(テーブル17[[#This Row],[ケアレスミス]:[解釈]])</f>
        <v>4</v>
      </c>
      <c r="J11" s="35">
        <v>0</v>
      </c>
    </row>
    <row r="12" spans="1:13" x14ac:dyDescent="0.55000000000000004">
      <c r="A12" s="48" t="s">
        <v>285</v>
      </c>
      <c r="B12" s="85">
        <v>45366</v>
      </c>
      <c r="C12" s="33" t="s">
        <v>221</v>
      </c>
      <c r="D12" s="2" t="s">
        <v>27</v>
      </c>
      <c r="E12" s="1">
        <v>0</v>
      </c>
      <c r="F12" s="1">
        <v>0</v>
      </c>
      <c r="G12" s="37">
        <v>0</v>
      </c>
      <c r="H12" s="64">
        <v>0</v>
      </c>
      <c r="I12" s="37">
        <f>SUM(テーブル17[[#This Row],[ケアレスミス]:[解釈]])</f>
        <v>0</v>
      </c>
      <c r="J12" s="35">
        <v>0</v>
      </c>
    </row>
    <row r="13" spans="1:13" x14ac:dyDescent="0.55000000000000004">
      <c r="A13" s="48" t="s">
        <v>286</v>
      </c>
      <c r="B13" s="85">
        <v>45366</v>
      </c>
      <c r="C13" s="33" t="s">
        <v>219</v>
      </c>
      <c r="D13" s="2" t="s">
        <v>27</v>
      </c>
      <c r="E13" s="1">
        <v>0</v>
      </c>
      <c r="F13" s="1">
        <v>0</v>
      </c>
      <c r="G13" s="37">
        <v>0</v>
      </c>
      <c r="H13" s="64">
        <v>0</v>
      </c>
      <c r="I13" s="37">
        <f>SUM(テーブル17[[#This Row],[ケアレスミス]:[解釈]])</f>
        <v>0</v>
      </c>
      <c r="J13" s="35">
        <v>0</v>
      </c>
    </row>
    <row r="14" spans="1:13" x14ac:dyDescent="0.55000000000000004">
      <c r="A14" s="48" t="s">
        <v>287</v>
      </c>
      <c r="B14" s="85">
        <v>45366</v>
      </c>
      <c r="C14" s="33" t="s">
        <v>220</v>
      </c>
      <c r="D14" s="2" t="s">
        <v>29</v>
      </c>
      <c r="E14" s="1">
        <v>0</v>
      </c>
      <c r="F14" s="1">
        <v>0</v>
      </c>
      <c r="G14" s="37">
        <v>0</v>
      </c>
      <c r="H14" s="64">
        <v>0</v>
      </c>
      <c r="I14" s="37">
        <f>SUM(テーブル17[[#This Row],[ケアレスミス]:[解釈]])</f>
        <v>0</v>
      </c>
      <c r="J14" s="35">
        <v>0</v>
      </c>
    </row>
    <row r="15" spans="1:13" x14ac:dyDescent="0.55000000000000004">
      <c r="A15" s="48" t="s">
        <v>288</v>
      </c>
      <c r="B15" s="85">
        <v>45366</v>
      </c>
      <c r="C15" s="33" t="s">
        <v>221</v>
      </c>
      <c r="D15" s="2" t="s">
        <v>28</v>
      </c>
      <c r="E15" s="1">
        <v>2</v>
      </c>
      <c r="F15" s="1">
        <v>0</v>
      </c>
      <c r="G15" s="37">
        <v>0</v>
      </c>
      <c r="H15" s="64">
        <v>0</v>
      </c>
      <c r="I15" s="37">
        <f>SUM(テーブル17[[#This Row],[ケアレスミス]:[解釈]])</f>
        <v>2</v>
      </c>
      <c r="J15" s="35">
        <v>0</v>
      </c>
    </row>
    <row r="16" spans="1:13" x14ac:dyDescent="0.55000000000000004">
      <c r="A16" s="48" t="s">
        <v>289</v>
      </c>
      <c r="B16" s="85">
        <v>45366</v>
      </c>
      <c r="C16" s="33" t="s">
        <v>219</v>
      </c>
      <c r="D16" s="2" t="s">
        <v>28</v>
      </c>
      <c r="E16" s="36">
        <v>0</v>
      </c>
      <c r="F16" s="36">
        <v>0</v>
      </c>
      <c r="G16" s="37">
        <v>0</v>
      </c>
      <c r="H16" s="64">
        <v>0</v>
      </c>
      <c r="I16" s="37">
        <f>SUM(テーブル17[[#This Row],[ケアレスミス]:[解釈]])</f>
        <v>0</v>
      </c>
      <c r="J16" s="35">
        <v>0</v>
      </c>
    </row>
    <row r="17" spans="1:11" x14ac:dyDescent="0.55000000000000004">
      <c r="A17" s="48" t="s">
        <v>290</v>
      </c>
      <c r="B17" s="85">
        <v>45366</v>
      </c>
      <c r="C17" s="33" t="s">
        <v>220</v>
      </c>
      <c r="D17" s="2" t="s">
        <v>27</v>
      </c>
      <c r="E17" s="36">
        <v>0</v>
      </c>
      <c r="F17" s="36">
        <v>0</v>
      </c>
      <c r="G17" s="37">
        <v>0</v>
      </c>
      <c r="H17" s="64">
        <v>0</v>
      </c>
      <c r="I17" s="37">
        <f>SUM(テーブル17[[#This Row],[ケアレスミス]:[解釈]])</f>
        <v>0</v>
      </c>
      <c r="J17" s="35">
        <v>0</v>
      </c>
    </row>
    <row r="18" spans="1:11" x14ac:dyDescent="0.55000000000000004">
      <c r="A18" s="48" t="s">
        <v>291</v>
      </c>
      <c r="B18" s="85">
        <v>45366</v>
      </c>
      <c r="C18" s="33" t="s">
        <v>221</v>
      </c>
      <c r="D18" s="2" t="s">
        <v>29</v>
      </c>
      <c r="E18" s="36">
        <v>0</v>
      </c>
      <c r="F18" s="36">
        <v>0</v>
      </c>
      <c r="G18" s="37">
        <v>0</v>
      </c>
      <c r="H18" s="64">
        <v>0</v>
      </c>
      <c r="I18" s="37">
        <f>SUM(テーブル17[[#This Row],[ケアレスミス]:[解釈]])</f>
        <v>0</v>
      </c>
      <c r="J18" s="35">
        <v>0</v>
      </c>
    </row>
    <row r="19" spans="1:11" x14ac:dyDescent="0.55000000000000004">
      <c r="A19" s="48" t="s">
        <v>292</v>
      </c>
      <c r="B19" s="85">
        <v>45366</v>
      </c>
      <c r="C19" s="33" t="s">
        <v>219</v>
      </c>
      <c r="D19" s="2" t="s">
        <v>29</v>
      </c>
      <c r="E19" s="36">
        <v>0</v>
      </c>
      <c r="F19" s="36">
        <v>0</v>
      </c>
      <c r="G19" s="37">
        <v>0</v>
      </c>
      <c r="H19" s="64">
        <v>0</v>
      </c>
      <c r="I19" s="37">
        <f>SUM(テーブル17[[#This Row],[ケアレスミス]:[解釈]])</f>
        <v>0</v>
      </c>
      <c r="J19" s="35">
        <v>0</v>
      </c>
    </row>
    <row r="20" spans="1:11" x14ac:dyDescent="0.55000000000000004">
      <c r="A20" s="48" t="s">
        <v>293</v>
      </c>
      <c r="B20" s="85">
        <v>45366</v>
      </c>
      <c r="C20" s="33" t="s">
        <v>220</v>
      </c>
      <c r="D20" s="2" t="s">
        <v>28</v>
      </c>
      <c r="E20" s="36">
        <v>2</v>
      </c>
      <c r="F20" s="36">
        <v>0</v>
      </c>
      <c r="G20" s="37">
        <v>0</v>
      </c>
      <c r="H20" s="64">
        <v>0</v>
      </c>
      <c r="I20" s="37">
        <f>SUM(テーブル17[[#This Row],[ケアレスミス]:[解釈]])</f>
        <v>2</v>
      </c>
      <c r="J20" s="35">
        <v>0</v>
      </c>
    </row>
    <row r="21" spans="1:11" x14ac:dyDescent="0.55000000000000004">
      <c r="A21" s="48" t="s">
        <v>294</v>
      </c>
      <c r="B21" s="85">
        <v>45366</v>
      </c>
      <c r="C21" s="33" t="s">
        <v>221</v>
      </c>
      <c r="D21" s="2" t="s">
        <v>27</v>
      </c>
      <c r="E21" s="36">
        <v>0</v>
      </c>
      <c r="F21" s="36">
        <v>0</v>
      </c>
      <c r="G21" s="37">
        <v>0</v>
      </c>
      <c r="H21" s="64">
        <v>0</v>
      </c>
      <c r="I21" s="37">
        <f>SUM(テーブル17[[#This Row],[ケアレスミス]:[解釈]])</f>
        <v>0</v>
      </c>
      <c r="J21" s="35">
        <v>0</v>
      </c>
      <c r="K21" t="s">
        <v>355</v>
      </c>
    </row>
    <row r="22" spans="1:11" x14ac:dyDescent="0.55000000000000004">
      <c r="A22" s="48" t="s">
        <v>314</v>
      </c>
      <c r="B22" s="85">
        <v>45366</v>
      </c>
      <c r="C22" s="33" t="s">
        <v>219</v>
      </c>
      <c r="D22" s="2" t="s">
        <v>36</v>
      </c>
      <c r="E22" s="1">
        <v>2</v>
      </c>
      <c r="F22" s="1">
        <v>2</v>
      </c>
      <c r="G22" s="37">
        <v>0</v>
      </c>
      <c r="H22" s="64">
        <v>0</v>
      </c>
      <c r="I22" s="37">
        <f>SUM(テーブル17[[#This Row],[ケアレスミス]:[解釈]])</f>
        <v>4</v>
      </c>
      <c r="J22" s="35">
        <v>0</v>
      </c>
    </row>
    <row r="23" spans="1:11" x14ac:dyDescent="0.55000000000000004">
      <c r="A23" s="48" t="s">
        <v>295</v>
      </c>
      <c r="B23" s="85">
        <v>45366</v>
      </c>
      <c r="C23" s="33" t="s">
        <v>220</v>
      </c>
      <c r="D23" s="2" t="s">
        <v>40</v>
      </c>
      <c r="E23" s="1">
        <v>0</v>
      </c>
      <c r="F23" s="1">
        <v>0</v>
      </c>
      <c r="G23" s="37">
        <v>0</v>
      </c>
      <c r="H23" s="64">
        <v>0</v>
      </c>
      <c r="I23" s="37">
        <f>SUM(テーブル17[[#This Row],[ケアレスミス]:[解釈]])</f>
        <v>0</v>
      </c>
      <c r="J23" s="35">
        <v>0</v>
      </c>
    </row>
    <row r="24" spans="1:11" x14ac:dyDescent="0.55000000000000004">
      <c r="A24" s="48" t="s">
        <v>296</v>
      </c>
      <c r="B24" s="85">
        <v>45366</v>
      </c>
      <c r="C24" s="33" t="s">
        <v>221</v>
      </c>
      <c r="D24" s="2" t="s">
        <v>27</v>
      </c>
      <c r="E24" s="1">
        <v>1</v>
      </c>
      <c r="F24" s="1">
        <v>0</v>
      </c>
      <c r="G24" s="37">
        <v>0</v>
      </c>
      <c r="H24" s="64">
        <v>0</v>
      </c>
      <c r="I24" s="37">
        <f>SUM(テーブル17[[#This Row],[ケアレスミス]:[解釈]])</f>
        <v>1</v>
      </c>
      <c r="J24" s="35">
        <v>0</v>
      </c>
    </row>
    <row r="25" spans="1:11" x14ac:dyDescent="0.55000000000000004">
      <c r="A25" s="48" t="s">
        <v>297</v>
      </c>
      <c r="B25" s="85">
        <v>45366</v>
      </c>
      <c r="C25" s="33" t="s">
        <v>219</v>
      </c>
      <c r="D25" s="2" t="s">
        <v>29</v>
      </c>
      <c r="E25" s="1">
        <v>0</v>
      </c>
      <c r="F25" s="1">
        <v>0</v>
      </c>
      <c r="G25" s="37">
        <v>0</v>
      </c>
      <c r="H25" s="64">
        <v>0</v>
      </c>
      <c r="I25" s="37">
        <f>SUM(テーブル17[[#This Row],[ケアレスミス]:[解釈]])</f>
        <v>0</v>
      </c>
      <c r="J25" s="35">
        <v>0</v>
      </c>
    </row>
    <row r="26" spans="1:11" x14ac:dyDescent="0.55000000000000004">
      <c r="A26" s="48" t="s">
        <v>298</v>
      </c>
      <c r="B26" s="85">
        <v>45366</v>
      </c>
      <c r="C26" s="33" t="s">
        <v>220</v>
      </c>
      <c r="D26" s="2" t="s">
        <v>36</v>
      </c>
      <c r="E26" s="1">
        <v>3</v>
      </c>
      <c r="F26" s="1">
        <v>0</v>
      </c>
      <c r="G26" s="37">
        <v>0</v>
      </c>
      <c r="H26" s="64">
        <v>0</v>
      </c>
      <c r="I26" s="37">
        <f>SUM(テーブル17[[#This Row],[ケアレスミス]:[解釈]])</f>
        <v>3</v>
      </c>
      <c r="J26" s="35">
        <v>0</v>
      </c>
    </row>
    <row r="27" spans="1:11" x14ac:dyDescent="0.55000000000000004">
      <c r="A27" s="48" t="s">
        <v>299</v>
      </c>
      <c r="B27" s="85">
        <v>45366</v>
      </c>
      <c r="C27" s="33" t="s">
        <v>221</v>
      </c>
      <c r="D27" s="38" t="s">
        <v>40</v>
      </c>
      <c r="E27" s="39">
        <v>3</v>
      </c>
      <c r="F27" s="39">
        <v>0</v>
      </c>
      <c r="G27" s="37">
        <v>0</v>
      </c>
      <c r="H27" s="64">
        <v>0</v>
      </c>
      <c r="I27" s="40">
        <f>SUM(テーブル17[[#This Row],[ケアレスミス]:[解釈]])</f>
        <v>3</v>
      </c>
      <c r="J27" s="35">
        <v>0</v>
      </c>
    </row>
    <row r="28" spans="1:11" x14ac:dyDescent="0.55000000000000004">
      <c r="A28" s="48" t="s">
        <v>300</v>
      </c>
      <c r="B28" s="85">
        <v>45366</v>
      </c>
      <c r="C28" s="33" t="s">
        <v>219</v>
      </c>
      <c r="D28" s="38" t="s">
        <v>29</v>
      </c>
      <c r="E28" s="39">
        <v>1</v>
      </c>
      <c r="F28" s="39">
        <v>0</v>
      </c>
      <c r="G28" s="37">
        <v>0</v>
      </c>
      <c r="H28" s="64">
        <v>0</v>
      </c>
      <c r="I28" s="40">
        <f>SUM(テーブル17[[#This Row],[ケアレスミス]:[解釈]])</f>
        <v>1</v>
      </c>
      <c r="J28" s="1">
        <v>1</v>
      </c>
    </row>
    <row r="29" spans="1:11" x14ac:dyDescent="0.55000000000000004">
      <c r="A29" s="48" t="s">
        <v>301</v>
      </c>
      <c r="B29" s="85">
        <v>45366</v>
      </c>
      <c r="C29" s="33" t="s">
        <v>220</v>
      </c>
      <c r="D29" s="38" t="s">
        <v>28</v>
      </c>
      <c r="E29" s="39">
        <v>1</v>
      </c>
      <c r="F29" s="39">
        <v>0</v>
      </c>
      <c r="G29" s="37">
        <v>0</v>
      </c>
      <c r="H29" s="64">
        <v>0</v>
      </c>
      <c r="I29" s="40">
        <f>SUM(テーブル17[[#This Row],[ケアレスミス]:[解釈]])</f>
        <v>1</v>
      </c>
      <c r="J29" s="1">
        <v>0</v>
      </c>
    </row>
    <row r="30" spans="1:11" x14ac:dyDescent="0.55000000000000004">
      <c r="A30" s="48" t="s">
        <v>302</v>
      </c>
      <c r="B30" s="85">
        <v>45366</v>
      </c>
      <c r="C30" s="33" t="s">
        <v>221</v>
      </c>
      <c r="D30" s="38" t="s">
        <v>36</v>
      </c>
      <c r="E30" s="39">
        <v>4</v>
      </c>
      <c r="F30" s="39">
        <v>0</v>
      </c>
      <c r="G30" s="37">
        <v>0</v>
      </c>
      <c r="H30" s="64">
        <v>0</v>
      </c>
      <c r="I30" s="40">
        <f>SUM(テーブル17[[#This Row],[ケアレスミス]:[解釈]])</f>
        <v>4</v>
      </c>
      <c r="J30" s="1">
        <v>0</v>
      </c>
    </row>
    <row r="31" spans="1:11" x14ac:dyDescent="0.55000000000000004">
      <c r="A31" s="48" t="s">
        <v>303</v>
      </c>
      <c r="B31" s="85">
        <v>45366</v>
      </c>
      <c r="C31" s="33" t="s">
        <v>219</v>
      </c>
      <c r="D31" s="38" t="s">
        <v>36</v>
      </c>
      <c r="E31" s="39">
        <v>0</v>
      </c>
      <c r="F31" s="39">
        <v>0</v>
      </c>
      <c r="G31" s="37">
        <v>0</v>
      </c>
      <c r="H31" s="64">
        <v>0</v>
      </c>
      <c r="I31" s="40">
        <f>SUM(テーブル17[[#This Row],[ケアレスミス]:[解釈]])</f>
        <v>0</v>
      </c>
      <c r="J31" s="1">
        <v>0</v>
      </c>
    </row>
    <row r="32" spans="1:11" x14ac:dyDescent="0.55000000000000004">
      <c r="A32" s="48" t="s">
        <v>304</v>
      </c>
      <c r="B32" s="85">
        <v>45366</v>
      </c>
      <c r="C32" s="33" t="s">
        <v>220</v>
      </c>
      <c r="D32" s="38" t="s">
        <v>29</v>
      </c>
      <c r="E32" s="39">
        <v>1</v>
      </c>
      <c r="F32" s="39">
        <v>0</v>
      </c>
      <c r="G32" s="37">
        <v>0</v>
      </c>
      <c r="H32" s="64">
        <v>0</v>
      </c>
      <c r="I32" s="40">
        <f>SUM(テーブル17[[#This Row],[ケアレスミス]:[解釈]])</f>
        <v>1</v>
      </c>
      <c r="J32" s="1">
        <v>0</v>
      </c>
    </row>
    <row r="33" spans="1:10" x14ac:dyDescent="0.55000000000000004">
      <c r="A33" s="48" t="s">
        <v>305</v>
      </c>
      <c r="B33" s="85">
        <v>45366</v>
      </c>
      <c r="C33" s="33" t="s">
        <v>221</v>
      </c>
      <c r="D33" s="38" t="s">
        <v>28</v>
      </c>
      <c r="E33" s="39">
        <v>18</v>
      </c>
      <c r="F33" s="39">
        <v>0</v>
      </c>
      <c r="G33" s="37">
        <v>0</v>
      </c>
      <c r="H33" s="64">
        <v>0</v>
      </c>
      <c r="I33" s="40">
        <f>SUM(テーブル17[[#This Row],[ケアレスミス]:[解釈]])</f>
        <v>18</v>
      </c>
      <c r="J33" s="1">
        <v>0</v>
      </c>
    </row>
    <row r="34" spans="1:10" x14ac:dyDescent="0.55000000000000004">
      <c r="A34" s="48" t="s">
        <v>306</v>
      </c>
      <c r="B34" s="85">
        <v>45366</v>
      </c>
      <c r="C34" s="33" t="s">
        <v>219</v>
      </c>
      <c r="D34" s="38" t="s">
        <v>28</v>
      </c>
      <c r="E34" s="39">
        <v>4</v>
      </c>
      <c r="F34" s="39">
        <v>0</v>
      </c>
      <c r="G34" s="37">
        <v>0</v>
      </c>
      <c r="H34" s="64">
        <v>0</v>
      </c>
      <c r="I34" s="40">
        <f>SUM(テーブル17[[#This Row],[ケアレスミス]:[解釈]])</f>
        <v>4</v>
      </c>
      <c r="J34" s="1">
        <v>0</v>
      </c>
    </row>
    <row r="35" spans="1:10" x14ac:dyDescent="0.55000000000000004">
      <c r="A35" s="48" t="s">
        <v>307</v>
      </c>
      <c r="B35" s="85">
        <v>45366</v>
      </c>
      <c r="C35" s="33" t="s">
        <v>220</v>
      </c>
      <c r="D35" s="38" t="s">
        <v>36</v>
      </c>
      <c r="E35" s="39">
        <v>4</v>
      </c>
      <c r="F35" s="39">
        <v>0</v>
      </c>
      <c r="G35" s="37">
        <v>0</v>
      </c>
      <c r="H35" s="64">
        <v>0</v>
      </c>
      <c r="I35" s="40">
        <f>SUM(テーブル17[[#This Row],[ケアレスミス]:[解釈]])</f>
        <v>4</v>
      </c>
      <c r="J35" s="1">
        <v>0</v>
      </c>
    </row>
    <row r="36" spans="1:10" x14ac:dyDescent="0.55000000000000004">
      <c r="A36" s="48" t="s">
        <v>308</v>
      </c>
      <c r="B36" s="85">
        <v>45366</v>
      </c>
      <c r="C36" s="33" t="s">
        <v>221</v>
      </c>
      <c r="D36" s="38" t="s">
        <v>29</v>
      </c>
      <c r="E36" s="39">
        <v>0</v>
      </c>
      <c r="F36" s="39">
        <v>0</v>
      </c>
      <c r="G36" s="37">
        <v>0</v>
      </c>
      <c r="H36" s="64">
        <v>0</v>
      </c>
      <c r="I36" s="40">
        <f>SUM(テーブル17[[#This Row],[ケアレスミス]:[解釈]])</f>
        <v>0</v>
      </c>
      <c r="J36" s="1">
        <v>0</v>
      </c>
    </row>
    <row r="37" spans="1:10" x14ac:dyDescent="0.55000000000000004">
      <c r="A37" s="48" t="s">
        <v>309</v>
      </c>
      <c r="B37" s="85">
        <v>45366</v>
      </c>
      <c r="C37" s="33" t="s">
        <v>219</v>
      </c>
      <c r="D37" s="2" t="s">
        <v>68</v>
      </c>
      <c r="E37" s="1">
        <v>1</v>
      </c>
      <c r="F37" s="1">
        <v>0</v>
      </c>
      <c r="G37" s="37">
        <v>0</v>
      </c>
      <c r="H37" s="64">
        <v>0</v>
      </c>
      <c r="I37" s="37">
        <f>SUM(テーブル17[[#This Row],[ケアレスミス]:[解釈]])</f>
        <v>1</v>
      </c>
      <c r="J37" s="1">
        <v>0</v>
      </c>
    </row>
    <row r="38" spans="1:10" x14ac:dyDescent="0.55000000000000004">
      <c r="A38" s="48" t="s">
        <v>310</v>
      </c>
      <c r="B38" s="85">
        <v>45366</v>
      </c>
      <c r="C38" s="33" t="s">
        <v>220</v>
      </c>
      <c r="D38" s="2" t="s">
        <v>28</v>
      </c>
      <c r="E38" s="1">
        <v>1</v>
      </c>
      <c r="F38" s="1">
        <v>0</v>
      </c>
      <c r="G38" s="37">
        <v>0</v>
      </c>
      <c r="H38" s="64">
        <v>0</v>
      </c>
      <c r="I38" s="37">
        <f>SUM(テーブル17[[#This Row],[ケアレスミス]:[解釈]])</f>
        <v>1</v>
      </c>
      <c r="J38" s="1">
        <v>0</v>
      </c>
    </row>
    <row r="39" spans="1:10" x14ac:dyDescent="0.55000000000000004">
      <c r="A39" s="48" t="s">
        <v>311</v>
      </c>
      <c r="B39" s="85">
        <v>45366</v>
      </c>
      <c r="C39" s="33" t="s">
        <v>221</v>
      </c>
      <c r="D39" s="2" t="s">
        <v>29</v>
      </c>
      <c r="E39" s="1">
        <v>0</v>
      </c>
      <c r="F39" s="1">
        <v>0</v>
      </c>
      <c r="G39" s="37">
        <v>0</v>
      </c>
      <c r="H39" s="64">
        <v>0</v>
      </c>
      <c r="I39" s="37">
        <f>SUM(テーブル17[[#This Row],[ケアレスミス]:[解釈]])</f>
        <v>0</v>
      </c>
      <c r="J39" s="1">
        <v>0</v>
      </c>
    </row>
    <row r="40" spans="1:10" x14ac:dyDescent="0.55000000000000004">
      <c r="A40" s="48" t="s">
        <v>312</v>
      </c>
      <c r="B40" s="85">
        <v>45366</v>
      </c>
      <c r="C40" s="33" t="s">
        <v>219</v>
      </c>
      <c r="D40" s="2" t="s">
        <v>36</v>
      </c>
      <c r="E40" s="1">
        <v>0</v>
      </c>
      <c r="F40" s="1">
        <v>0</v>
      </c>
      <c r="G40" s="37">
        <v>0</v>
      </c>
      <c r="H40" s="64">
        <v>0</v>
      </c>
      <c r="I40" s="37">
        <f>SUM(テーブル17[[#This Row],[ケアレスミス]:[解釈]])</f>
        <v>0</v>
      </c>
      <c r="J40" s="1">
        <v>0</v>
      </c>
    </row>
    <row r="41" spans="1:10" x14ac:dyDescent="0.55000000000000004">
      <c r="A41" s="48" t="s">
        <v>313</v>
      </c>
      <c r="B41" s="85">
        <v>45366</v>
      </c>
      <c r="C41" s="33" t="s">
        <v>220</v>
      </c>
      <c r="D41" s="2" t="s">
        <v>68</v>
      </c>
      <c r="E41" s="1">
        <v>0</v>
      </c>
      <c r="F41" s="1">
        <v>0</v>
      </c>
      <c r="G41" s="37">
        <v>0</v>
      </c>
      <c r="H41" s="64">
        <v>0</v>
      </c>
      <c r="I41" s="37">
        <f>SUM(テーブル17[[#This Row],[ケアレスミス]:[解釈]])</f>
        <v>0</v>
      </c>
      <c r="J41" s="1">
        <v>0</v>
      </c>
    </row>
    <row r="42" spans="1:10" x14ac:dyDescent="0.55000000000000004">
      <c r="A42" s="48" t="s">
        <v>315</v>
      </c>
      <c r="B42" s="85">
        <v>45366</v>
      </c>
      <c r="C42" s="33" t="s">
        <v>221</v>
      </c>
      <c r="D42" s="2" t="s">
        <v>68</v>
      </c>
      <c r="E42" s="1">
        <v>5</v>
      </c>
      <c r="F42" s="1">
        <v>1</v>
      </c>
      <c r="G42" s="37">
        <v>0</v>
      </c>
      <c r="H42" s="64">
        <v>0</v>
      </c>
      <c r="I42" s="37">
        <f>SUM(テーブル17[[#This Row],[ケアレスミス]:[解釈]])</f>
        <v>6</v>
      </c>
      <c r="J42" s="1">
        <v>0</v>
      </c>
    </row>
    <row r="43" spans="1:10" x14ac:dyDescent="0.55000000000000004">
      <c r="A43" s="48" t="s">
        <v>332</v>
      </c>
      <c r="B43" s="85">
        <v>45366</v>
      </c>
      <c r="C43" s="34" t="s">
        <v>219</v>
      </c>
      <c r="D43" s="2" t="s">
        <v>68</v>
      </c>
      <c r="E43" s="1">
        <v>2</v>
      </c>
      <c r="F43" s="1">
        <v>0</v>
      </c>
      <c r="G43" s="37">
        <v>0</v>
      </c>
      <c r="H43" s="37">
        <v>0</v>
      </c>
      <c r="I43" s="37">
        <f>SUM(テーブル17[[#This Row],[ケアレスミス]:[解釈]])</f>
        <v>2</v>
      </c>
      <c r="J43" s="1">
        <v>0</v>
      </c>
    </row>
    <row r="44" spans="1:10" x14ac:dyDescent="0.55000000000000004">
      <c r="A44" s="48" t="s">
        <v>333</v>
      </c>
      <c r="B44" s="85">
        <v>45366</v>
      </c>
      <c r="C44" s="34" t="s">
        <v>220</v>
      </c>
      <c r="D44" s="2" t="s">
        <v>36</v>
      </c>
      <c r="E44" s="1">
        <v>1</v>
      </c>
      <c r="F44" s="1">
        <v>0</v>
      </c>
      <c r="G44" s="37">
        <v>0</v>
      </c>
      <c r="H44" s="37">
        <v>0</v>
      </c>
      <c r="I44" s="37">
        <f>SUM(テーブル17[[#This Row],[ケアレスミス]:[解釈]])</f>
        <v>1</v>
      </c>
      <c r="J44" s="1">
        <v>0</v>
      </c>
    </row>
    <row r="45" spans="1:10" x14ac:dyDescent="0.55000000000000004">
      <c r="A45" s="48" t="s">
        <v>334</v>
      </c>
      <c r="B45" s="85">
        <v>45366</v>
      </c>
      <c r="C45" s="34" t="s">
        <v>221</v>
      </c>
      <c r="D45" s="2" t="s">
        <v>28</v>
      </c>
      <c r="E45" s="1">
        <v>2</v>
      </c>
      <c r="F45" s="1">
        <v>0</v>
      </c>
      <c r="G45" s="37">
        <v>0</v>
      </c>
      <c r="H45" s="37">
        <v>0</v>
      </c>
      <c r="I45" s="37">
        <f>SUM(テーブル17[[#This Row],[ケアレスミス]:[解釈]])</f>
        <v>2</v>
      </c>
      <c r="J45" s="39">
        <v>0</v>
      </c>
    </row>
    <row r="46" spans="1:10" x14ac:dyDescent="0.55000000000000004">
      <c r="A46" s="48" t="s">
        <v>359</v>
      </c>
      <c r="B46" s="85">
        <v>45397</v>
      </c>
      <c r="C46" s="34" t="s">
        <v>219</v>
      </c>
      <c r="D46" s="2" t="s">
        <v>68</v>
      </c>
      <c r="E46" s="1">
        <v>0</v>
      </c>
      <c r="F46" s="1">
        <v>0</v>
      </c>
      <c r="G46" s="37">
        <v>0</v>
      </c>
      <c r="H46" s="37">
        <v>0</v>
      </c>
      <c r="I46" s="37">
        <f>SUM(テーブル17[[#This Row],[ケアレスミス]:[解釈]])</f>
        <v>0</v>
      </c>
      <c r="J46" s="1">
        <v>0</v>
      </c>
    </row>
    <row r="47" spans="1:10" x14ac:dyDescent="0.55000000000000004">
      <c r="A47" s="48" t="s">
        <v>360</v>
      </c>
      <c r="B47" s="85">
        <v>45397</v>
      </c>
      <c r="C47" s="34" t="s">
        <v>220</v>
      </c>
      <c r="D47" s="2" t="s">
        <v>39</v>
      </c>
      <c r="E47" s="1">
        <v>1</v>
      </c>
      <c r="F47" s="1">
        <v>0</v>
      </c>
      <c r="G47" s="37">
        <v>0</v>
      </c>
      <c r="H47" s="37">
        <v>0</v>
      </c>
      <c r="I47" s="37">
        <f>SUM(テーブル17[[#This Row],[ケアレスミス]:[解釈]])</f>
        <v>1</v>
      </c>
      <c r="J47" s="1">
        <v>0</v>
      </c>
    </row>
    <row r="48" spans="1:10" x14ac:dyDescent="0.55000000000000004">
      <c r="A48" s="48" t="s">
        <v>361</v>
      </c>
      <c r="B48" s="85">
        <v>45397</v>
      </c>
      <c r="C48" s="34" t="s">
        <v>221</v>
      </c>
      <c r="D48" s="2" t="s">
        <v>39</v>
      </c>
      <c r="E48" s="1">
        <v>1</v>
      </c>
      <c r="F48" s="1">
        <v>0</v>
      </c>
      <c r="G48" s="37">
        <v>0</v>
      </c>
      <c r="H48" s="37">
        <v>0</v>
      </c>
      <c r="I48" s="37">
        <f>SUM(テーブル17[[#This Row],[ケアレスミス]:[解釈]])</f>
        <v>1</v>
      </c>
      <c r="J48" s="1">
        <v>0</v>
      </c>
    </row>
    <row r="49" spans="1:10" x14ac:dyDescent="0.55000000000000004">
      <c r="A49" s="48" t="s">
        <v>465</v>
      </c>
      <c r="B49" s="85">
        <v>45412</v>
      </c>
      <c r="C49" s="34" t="s">
        <v>219</v>
      </c>
      <c r="D49" s="2" t="s">
        <v>68</v>
      </c>
      <c r="E49" s="1">
        <v>0</v>
      </c>
      <c r="F49" s="1">
        <v>0</v>
      </c>
      <c r="G49" s="37">
        <v>0</v>
      </c>
      <c r="H49" s="37">
        <v>0</v>
      </c>
      <c r="I49" s="37">
        <f>SUM(テーブル17[[#This Row],[ケアレスミス]:[解釈]])</f>
        <v>0</v>
      </c>
      <c r="J49" s="1">
        <v>0</v>
      </c>
    </row>
    <row r="50" spans="1:10" x14ac:dyDescent="0.55000000000000004">
      <c r="A50" s="48" t="s">
        <v>466</v>
      </c>
      <c r="B50" s="85">
        <v>45412</v>
      </c>
      <c r="C50" s="34" t="s">
        <v>220</v>
      </c>
      <c r="D50" s="2" t="s">
        <v>39</v>
      </c>
      <c r="E50" s="1">
        <v>0</v>
      </c>
      <c r="F50" s="1">
        <v>0</v>
      </c>
      <c r="G50" s="37">
        <v>0</v>
      </c>
      <c r="H50" s="37">
        <v>0</v>
      </c>
      <c r="I50" s="37">
        <f>SUM(テーブル17[[#This Row],[ケアレスミス]:[解釈]])</f>
        <v>0</v>
      </c>
      <c r="J50" s="1">
        <v>0</v>
      </c>
    </row>
    <row r="51" spans="1:10" x14ac:dyDescent="0.55000000000000004">
      <c r="A51" s="48" t="s">
        <v>467</v>
      </c>
      <c r="B51" s="85">
        <v>45412</v>
      </c>
      <c r="C51" s="34" t="s">
        <v>221</v>
      </c>
      <c r="D51" s="2" t="s">
        <v>36</v>
      </c>
      <c r="E51" s="1">
        <v>9</v>
      </c>
      <c r="F51" s="1">
        <v>0</v>
      </c>
      <c r="G51" s="37">
        <v>0</v>
      </c>
      <c r="H51" s="37">
        <v>0</v>
      </c>
      <c r="I51" s="37">
        <f>SUM(テーブル17[[#This Row],[ケアレスミス]:[解釈]])</f>
        <v>9</v>
      </c>
      <c r="J51" s="1">
        <v>0</v>
      </c>
    </row>
    <row r="52" spans="1:10" x14ac:dyDescent="0.55000000000000004">
      <c r="A52" s="48" t="s">
        <v>468</v>
      </c>
      <c r="B52" s="85">
        <v>45427</v>
      </c>
      <c r="C52" s="34" t="s">
        <v>219</v>
      </c>
      <c r="D52" s="2" t="s">
        <v>39</v>
      </c>
      <c r="E52" s="1">
        <v>0</v>
      </c>
      <c r="F52" s="1">
        <v>0</v>
      </c>
      <c r="G52" s="37">
        <v>0</v>
      </c>
      <c r="H52" s="37">
        <v>0</v>
      </c>
      <c r="I52" s="37">
        <f>SUM(テーブル17[[#This Row],[ケアレスミス]:[解釈]])</f>
        <v>0</v>
      </c>
      <c r="J52" s="1">
        <v>0</v>
      </c>
    </row>
    <row r="53" spans="1:10" x14ac:dyDescent="0.55000000000000004">
      <c r="A53" s="48" t="s">
        <v>469</v>
      </c>
      <c r="B53" s="85">
        <v>45427</v>
      </c>
      <c r="C53" s="34" t="s">
        <v>220</v>
      </c>
      <c r="D53" s="2" t="s">
        <v>36</v>
      </c>
      <c r="E53" s="1">
        <v>2</v>
      </c>
      <c r="F53" s="1">
        <v>0</v>
      </c>
      <c r="G53" s="37">
        <v>0</v>
      </c>
      <c r="H53" s="37">
        <v>0</v>
      </c>
      <c r="I53" s="37">
        <f>SUM(テーブル17[[#This Row],[ケアレスミス]:[解釈]])</f>
        <v>2</v>
      </c>
      <c r="J53" s="1">
        <v>0</v>
      </c>
    </row>
    <row r="54" spans="1:10" x14ac:dyDescent="0.55000000000000004">
      <c r="A54" s="48" t="s">
        <v>470</v>
      </c>
      <c r="B54" s="85">
        <v>45427</v>
      </c>
      <c r="C54" s="34" t="s">
        <v>221</v>
      </c>
      <c r="D54" s="2" t="s">
        <v>28</v>
      </c>
      <c r="E54" s="1">
        <v>0</v>
      </c>
      <c r="F54" s="1">
        <v>0</v>
      </c>
      <c r="G54" s="37">
        <v>0</v>
      </c>
      <c r="H54" s="37">
        <v>0</v>
      </c>
      <c r="I54" s="37">
        <f>SUM(テーブル17[[#This Row],[ケアレスミス]:[解釈]])</f>
        <v>0</v>
      </c>
      <c r="J54" s="1">
        <v>0</v>
      </c>
    </row>
    <row r="55" spans="1:10" x14ac:dyDescent="0.55000000000000004">
      <c r="A55" s="48" t="s">
        <v>471</v>
      </c>
      <c r="B55" s="85">
        <v>45443</v>
      </c>
      <c r="C55" s="34" t="s">
        <v>219</v>
      </c>
      <c r="D55" s="2" t="s">
        <v>28</v>
      </c>
      <c r="E55" s="1">
        <v>2</v>
      </c>
      <c r="F55" s="1">
        <v>0</v>
      </c>
      <c r="G55" s="37">
        <v>0</v>
      </c>
      <c r="H55" s="37">
        <v>0</v>
      </c>
      <c r="I55" s="37">
        <f>SUM(テーブル17[[#This Row],[ケアレスミス]:[解釈]])</f>
        <v>2</v>
      </c>
      <c r="J55" s="1">
        <v>0</v>
      </c>
    </row>
    <row r="56" spans="1:10" x14ac:dyDescent="0.55000000000000004">
      <c r="A56" s="48" t="s">
        <v>523</v>
      </c>
      <c r="B56" s="85">
        <v>45443</v>
      </c>
      <c r="C56" s="34" t="s">
        <v>220</v>
      </c>
      <c r="D56" s="2" t="s">
        <v>36</v>
      </c>
      <c r="E56" s="1">
        <v>1</v>
      </c>
      <c r="F56" s="1">
        <v>0</v>
      </c>
      <c r="G56" s="37">
        <v>0</v>
      </c>
      <c r="H56" s="37">
        <v>0</v>
      </c>
      <c r="I56" s="37">
        <f>SUM(テーブル17[[#This Row],[ケアレスミス]:[解釈]])</f>
        <v>1</v>
      </c>
      <c r="J56" s="1">
        <v>0</v>
      </c>
    </row>
    <row r="57" spans="1:10" x14ac:dyDescent="0.55000000000000004">
      <c r="A57" s="85" t="s">
        <v>524</v>
      </c>
      <c r="B57" s="85">
        <v>45443</v>
      </c>
      <c r="C57" s="34" t="s">
        <v>221</v>
      </c>
      <c r="D57" s="2" t="s">
        <v>29</v>
      </c>
      <c r="E57" s="1">
        <v>1</v>
      </c>
      <c r="F57" s="1">
        <v>0</v>
      </c>
      <c r="G57" s="37">
        <v>0</v>
      </c>
      <c r="H57" s="37">
        <v>1</v>
      </c>
      <c r="I57" s="37">
        <f>SUM(テーブル17[[#This Row],[ケアレスミス]:[解釈]])</f>
        <v>1</v>
      </c>
      <c r="J57" s="1">
        <v>0</v>
      </c>
    </row>
    <row r="58" spans="1:10" x14ac:dyDescent="0.55000000000000004">
      <c r="A58" s="85" t="s">
        <v>538</v>
      </c>
      <c r="B58" s="85">
        <v>45458</v>
      </c>
      <c r="C58" s="34" t="s">
        <v>219</v>
      </c>
      <c r="D58" s="2" t="s">
        <v>36</v>
      </c>
      <c r="E58" s="1">
        <v>0</v>
      </c>
      <c r="F58" s="1">
        <v>0</v>
      </c>
      <c r="G58" s="37">
        <v>0</v>
      </c>
      <c r="H58" s="37">
        <v>0</v>
      </c>
      <c r="I58" s="37">
        <f>SUM(テーブル17[[#This Row],[ケアレスミス]:[解釈]])</f>
        <v>0</v>
      </c>
      <c r="J58" s="1">
        <v>0</v>
      </c>
    </row>
    <row r="59" spans="1:10" x14ac:dyDescent="0.55000000000000004">
      <c r="A59" s="89" t="s">
        <v>539</v>
      </c>
      <c r="B59" s="85">
        <v>45458</v>
      </c>
      <c r="C59" s="83" t="s">
        <v>220</v>
      </c>
      <c r="D59" s="38" t="s">
        <v>29</v>
      </c>
      <c r="E59" s="39">
        <v>0</v>
      </c>
      <c r="F59" s="39">
        <v>0</v>
      </c>
      <c r="G59" s="40">
        <v>0</v>
      </c>
      <c r="H59" s="40">
        <v>1</v>
      </c>
      <c r="I59" s="40">
        <f>SUM(テーブル17[[#This Row],[ケアレスミス]:[解釈]])</f>
        <v>0</v>
      </c>
      <c r="J59" s="39">
        <v>0</v>
      </c>
    </row>
    <row r="60" spans="1:10" x14ac:dyDescent="0.55000000000000004">
      <c r="A60" s="85" t="s">
        <v>540</v>
      </c>
      <c r="B60" s="85">
        <v>45458</v>
      </c>
      <c r="C60" s="34" t="s">
        <v>221</v>
      </c>
      <c r="D60" s="2" t="s">
        <v>68</v>
      </c>
      <c r="E60" s="1">
        <v>1</v>
      </c>
      <c r="F60" s="1">
        <v>0</v>
      </c>
      <c r="G60" s="37">
        <v>0</v>
      </c>
      <c r="H60" s="37">
        <v>0</v>
      </c>
      <c r="I60" s="37">
        <f>SUM(テーブル17[[#This Row],[ケアレスミス]:[解釈]])</f>
        <v>1</v>
      </c>
      <c r="J60" s="1">
        <v>1</v>
      </c>
    </row>
    <row r="61" spans="1:10" x14ac:dyDescent="0.55000000000000004">
      <c r="A61" s="85" t="s">
        <v>541</v>
      </c>
      <c r="B61" s="85">
        <v>45473</v>
      </c>
      <c r="C61" s="34" t="s">
        <v>219</v>
      </c>
      <c r="D61" s="2" t="s">
        <v>320</v>
      </c>
      <c r="E61" s="1">
        <v>1</v>
      </c>
      <c r="F61" s="1">
        <v>0</v>
      </c>
      <c r="G61" s="37">
        <v>0</v>
      </c>
      <c r="H61" s="37">
        <v>0</v>
      </c>
      <c r="I61" s="37">
        <f>SUM(テーブル17[[#This Row],[ケアレスミス]:[解釈]])</f>
        <v>1</v>
      </c>
      <c r="J61" s="1">
        <v>0</v>
      </c>
    </row>
    <row r="62" spans="1:10" x14ac:dyDescent="0.55000000000000004">
      <c r="A62" s="85" t="s">
        <v>544</v>
      </c>
      <c r="B62" s="89">
        <v>45473</v>
      </c>
      <c r="C62" s="34" t="s">
        <v>220</v>
      </c>
      <c r="D62" s="2" t="s">
        <v>28</v>
      </c>
      <c r="E62" s="1">
        <v>0</v>
      </c>
      <c r="F62" s="1">
        <v>1</v>
      </c>
      <c r="G62" s="37">
        <v>0</v>
      </c>
      <c r="H62" s="37">
        <v>0</v>
      </c>
      <c r="I62" s="37">
        <f>SUM(テーブル17[[#This Row],[ケアレスミス]:[解釈]])</f>
        <v>1</v>
      </c>
      <c r="J62" s="1">
        <v>1</v>
      </c>
    </row>
    <row r="63" spans="1:10" x14ac:dyDescent="0.55000000000000004">
      <c r="A63" s="85" t="s">
        <v>552</v>
      </c>
      <c r="B63" s="85">
        <v>45473</v>
      </c>
      <c r="C63" s="34" t="s">
        <v>221</v>
      </c>
      <c r="D63" s="2" t="s">
        <v>29</v>
      </c>
      <c r="E63" s="1">
        <v>3</v>
      </c>
      <c r="F63" s="1">
        <v>0</v>
      </c>
      <c r="G63" s="37">
        <v>0</v>
      </c>
      <c r="H63" s="37">
        <v>0</v>
      </c>
      <c r="I63" s="37">
        <f>SUM(テーブル17[[#This Row],[ケアレスミス]:[解釈]])</f>
        <v>3</v>
      </c>
      <c r="J63" s="1">
        <v>2</v>
      </c>
    </row>
    <row r="64" spans="1:10" x14ac:dyDescent="0.55000000000000004">
      <c r="A64" s="85" t="s">
        <v>553</v>
      </c>
      <c r="B64" s="85">
        <v>45488</v>
      </c>
      <c r="C64" s="34" t="s">
        <v>219</v>
      </c>
      <c r="D64" s="2" t="s">
        <v>36</v>
      </c>
      <c r="E64" s="1">
        <v>0</v>
      </c>
      <c r="F64" s="1">
        <v>0</v>
      </c>
      <c r="G64" s="37">
        <v>0</v>
      </c>
      <c r="H64" s="37">
        <v>0</v>
      </c>
      <c r="I64" s="37">
        <f>SUM(テーブル17[[#This Row],[ケアレスミス]:[解釈]])</f>
        <v>0</v>
      </c>
      <c r="J64" s="1">
        <v>0</v>
      </c>
    </row>
    <row r="65" spans="1:10" x14ac:dyDescent="0.55000000000000004">
      <c r="A65" s="85" t="s">
        <v>554</v>
      </c>
      <c r="B65" s="85">
        <v>45488</v>
      </c>
      <c r="C65" s="34" t="s">
        <v>220</v>
      </c>
      <c r="D65" s="2" t="s">
        <v>320</v>
      </c>
      <c r="E65" s="1">
        <v>3</v>
      </c>
      <c r="F65" s="1">
        <v>0</v>
      </c>
      <c r="G65" s="37">
        <v>0</v>
      </c>
      <c r="H65" s="37">
        <v>2</v>
      </c>
      <c r="I65" s="37">
        <f>SUM(テーブル17[[#This Row],[ケアレスミス]:[解釈]])</f>
        <v>3</v>
      </c>
      <c r="J65" s="1">
        <v>2</v>
      </c>
    </row>
    <row r="66" spans="1:10" x14ac:dyDescent="0.55000000000000004">
      <c r="A66" s="85" t="s">
        <v>555</v>
      </c>
      <c r="B66" s="85">
        <v>45488</v>
      </c>
      <c r="C66" s="34" t="s">
        <v>221</v>
      </c>
      <c r="D66" s="2" t="s">
        <v>28</v>
      </c>
      <c r="E66" s="1">
        <v>1</v>
      </c>
      <c r="F66" s="1">
        <v>0</v>
      </c>
      <c r="G66" s="37">
        <v>0</v>
      </c>
      <c r="H66" s="37">
        <v>0</v>
      </c>
      <c r="I66" s="37">
        <f>SUM(テーブル17[[#This Row],[ケアレスミス]:[解釈]])</f>
        <v>1</v>
      </c>
      <c r="J66" s="1">
        <v>0</v>
      </c>
    </row>
    <row r="67" spans="1:10" x14ac:dyDescent="0.55000000000000004">
      <c r="A67" s="85" t="s">
        <v>556</v>
      </c>
      <c r="B67" s="85">
        <v>45504</v>
      </c>
      <c r="C67" s="34" t="s">
        <v>219</v>
      </c>
      <c r="D67" s="2" t="s">
        <v>68</v>
      </c>
      <c r="E67" s="1">
        <v>0</v>
      </c>
      <c r="F67" s="1">
        <v>0</v>
      </c>
      <c r="G67" s="37">
        <v>0</v>
      </c>
      <c r="H67" s="37">
        <v>0</v>
      </c>
      <c r="I67" s="37">
        <f>SUM(テーブル17[[#This Row],[ケアレスミス]:[解釈]])</f>
        <v>0</v>
      </c>
      <c r="J67" s="1">
        <v>0</v>
      </c>
    </row>
    <row r="68" spans="1:10" x14ac:dyDescent="0.55000000000000004">
      <c r="A68" s="85" t="s">
        <v>605</v>
      </c>
      <c r="B68" s="89">
        <v>45504</v>
      </c>
      <c r="C68" s="34" t="s">
        <v>220</v>
      </c>
      <c r="D68" s="2" t="s">
        <v>28</v>
      </c>
      <c r="E68" s="1">
        <v>2</v>
      </c>
      <c r="F68" s="1">
        <v>0</v>
      </c>
      <c r="G68" s="37">
        <v>0</v>
      </c>
      <c r="H68" s="37">
        <v>0</v>
      </c>
      <c r="I68" s="37">
        <f>SUM(テーブル17[[#This Row],[ケアレスミス]:[解釈]])</f>
        <v>2</v>
      </c>
      <c r="J68" s="1">
        <v>2</v>
      </c>
    </row>
    <row r="69" spans="1:10" x14ac:dyDescent="0.55000000000000004">
      <c r="A69" s="89" t="s">
        <v>606</v>
      </c>
      <c r="B69" s="85">
        <v>45504</v>
      </c>
      <c r="C69" s="83" t="s">
        <v>221</v>
      </c>
      <c r="D69" s="38" t="s">
        <v>320</v>
      </c>
      <c r="E69" s="39">
        <v>5</v>
      </c>
      <c r="F69" s="39">
        <v>0</v>
      </c>
      <c r="G69" s="40">
        <v>1</v>
      </c>
      <c r="H69" s="40">
        <v>0</v>
      </c>
      <c r="I69" s="40">
        <f>SUM(テーブル17[[#This Row],[ケアレスミス]:[解釈]])</f>
        <v>5</v>
      </c>
      <c r="J69" s="39">
        <v>2</v>
      </c>
    </row>
    <row r="70" spans="1:10" x14ac:dyDescent="0.55000000000000004">
      <c r="A70" s="85" t="s">
        <v>607</v>
      </c>
      <c r="B70" s="85">
        <v>45519</v>
      </c>
      <c r="C70" s="34" t="s">
        <v>219</v>
      </c>
      <c r="D70" s="2" t="s">
        <v>320</v>
      </c>
      <c r="E70" s="1">
        <v>0</v>
      </c>
      <c r="F70" s="1">
        <v>0</v>
      </c>
      <c r="G70" s="37">
        <v>0</v>
      </c>
      <c r="H70" s="37">
        <v>0</v>
      </c>
      <c r="I70" s="37">
        <f>SUM(テーブル17[[#This Row],[ケアレスミス]:[解釈]])</f>
        <v>0</v>
      </c>
      <c r="J70" s="1">
        <v>0</v>
      </c>
    </row>
    <row r="71" spans="1:10" x14ac:dyDescent="0.55000000000000004">
      <c r="A71" s="85" t="s">
        <v>608</v>
      </c>
      <c r="B71" s="85">
        <v>45519</v>
      </c>
      <c r="C71" s="34" t="s">
        <v>220</v>
      </c>
      <c r="D71" s="2" t="s">
        <v>29</v>
      </c>
      <c r="E71" s="1">
        <v>2</v>
      </c>
      <c r="F71" s="1">
        <v>0</v>
      </c>
      <c r="G71" s="37">
        <v>0</v>
      </c>
      <c r="H71" s="37">
        <v>0</v>
      </c>
      <c r="I71" s="37">
        <f>SUM(テーブル17[[#This Row],[ケアレスミス]:[解釈]])</f>
        <v>2</v>
      </c>
      <c r="J71" s="1">
        <v>2</v>
      </c>
    </row>
    <row r="72" spans="1:10" x14ac:dyDescent="0.55000000000000004">
      <c r="A72" s="85" t="s">
        <v>609</v>
      </c>
      <c r="B72" s="85">
        <v>45519</v>
      </c>
      <c r="C72" s="34" t="s">
        <v>221</v>
      </c>
      <c r="D72" s="2" t="s">
        <v>68</v>
      </c>
      <c r="E72" s="1">
        <v>0</v>
      </c>
      <c r="F72" s="1">
        <v>0</v>
      </c>
      <c r="G72" s="37">
        <v>0</v>
      </c>
      <c r="H72" s="37">
        <v>0</v>
      </c>
      <c r="I72" s="37">
        <f>SUM(テーブル17[[#This Row],[ケアレスミス]:[解釈]])</f>
        <v>0</v>
      </c>
      <c r="J72" s="1">
        <v>0</v>
      </c>
    </row>
    <row r="73" spans="1:10" x14ac:dyDescent="0.55000000000000004">
      <c r="A73" s="85" t="s">
        <v>610</v>
      </c>
      <c r="B73" s="85">
        <v>45535</v>
      </c>
      <c r="C73" s="34" t="s">
        <v>219</v>
      </c>
      <c r="D73" s="2" t="s">
        <v>36</v>
      </c>
      <c r="E73" s="1">
        <v>2</v>
      </c>
      <c r="F73" s="1">
        <v>0</v>
      </c>
      <c r="G73" s="37">
        <v>0</v>
      </c>
      <c r="H73" s="37">
        <v>0</v>
      </c>
      <c r="I73" s="37">
        <f>SUM(テーブル17[[#This Row],[ケアレスミス]:[解釈]])</f>
        <v>2</v>
      </c>
      <c r="J73" s="1">
        <v>0</v>
      </c>
    </row>
    <row r="74" spans="1:10" x14ac:dyDescent="0.55000000000000004">
      <c r="A74" s="85" t="s">
        <v>611</v>
      </c>
      <c r="B74" s="89">
        <v>45535</v>
      </c>
      <c r="C74" s="34" t="s">
        <v>220</v>
      </c>
      <c r="D74" s="2" t="s">
        <v>320</v>
      </c>
      <c r="E74" s="1">
        <v>0</v>
      </c>
      <c r="F74" s="1">
        <v>0</v>
      </c>
      <c r="G74" s="37">
        <v>0</v>
      </c>
      <c r="H74" s="37">
        <v>0</v>
      </c>
      <c r="I74" s="37">
        <f>SUM(テーブル17[[#This Row],[ケアレスミス]:[解釈]])</f>
        <v>0</v>
      </c>
      <c r="J74" s="1">
        <v>0</v>
      </c>
    </row>
    <row r="75" spans="1:10" x14ac:dyDescent="0.55000000000000004">
      <c r="A75" s="85" t="s">
        <v>612</v>
      </c>
      <c r="B75" s="85">
        <v>45535</v>
      </c>
      <c r="C75" s="34" t="s">
        <v>221</v>
      </c>
      <c r="D75" s="2" t="s">
        <v>29</v>
      </c>
      <c r="E75" s="1">
        <v>2</v>
      </c>
      <c r="F75" s="1">
        <v>1</v>
      </c>
      <c r="G75" s="37">
        <v>0</v>
      </c>
      <c r="H75" s="37">
        <v>0</v>
      </c>
      <c r="I75" s="37">
        <f>SUM(テーブル17[[#This Row],[ケアレスミス]:[解釈]])</f>
        <v>3</v>
      </c>
      <c r="J75" s="1">
        <v>2</v>
      </c>
    </row>
    <row r="76" spans="1:10" x14ac:dyDescent="0.55000000000000004">
      <c r="A76" s="85" t="s">
        <v>633</v>
      </c>
      <c r="B76" s="85">
        <v>45550</v>
      </c>
      <c r="C76" s="34" t="s">
        <v>219</v>
      </c>
      <c r="D76" s="2" t="s">
        <v>29</v>
      </c>
      <c r="E76" s="1">
        <v>0</v>
      </c>
      <c r="F76" s="1">
        <v>0</v>
      </c>
      <c r="G76" s="37">
        <v>0</v>
      </c>
      <c r="H76" s="37">
        <v>0</v>
      </c>
      <c r="I76" s="37">
        <f>SUM(テーブル17[[#This Row],[ケアレスミス]:[解釈]])</f>
        <v>0</v>
      </c>
      <c r="J76" s="1">
        <v>0</v>
      </c>
    </row>
    <row r="77" spans="1:10" x14ac:dyDescent="0.55000000000000004">
      <c r="A77" s="85" t="s">
        <v>634</v>
      </c>
      <c r="B77" s="85">
        <v>45550</v>
      </c>
      <c r="C77" s="34" t="s">
        <v>220</v>
      </c>
      <c r="D77" s="2" t="s">
        <v>36</v>
      </c>
      <c r="E77" s="1">
        <v>2</v>
      </c>
      <c r="F77" s="1">
        <v>0</v>
      </c>
      <c r="G77" s="37">
        <v>0</v>
      </c>
      <c r="H77" s="37">
        <v>0</v>
      </c>
      <c r="I77" s="37">
        <f>SUM(テーブル17[[#This Row],[ケアレスミス]:[解釈]])</f>
        <v>2</v>
      </c>
      <c r="J77" s="1">
        <v>0</v>
      </c>
    </row>
    <row r="78" spans="1:10" x14ac:dyDescent="0.55000000000000004">
      <c r="A78" s="85" t="s">
        <v>635</v>
      </c>
      <c r="B78" s="85">
        <v>45550</v>
      </c>
      <c r="C78" s="34" t="s">
        <v>221</v>
      </c>
      <c r="D78" s="2" t="s">
        <v>28</v>
      </c>
      <c r="E78" s="1">
        <v>2</v>
      </c>
      <c r="F78" s="1">
        <v>0</v>
      </c>
      <c r="G78" s="37">
        <v>0</v>
      </c>
      <c r="H78" s="37">
        <v>0</v>
      </c>
      <c r="I78" s="37">
        <f>SUM(テーブル17[[#This Row],[ケアレスミス]:[解釈]])</f>
        <v>2</v>
      </c>
      <c r="J78" s="1">
        <v>0</v>
      </c>
    </row>
    <row r="79" spans="1:10" x14ac:dyDescent="0.55000000000000004">
      <c r="A79" s="85" t="s">
        <v>636</v>
      </c>
      <c r="B79" s="85">
        <v>45565</v>
      </c>
      <c r="C79" s="34" t="s">
        <v>219</v>
      </c>
      <c r="D79" s="2" t="s">
        <v>320</v>
      </c>
      <c r="E79" s="1">
        <v>2</v>
      </c>
      <c r="F79" s="1">
        <v>0</v>
      </c>
      <c r="G79" s="37">
        <v>0</v>
      </c>
      <c r="H79" s="37">
        <v>0</v>
      </c>
      <c r="I79" s="37">
        <f>SUM(テーブル17[[#This Row],[ケアレスミス]:[解釈]])</f>
        <v>2</v>
      </c>
      <c r="J79" s="1">
        <v>0</v>
      </c>
    </row>
    <row r="80" spans="1:10" x14ac:dyDescent="0.55000000000000004">
      <c r="A80" s="89" t="s">
        <v>637</v>
      </c>
      <c r="B80" s="89">
        <v>45565</v>
      </c>
      <c r="C80" s="83" t="s">
        <v>220</v>
      </c>
      <c r="D80" s="38" t="s">
        <v>68</v>
      </c>
      <c r="E80" s="39">
        <v>0</v>
      </c>
      <c r="F80" s="39">
        <v>0</v>
      </c>
      <c r="G80" s="40">
        <v>0</v>
      </c>
      <c r="H80" s="40">
        <v>0</v>
      </c>
      <c r="I80" s="40">
        <f>SUM(テーブル17[[#This Row],[ケアレスミス]:[解釈]])</f>
        <v>0</v>
      </c>
      <c r="J80" s="39">
        <v>0</v>
      </c>
    </row>
    <row r="81" spans="1:10" x14ac:dyDescent="0.55000000000000004">
      <c r="A81" s="85" t="s">
        <v>638</v>
      </c>
      <c r="B81" s="85">
        <v>45565</v>
      </c>
      <c r="C81" s="34" t="s">
        <v>221</v>
      </c>
      <c r="D81" s="2" t="s">
        <v>36</v>
      </c>
      <c r="E81" s="1">
        <v>5</v>
      </c>
      <c r="F81" s="1">
        <v>0</v>
      </c>
      <c r="G81" s="37">
        <v>2</v>
      </c>
      <c r="H81" s="37">
        <v>0</v>
      </c>
      <c r="I81" s="37">
        <f>SUM(テーブル17[[#This Row],[ケアレスミス]:[解釈]])</f>
        <v>5</v>
      </c>
      <c r="J81" s="1">
        <v>0</v>
      </c>
    </row>
    <row r="82" spans="1:10" x14ac:dyDescent="0.55000000000000004">
      <c r="A82" s="34"/>
      <c r="B82" s="34"/>
      <c r="C82" s="34"/>
      <c r="D82" s="2"/>
      <c r="E82" s="1"/>
      <c r="F82" s="1"/>
      <c r="G82" s="37"/>
      <c r="H82" s="37"/>
      <c r="I82" s="37">
        <f>SUM(テーブル17[[#This Row],[ケアレスミス]:[解釈]])</f>
        <v>0</v>
      </c>
      <c r="J82" s="1"/>
    </row>
    <row r="83" spans="1:10" x14ac:dyDescent="0.55000000000000004">
      <c r="A83" s="34"/>
      <c r="B83" s="34"/>
      <c r="C83" s="34"/>
      <c r="D83" s="2"/>
      <c r="E83" s="1"/>
      <c r="F83" s="1"/>
      <c r="G83" s="37"/>
      <c r="H83" s="37"/>
      <c r="I83" s="37">
        <f>SUM(テーブル17[[#This Row],[ケアレスミス]:[解釈]])</f>
        <v>0</v>
      </c>
      <c r="J83" s="1"/>
    </row>
    <row r="84" spans="1:10" x14ac:dyDescent="0.55000000000000004">
      <c r="A84" s="34"/>
      <c r="B84" s="34"/>
      <c r="C84" s="34"/>
      <c r="D84" s="2"/>
      <c r="E84" s="1"/>
      <c r="F84" s="1"/>
      <c r="G84" s="37"/>
      <c r="H84" s="37"/>
      <c r="I84" s="37">
        <f>SUM(テーブル17[[#This Row],[ケアレスミス]:[解釈]])</f>
        <v>0</v>
      </c>
      <c r="J84" s="1"/>
    </row>
    <row r="85" spans="1:10" x14ac:dyDescent="0.55000000000000004">
      <c r="A85" s="34"/>
      <c r="B85" s="34"/>
      <c r="C85" s="34"/>
      <c r="D85" s="2"/>
      <c r="E85" s="1"/>
      <c r="F85" s="1"/>
      <c r="G85" s="37"/>
      <c r="H85" s="37"/>
      <c r="I85" s="37">
        <f>SUM(テーブル17[[#This Row],[ケアレスミス]:[解釈]])</f>
        <v>0</v>
      </c>
      <c r="J85" s="1"/>
    </row>
    <row r="86" spans="1:10" x14ac:dyDescent="0.55000000000000004">
      <c r="A86" s="34"/>
      <c r="B86" s="34"/>
      <c r="C86" s="34"/>
      <c r="D86" s="2"/>
      <c r="E86" s="1"/>
      <c r="F86" s="1"/>
      <c r="G86" s="37"/>
      <c r="H86" s="37"/>
      <c r="I86" s="37">
        <f>SUM(テーブル17[[#This Row],[ケアレスミス]:[解釈]])</f>
        <v>0</v>
      </c>
      <c r="J86" s="1"/>
    </row>
    <row r="87" spans="1:10" x14ac:dyDescent="0.55000000000000004">
      <c r="A87" s="34"/>
      <c r="B87" s="34"/>
      <c r="C87" s="34"/>
      <c r="D87" s="2"/>
      <c r="E87" s="1"/>
      <c r="F87" s="1"/>
      <c r="G87" s="37"/>
      <c r="H87" s="37"/>
      <c r="I87" s="37">
        <f>SUM(テーブル17[[#This Row],[ケアレスミス]:[解釈]])</f>
        <v>0</v>
      </c>
      <c r="J87" s="1"/>
    </row>
    <row r="88" spans="1:10" x14ac:dyDescent="0.55000000000000004">
      <c r="A88" s="34"/>
      <c r="B88" s="34"/>
      <c r="C88" s="34"/>
      <c r="D88" s="2"/>
      <c r="E88" s="1"/>
      <c r="F88" s="1"/>
      <c r="G88" s="37"/>
      <c r="H88" s="37"/>
      <c r="I88" s="37">
        <f>SUM(テーブル17[[#This Row],[ケアレスミス]:[解釈]])</f>
        <v>0</v>
      </c>
      <c r="J88" s="1"/>
    </row>
    <row r="89" spans="1:10" x14ac:dyDescent="0.55000000000000004">
      <c r="A89" s="34"/>
      <c r="B89" s="34"/>
      <c r="C89" s="34"/>
      <c r="D89" s="2"/>
      <c r="E89" s="1"/>
      <c r="F89" s="1"/>
      <c r="G89" s="37"/>
      <c r="H89" s="37"/>
      <c r="I89" s="37">
        <f>SUM(テーブル17[[#This Row],[ケアレスミス]:[解釈]])</f>
        <v>0</v>
      </c>
      <c r="J89" s="1"/>
    </row>
    <row r="90" spans="1:10" x14ac:dyDescent="0.55000000000000004">
      <c r="A90" s="34"/>
      <c r="B90" s="34"/>
      <c r="C90" s="34"/>
      <c r="D90" s="2"/>
      <c r="E90" s="1"/>
      <c r="F90" s="1"/>
      <c r="G90" s="37"/>
      <c r="H90" s="37"/>
      <c r="I90" s="37">
        <f>SUM(テーブル17[[#This Row],[ケアレスミス]:[解釈]])</f>
        <v>0</v>
      </c>
      <c r="J90" s="1"/>
    </row>
    <row r="91" spans="1:10" x14ac:dyDescent="0.55000000000000004">
      <c r="A91" s="34"/>
      <c r="B91" s="34"/>
      <c r="C91" s="34"/>
      <c r="D91" s="2"/>
      <c r="E91" s="1"/>
      <c r="F91" s="1"/>
      <c r="G91" s="37"/>
      <c r="H91" s="37"/>
      <c r="I91" s="37">
        <f>SUM(テーブル17[[#This Row],[ケアレスミス]:[解釈]])</f>
        <v>0</v>
      </c>
      <c r="J91" s="1"/>
    </row>
    <row r="92" spans="1:10" x14ac:dyDescent="0.55000000000000004">
      <c r="A92" s="34"/>
      <c r="B92" s="34"/>
      <c r="C92" s="34"/>
      <c r="D92" s="2"/>
      <c r="E92" s="1"/>
      <c r="F92" s="1"/>
      <c r="G92" s="37"/>
      <c r="H92" s="37"/>
      <c r="I92" s="37">
        <f>SUM(テーブル17[[#This Row],[ケアレスミス]:[解釈]])</f>
        <v>0</v>
      </c>
      <c r="J92" s="1"/>
    </row>
    <row r="93" spans="1:10" x14ac:dyDescent="0.55000000000000004">
      <c r="A93" s="34"/>
      <c r="B93" s="34"/>
      <c r="C93" s="34"/>
      <c r="D93" s="2"/>
      <c r="E93" s="1"/>
      <c r="F93" s="1"/>
      <c r="G93" s="37"/>
      <c r="H93" s="37"/>
      <c r="I93" s="37">
        <f>SUM(テーブル17[[#This Row],[ケアレスミス]:[解釈]])</f>
        <v>0</v>
      </c>
      <c r="J93" s="1"/>
    </row>
    <row r="94" spans="1:10" x14ac:dyDescent="0.55000000000000004">
      <c r="A94" s="34"/>
      <c r="B94" s="34"/>
      <c r="C94" s="34"/>
      <c r="D94" s="2"/>
      <c r="E94" s="1"/>
      <c r="F94" s="1"/>
      <c r="G94" s="37"/>
      <c r="H94" s="37"/>
      <c r="I94" s="37">
        <f>SUM(テーブル17[[#This Row],[ケアレスミス]:[解釈]])</f>
        <v>0</v>
      </c>
      <c r="J94" s="1"/>
    </row>
    <row r="95" spans="1:10" x14ac:dyDescent="0.55000000000000004">
      <c r="A95" s="34"/>
      <c r="B95" s="34"/>
      <c r="C95" s="34"/>
      <c r="D95" s="2"/>
      <c r="E95" s="1"/>
      <c r="F95" s="1"/>
      <c r="G95" s="37"/>
      <c r="H95" s="37"/>
      <c r="I95" s="37">
        <f>SUM(テーブル17[[#This Row],[ケアレスミス]:[解釈]])</f>
        <v>0</v>
      </c>
      <c r="J95" s="1"/>
    </row>
    <row r="96" spans="1:10" x14ac:dyDescent="0.55000000000000004">
      <c r="A96" s="34"/>
      <c r="B96" s="34"/>
      <c r="C96" s="34"/>
      <c r="D96" s="2"/>
      <c r="E96" s="1"/>
      <c r="F96" s="1"/>
      <c r="G96" s="37"/>
      <c r="H96" s="37"/>
      <c r="I96" s="37">
        <f>SUM(テーブル17[[#This Row],[ケアレスミス]:[解釈]])</f>
        <v>0</v>
      </c>
      <c r="J96" s="1"/>
    </row>
    <row r="97" spans="1:10" x14ac:dyDescent="0.55000000000000004">
      <c r="A97" s="34"/>
      <c r="B97" s="34"/>
      <c r="C97" s="34"/>
      <c r="D97" s="2"/>
      <c r="E97" s="1"/>
      <c r="F97" s="1"/>
      <c r="G97" s="37"/>
      <c r="H97" s="37"/>
      <c r="I97" s="37">
        <f>SUM(テーブル17[[#This Row],[ケアレスミス]:[解釈]])</f>
        <v>0</v>
      </c>
      <c r="J97" s="1"/>
    </row>
    <row r="98" spans="1:10" x14ac:dyDescent="0.55000000000000004">
      <c r="A98" s="34"/>
      <c r="B98" s="34"/>
      <c r="C98" s="34"/>
      <c r="D98" s="2"/>
      <c r="E98" s="1"/>
      <c r="F98" s="1"/>
      <c r="G98" s="37"/>
      <c r="H98" s="37"/>
      <c r="I98" s="37">
        <f>SUM(テーブル17[[#This Row],[ケアレスミス]:[解釈]])</f>
        <v>0</v>
      </c>
      <c r="J98" s="1"/>
    </row>
    <row r="99" spans="1:10" x14ac:dyDescent="0.55000000000000004">
      <c r="A99" s="83"/>
      <c r="B99" s="83"/>
      <c r="C99" s="83"/>
      <c r="D99" s="38"/>
      <c r="E99" s="39"/>
      <c r="F99" s="39"/>
      <c r="G99" s="40"/>
      <c r="H99" s="40"/>
      <c r="I99" s="40">
        <f>SUM(テーブル17[[#This Row],[ケアレスミス]:[解釈]])</f>
        <v>0</v>
      </c>
      <c r="J99" s="39"/>
    </row>
    <row r="100" spans="1:10" x14ac:dyDescent="0.55000000000000004">
      <c r="A100" s="41" t="s">
        <v>86</v>
      </c>
      <c r="B100" s="41"/>
      <c r="C100" s="41"/>
      <c r="D100" s="38"/>
      <c r="E100" s="39">
        <f>SUBTOTAL(109,テーブル17[ケアレスミス])</f>
        <v>114</v>
      </c>
      <c r="F100" s="39">
        <f>SUBTOTAL(109,テーブル17[解釈])</f>
        <v>5</v>
      </c>
      <c r="G100" s="39">
        <f>SUBTOTAL(109,テーブル17[マニュアル])</f>
        <v>3</v>
      </c>
      <c r="H100" s="39">
        <f>SUBTOTAL(109,テーブル17[その他])</f>
        <v>4</v>
      </c>
      <c r="I100" s="40">
        <f>SUBTOTAL(109,テーブル17[合計])</f>
        <v>119</v>
      </c>
      <c r="J100" s="39">
        <f>SUBTOTAL(109,テーブル17[インシデント])</f>
        <v>15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86AC-51F5-4E4C-BBB0-5821E3E41F7D}">
  <sheetPr codeName="Sheet2">
    <tabColor theme="7" tint="-0.249977111117893"/>
  </sheetPr>
  <dimension ref="B3:W170"/>
  <sheetViews>
    <sheetView topLeftCell="B18" workbookViewId="0">
      <selection activeCell="B1" sqref="B1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  <col min="19" max="20" width="10.25" bestFit="1" customWidth="1"/>
    <col min="21" max="23" width="11.3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431</v>
      </c>
    </row>
    <row r="22" spans="2:18" x14ac:dyDescent="0.55000000000000004">
      <c r="C22" s="28"/>
    </row>
    <row r="27" spans="2:18" x14ac:dyDescent="0.55000000000000004">
      <c r="B27" s="1" t="s">
        <v>67</v>
      </c>
      <c r="C27" s="44">
        <v>45383</v>
      </c>
      <c r="D27" s="44">
        <v>45413</v>
      </c>
      <c r="E27" s="44">
        <v>45444</v>
      </c>
      <c r="F27" s="44">
        <v>45474</v>
      </c>
      <c r="G27" s="44">
        <v>45505</v>
      </c>
      <c r="H27" s="44">
        <v>45536</v>
      </c>
      <c r="I27" s="44">
        <v>45566</v>
      </c>
      <c r="J27" s="44">
        <v>45597</v>
      </c>
      <c r="K27" s="44">
        <v>45627</v>
      </c>
      <c r="L27" s="44">
        <v>45658</v>
      </c>
      <c r="M27" s="44">
        <v>45689</v>
      </c>
      <c r="N27" s="44">
        <v>45717</v>
      </c>
      <c r="O27" s="44">
        <v>45748</v>
      </c>
      <c r="P27" s="44">
        <v>45778</v>
      </c>
      <c r="Q27" s="44">
        <v>45809</v>
      </c>
      <c r="R27" s="44">
        <v>45839</v>
      </c>
    </row>
    <row r="28" spans="2:18" x14ac:dyDescent="0.55000000000000004">
      <c r="B28" s="1" t="s">
        <v>39</v>
      </c>
      <c r="C28" s="1">
        <v>0</v>
      </c>
      <c r="D28" s="1">
        <v>1</v>
      </c>
      <c r="E28" s="1">
        <v>3</v>
      </c>
      <c r="F28" s="1">
        <v>0</v>
      </c>
      <c r="G28" s="1">
        <v>4</v>
      </c>
      <c r="H28" s="1"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2:18" x14ac:dyDescent="0.55000000000000004">
      <c r="B29" s="1" t="s">
        <v>28</v>
      </c>
      <c r="C29" s="1">
        <v>0</v>
      </c>
      <c r="D29" s="1">
        <v>2</v>
      </c>
      <c r="E29" s="1">
        <v>0</v>
      </c>
      <c r="F29" s="1">
        <v>3</v>
      </c>
      <c r="G29" s="1">
        <v>0</v>
      </c>
      <c r="H29" s="1">
        <v>2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2:18" x14ac:dyDescent="0.55000000000000004">
      <c r="B30" s="1" t="s">
        <v>66</v>
      </c>
      <c r="C30" s="1">
        <v>9</v>
      </c>
      <c r="D30" s="1">
        <v>3</v>
      </c>
      <c r="E30" s="1">
        <v>0</v>
      </c>
      <c r="F30" s="1">
        <v>0</v>
      </c>
      <c r="G30" s="1">
        <v>2</v>
      </c>
      <c r="H30" s="1">
        <v>7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2:18" x14ac:dyDescent="0.55000000000000004">
      <c r="B31" s="1" t="s">
        <v>68</v>
      </c>
      <c r="C31" s="1">
        <v>1</v>
      </c>
      <c r="D31" s="1">
        <v>0</v>
      </c>
      <c r="E31" s="1">
        <v>1</v>
      </c>
      <c r="F31" s="1">
        <v>0</v>
      </c>
      <c r="G31" s="1">
        <v>0</v>
      </c>
      <c r="H31" s="1"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2:18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2:18" x14ac:dyDescent="0.55000000000000004">
      <c r="B33" s="1" t="s">
        <v>321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2:18" x14ac:dyDescent="0.55000000000000004">
      <c r="B34" s="1" t="s">
        <v>320</v>
      </c>
      <c r="C34" s="1">
        <v>0</v>
      </c>
      <c r="D34" s="1">
        <v>0</v>
      </c>
      <c r="E34" s="1">
        <v>1</v>
      </c>
      <c r="F34" s="1">
        <v>8</v>
      </c>
      <c r="G34" s="1">
        <v>0</v>
      </c>
      <c r="H34" s="1">
        <v>2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2:18" x14ac:dyDescent="0.55000000000000004">
      <c r="B35" s="1" t="s">
        <v>646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40" spans="2:18" x14ac:dyDescent="0.55000000000000004">
      <c r="B40" s="43" t="s">
        <v>430</v>
      </c>
    </row>
    <row r="60" spans="2:23" x14ac:dyDescent="0.55000000000000004">
      <c r="B60" s="1" t="s">
        <v>67</v>
      </c>
      <c r="C60" s="44">
        <v>45383</v>
      </c>
      <c r="D60" s="44">
        <v>45413</v>
      </c>
      <c r="E60" s="44">
        <v>45444</v>
      </c>
      <c r="F60" s="44">
        <v>45474</v>
      </c>
      <c r="G60" s="44">
        <v>45505</v>
      </c>
      <c r="H60" s="44">
        <v>45536</v>
      </c>
      <c r="I60" s="44">
        <v>45566</v>
      </c>
      <c r="J60" s="44">
        <v>45597</v>
      </c>
      <c r="K60" s="44">
        <v>45627</v>
      </c>
      <c r="L60" s="44">
        <v>45658</v>
      </c>
      <c r="M60" s="44">
        <v>45689</v>
      </c>
      <c r="N60" s="44">
        <v>45717</v>
      </c>
      <c r="O60" s="44">
        <v>45748</v>
      </c>
      <c r="P60" s="44">
        <v>45778</v>
      </c>
      <c r="Q60" s="44">
        <v>45809</v>
      </c>
      <c r="R60" s="44">
        <v>45839</v>
      </c>
      <c r="S60" s="44">
        <v>45870</v>
      </c>
      <c r="T60" s="44">
        <v>45536</v>
      </c>
      <c r="U60" s="44">
        <v>45566</v>
      </c>
      <c r="V60" s="44">
        <v>45597</v>
      </c>
      <c r="W60" s="44">
        <v>45627</v>
      </c>
    </row>
    <row r="61" spans="2:23" x14ac:dyDescent="0.55000000000000004">
      <c r="B61" s="1" t="s">
        <v>39</v>
      </c>
      <c r="C61" s="1">
        <v>0</v>
      </c>
      <c r="D61" s="1">
        <v>0</v>
      </c>
      <c r="E61" s="1">
        <v>0</v>
      </c>
      <c r="F61" s="1">
        <v>0</v>
      </c>
      <c r="G61" s="1">
        <v>1</v>
      </c>
      <c r="H61" s="1">
        <v>0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2:23" x14ac:dyDescent="0.55000000000000004">
      <c r="B62" s="1" t="s">
        <v>28</v>
      </c>
      <c r="C62" s="1">
        <v>0</v>
      </c>
      <c r="D62" s="1">
        <v>0</v>
      </c>
      <c r="E62" s="1">
        <v>1</v>
      </c>
      <c r="F62" s="1">
        <v>0</v>
      </c>
      <c r="G62" s="1">
        <v>0</v>
      </c>
      <c r="H62" s="1">
        <v>0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2:23" x14ac:dyDescent="0.55000000000000004">
      <c r="B63" s="1" t="s">
        <v>66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2:23" x14ac:dyDescent="0.55000000000000004">
      <c r="B64" s="1" t="s">
        <v>68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55000000000000004">
      <c r="B65" s="1" t="s">
        <v>27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55000000000000004">
      <c r="B66" s="1" t="s">
        <v>321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55000000000000004">
      <c r="B67" s="1" t="s">
        <v>320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55000000000000004">
      <c r="B68" s="1" t="s">
        <v>646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/>
      <c r="J68" s="1"/>
      <c r="K68" s="1"/>
      <c r="L68" s="1"/>
      <c r="M68" s="1"/>
      <c r="N68" s="1"/>
      <c r="O68" s="1"/>
      <c r="P68" s="1"/>
      <c r="Q68" s="1"/>
      <c r="R68" s="1"/>
    </row>
    <row r="72" spans="2:23" x14ac:dyDescent="0.55000000000000004">
      <c r="B72" s="43" t="s">
        <v>432</v>
      </c>
    </row>
    <row r="73" spans="2:23" x14ac:dyDescent="0.55000000000000004">
      <c r="B73" s="43"/>
    </row>
    <row r="74" spans="2:23" x14ac:dyDescent="0.55000000000000004">
      <c r="B74" s="43"/>
    </row>
    <row r="75" spans="2:23" x14ac:dyDescent="0.55000000000000004">
      <c r="B75" s="43"/>
    </row>
    <row r="76" spans="2:23" x14ac:dyDescent="0.55000000000000004">
      <c r="B76" s="43"/>
    </row>
    <row r="77" spans="2:23" x14ac:dyDescent="0.55000000000000004">
      <c r="B77" s="43"/>
    </row>
    <row r="78" spans="2:23" x14ac:dyDescent="0.55000000000000004">
      <c r="B78" s="43"/>
    </row>
    <row r="79" spans="2:23" x14ac:dyDescent="0.55000000000000004">
      <c r="B79" s="43"/>
    </row>
    <row r="80" spans="2:23" x14ac:dyDescent="0.55000000000000004">
      <c r="B80" s="43"/>
    </row>
    <row r="81" spans="2:18" x14ac:dyDescent="0.55000000000000004">
      <c r="B81" s="43"/>
    </row>
    <row r="82" spans="2:18" x14ac:dyDescent="0.55000000000000004">
      <c r="B82" s="43"/>
    </row>
    <row r="83" spans="2:18" x14ac:dyDescent="0.55000000000000004">
      <c r="B83" s="43"/>
    </row>
    <row r="84" spans="2:18" x14ac:dyDescent="0.55000000000000004">
      <c r="B84" s="43"/>
    </row>
    <row r="94" spans="2:18" x14ac:dyDescent="0.55000000000000004">
      <c r="B94" s="1" t="s">
        <v>67</v>
      </c>
      <c r="C94" s="44">
        <v>45383</v>
      </c>
      <c r="D94" s="44">
        <v>45413</v>
      </c>
      <c r="E94" s="44">
        <v>45444</v>
      </c>
      <c r="F94" s="44">
        <v>45474</v>
      </c>
      <c r="G94" s="44">
        <v>45505</v>
      </c>
      <c r="H94" s="44">
        <v>45536</v>
      </c>
      <c r="I94" s="44">
        <v>45566</v>
      </c>
      <c r="J94" s="44">
        <v>45597</v>
      </c>
      <c r="K94" s="44">
        <v>45627</v>
      </c>
      <c r="L94" s="44">
        <v>45658</v>
      </c>
      <c r="M94" s="44">
        <v>45689</v>
      </c>
      <c r="N94" s="44">
        <v>45717</v>
      </c>
      <c r="O94" s="44">
        <v>45748</v>
      </c>
      <c r="P94" s="44">
        <v>45778</v>
      </c>
      <c r="Q94" s="44">
        <v>45809</v>
      </c>
      <c r="R94" s="44">
        <v>45839</v>
      </c>
    </row>
    <row r="95" spans="2:18" x14ac:dyDescent="0.55000000000000004">
      <c r="B95" s="1" t="s">
        <v>39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2:18" x14ac:dyDescent="0.55000000000000004">
      <c r="B96" s="1" t="s">
        <v>28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2:18" x14ac:dyDescent="0.55000000000000004">
      <c r="B97" s="1" t="s">
        <v>66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2</v>
      </c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2:18" x14ac:dyDescent="0.55000000000000004">
      <c r="B98" s="1" t="s">
        <v>68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2:18" x14ac:dyDescent="0.55000000000000004">
      <c r="B99" s="1" t="s">
        <v>27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2:18" x14ac:dyDescent="0.55000000000000004">
      <c r="B100" s="1" t="s">
        <v>321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2:18" x14ac:dyDescent="0.55000000000000004">
      <c r="B101" s="1" t="s">
        <v>320</v>
      </c>
      <c r="C101" s="1">
        <v>0</v>
      </c>
      <c r="D101" s="1">
        <v>0</v>
      </c>
      <c r="E101" s="1">
        <v>0</v>
      </c>
      <c r="F101" s="1">
        <v>1</v>
      </c>
      <c r="G101" s="1">
        <v>0</v>
      </c>
      <c r="H101" s="1">
        <v>0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2:18" x14ac:dyDescent="0.55000000000000004">
      <c r="B102" s="1" t="s">
        <v>646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6" spans="2:18" x14ac:dyDescent="0.55000000000000004">
      <c r="B106" s="43" t="s">
        <v>433</v>
      </c>
    </row>
    <row r="107" spans="2:18" x14ac:dyDescent="0.55000000000000004">
      <c r="B107" s="43"/>
    </row>
    <row r="108" spans="2:18" x14ac:dyDescent="0.55000000000000004">
      <c r="B108" s="43"/>
    </row>
    <row r="109" spans="2:18" x14ac:dyDescent="0.55000000000000004">
      <c r="B109" s="43"/>
    </row>
    <row r="110" spans="2:18" x14ac:dyDescent="0.55000000000000004">
      <c r="B110" s="43"/>
    </row>
    <row r="111" spans="2:18" x14ac:dyDescent="0.55000000000000004">
      <c r="B111" s="43"/>
    </row>
    <row r="112" spans="2:18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45383</v>
      </c>
      <c r="D128" s="44">
        <v>45413</v>
      </c>
      <c r="E128" s="44">
        <v>45444</v>
      </c>
      <c r="F128" s="44">
        <v>45474</v>
      </c>
      <c r="G128" s="44">
        <v>45505</v>
      </c>
      <c r="H128" s="44">
        <v>45536</v>
      </c>
      <c r="I128" s="44">
        <v>45566</v>
      </c>
      <c r="J128" s="44">
        <v>45597</v>
      </c>
      <c r="K128" s="44">
        <v>45627</v>
      </c>
      <c r="L128" s="44">
        <v>45658</v>
      </c>
      <c r="M128" s="44">
        <v>45689</v>
      </c>
      <c r="N128" s="44">
        <v>45717</v>
      </c>
      <c r="O128" s="44">
        <v>45748</v>
      </c>
      <c r="P128" s="44">
        <v>45778</v>
      </c>
      <c r="Q128" s="44">
        <v>45809</v>
      </c>
      <c r="R128" s="44">
        <v>45839</v>
      </c>
    </row>
    <row r="129" spans="2:18" x14ac:dyDescent="0.55000000000000004">
      <c r="B129" s="1" t="s">
        <v>39</v>
      </c>
      <c r="C129" s="1">
        <v>0</v>
      </c>
      <c r="D129" s="1">
        <v>1</v>
      </c>
      <c r="E129" s="1">
        <v>1</v>
      </c>
      <c r="F129" s="1">
        <v>0</v>
      </c>
      <c r="G129" s="1">
        <v>0</v>
      </c>
      <c r="H129" s="1">
        <v>0</v>
      </c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2:18" x14ac:dyDescent="0.55000000000000004">
      <c r="B130" s="1" t="s">
        <v>28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55000000000000004">
      <c r="B131" s="1" t="s">
        <v>66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2:18" x14ac:dyDescent="0.55000000000000004">
      <c r="B132" s="1" t="s">
        <v>68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2:18" x14ac:dyDescent="0.55000000000000004">
      <c r="B133" s="1" t="s">
        <v>27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2:18" x14ac:dyDescent="0.55000000000000004">
      <c r="B134" s="1" t="s">
        <v>321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2:18" x14ac:dyDescent="0.55000000000000004">
      <c r="B135" s="1" t="s">
        <v>320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2:18" x14ac:dyDescent="0.55000000000000004">
      <c r="B136" s="1" t="s">
        <v>646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40" spans="2:18" x14ac:dyDescent="0.55000000000000004">
      <c r="B140" s="43" t="s">
        <v>434</v>
      </c>
    </row>
    <row r="141" spans="2:18" x14ac:dyDescent="0.55000000000000004">
      <c r="B141" s="43"/>
    </row>
    <row r="142" spans="2:18" x14ac:dyDescent="0.55000000000000004">
      <c r="B142" s="43"/>
    </row>
    <row r="143" spans="2:18" x14ac:dyDescent="0.55000000000000004">
      <c r="B143" s="43"/>
    </row>
    <row r="144" spans="2:18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18" x14ac:dyDescent="0.55000000000000004">
      <c r="B162" s="1" t="s">
        <v>67</v>
      </c>
      <c r="C162" s="44">
        <v>45383</v>
      </c>
      <c r="D162" s="44">
        <v>45413</v>
      </c>
      <c r="E162" s="44">
        <v>45444</v>
      </c>
      <c r="F162" s="44">
        <v>45474</v>
      </c>
      <c r="G162" s="44">
        <v>45505</v>
      </c>
      <c r="H162" s="44">
        <v>45536</v>
      </c>
      <c r="I162" s="44">
        <v>45566</v>
      </c>
      <c r="J162" s="44">
        <v>45597</v>
      </c>
      <c r="K162" s="44">
        <v>45627</v>
      </c>
      <c r="L162" s="44">
        <v>45658</v>
      </c>
      <c r="M162" s="44">
        <v>45689</v>
      </c>
      <c r="N162" s="44">
        <v>45717</v>
      </c>
      <c r="O162" s="44">
        <v>45748</v>
      </c>
      <c r="P162" s="44">
        <v>45778</v>
      </c>
      <c r="Q162" s="44">
        <v>45809</v>
      </c>
      <c r="R162" s="44">
        <v>45839</v>
      </c>
    </row>
    <row r="163" spans="2:18" x14ac:dyDescent="0.55000000000000004">
      <c r="B163" s="1" t="s">
        <v>39</v>
      </c>
      <c r="C163" s="1">
        <v>0</v>
      </c>
      <c r="D163" s="1">
        <v>0</v>
      </c>
      <c r="E163" s="1">
        <v>2</v>
      </c>
      <c r="F163" s="1">
        <v>0</v>
      </c>
      <c r="G163" s="1">
        <v>4</v>
      </c>
      <c r="H163" s="1">
        <v>0</v>
      </c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2:18" x14ac:dyDescent="0.55000000000000004">
      <c r="B164" s="1" t="s">
        <v>28</v>
      </c>
      <c r="C164" s="1">
        <v>0</v>
      </c>
      <c r="D164" s="1">
        <v>0</v>
      </c>
      <c r="E164" s="1">
        <v>1</v>
      </c>
      <c r="F164" s="1">
        <v>0</v>
      </c>
      <c r="G164" s="1">
        <v>0</v>
      </c>
      <c r="H164" s="1">
        <v>0</v>
      </c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2:18" x14ac:dyDescent="0.55000000000000004">
      <c r="B165" s="1" t="s">
        <v>66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2:18" x14ac:dyDescent="0.55000000000000004">
      <c r="B166" s="1" t="s">
        <v>68</v>
      </c>
      <c r="C166" s="1">
        <v>0</v>
      </c>
      <c r="D166" s="1">
        <v>0</v>
      </c>
      <c r="E166" s="1">
        <v>1</v>
      </c>
      <c r="F166" s="1">
        <v>0</v>
      </c>
      <c r="G166" s="1">
        <v>0</v>
      </c>
      <c r="H166" s="1">
        <v>0</v>
      </c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2:18" x14ac:dyDescent="0.55000000000000004">
      <c r="B167" s="1" t="s">
        <v>27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2:18" x14ac:dyDescent="0.55000000000000004">
      <c r="B168" s="1" t="s">
        <v>321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2:18" x14ac:dyDescent="0.55000000000000004">
      <c r="B169" s="1" t="s">
        <v>320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2:18" x14ac:dyDescent="0.55000000000000004">
      <c r="B170" s="1" t="s">
        <v>646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B1A44-600A-4B0A-9DB5-564E635EDCA9}">
  <sheetPr codeName="Sheet3">
    <tabColor rgb="FF0070C0"/>
  </sheetPr>
  <dimension ref="A1:N120"/>
  <sheetViews>
    <sheetView workbookViewId="0">
      <pane ySplit="3" topLeftCell="A64" activePane="bottomLeft" state="frozen"/>
      <selection pane="bottomLeft" activeCell="B4" sqref="B4"/>
    </sheetView>
  </sheetViews>
  <sheetFormatPr defaultRowHeight="18" x14ac:dyDescent="0.55000000000000004"/>
  <cols>
    <col min="1" max="2" width="9.5" customWidth="1"/>
    <col min="3" max="3" width="6.6640625" style="3" customWidth="1"/>
    <col min="4" max="4" width="10.58203125" customWidth="1"/>
    <col min="5" max="5" width="13.58203125" customWidth="1"/>
    <col min="6" max="6" width="7" customWidth="1"/>
    <col min="7" max="7" width="12.1640625" customWidth="1"/>
    <col min="8" max="8" width="9.5" customWidth="1"/>
    <col min="9" max="10" width="10.58203125" customWidth="1"/>
    <col min="11" max="11" width="8.83203125" bestFit="1" customWidth="1"/>
    <col min="12" max="17" width="9.5" bestFit="1" customWidth="1"/>
  </cols>
  <sheetData>
    <row r="1" spans="1:14" x14ac:dyDescent="0.55000000000000004">
      <c r="A1" s="12" t="s">
        <v>328</v>
      </c>
      <c r="B1" s="12"/>
      <c r="C1" s="63"/>
      <c r="D1" s="8"/>
      <c r="E1" s="5"/>
      <c r="F1" s="5"/>
      <c r="G1" s="5"/>
      <c r="H1" s="5"/>
      <c r="I1" s="5"/>
      <c r="J1" s="5"/>
      <c r="K1" s="5"/>
      <c r="L1" s="5"/>
      <c r="M1" s="5"/>
      <c r="N1" s="5"/>
    </row>
    <row r="2" spans="1:14" x14ac:dyDescent="0.55000000000000004">
      <c r="K2" t="s">
        <v>93</v>
      </c>
    </row>
    <row r="3" spans="1:14" x14ac:dyDescent="0.55000000000000004">
      <c r="A3" s="49" t="s">
        <v>316</v>
      </c>
      <c r="B3" s="49" t="s">
        <v>686</v>
      </c>
      <c r="C3" s="49" t="s">
        <v>276</v>
      </c>
      <c r="D3" s="46" t="s">
        <v>1</v>
      </c>
      <c r="E3" s="35" t="s">
        <v>10</v>
      </c>
      <c r="F3" s="65" t="s">
        <v>50</v>
      </c>
      <c r="G3" s="66" t="s">
        <v>354</v>
      </c>
      <c r="H3" s="66" t="s">
        <v>347</v>
      </c>
      <c r="I3" s="66" t="s">
        <v>51</v>
      </c>
      <c r="J3" s="65" t="s">
        <v>353</v>
      </c>
      <c r="K3" s="78" t="s">
        <v>480</v>
      </c>
    </row>
    <row r="4" spans="1:14" x14ac:dyDescent="0.55000000000000004">
      <c r="A4" s="48" t="s">
        <v>218</v>
      </c>
      <c r="B4" s="115">
        <v>45352</v>
      </c>
      <c r="C4" s="48" t="s">
        <v>219</v>
      </c>
      <c r="D4" s="2" t="s">
        <v>29</v>
      </c>
      <c r="E4" s="36">
        <v>0</v>
      </c>
      <c r="F4" s="36">
        <v>0</v>
      </c>
      <c r="G4" s="36">
        <v>0</v>
      </c>
      <c r="H4" s="36">
        <v>0</v>
      </c>
      <c r="I4" s="1">
        <f>SUM(E4,F4)</f>
        <v>0</v>
      </c>
      <c r="J4" s="1">
        <v>0</v>
      </c>
    </row>
    <row r="5" spans="1:14" x14ac:dyDescent="0.55000000000000004">
      <c r="A5" s="48" t="s">
        <v>222</v>
      </c>
      <c r="B5" s="115">
        <v>45352</v>
      </c>
      <c r="C5" s="48" t="s">
        <v>220</v>
      </c>
      <c r="D5" s="2" t="s">
        <v>27</v>
      </c>
      <c r="E5" s="36">
        <v>0</v>
      </c>
      <c r="F5" s="36">
        <v>0</v>
      </c>
      <c r="G5" s="36">
        <v>0</v>
      </c>
      <c r="H5" s="36">
        <v>0</v>
      </c>
      <c r="I5" s="1">
        <f t="shared" ref="I5:I68" si="0">SUM(E5,F5)</f>
        <v>0</v>
      </c>
      <c r="J5" s="1">
        <v>0</v>
      </c>
    </row>
    <row r="6" spans="1:14" x14ac:dyDescent="0.55000000000000004">
      <c r="A6" s="48" t="s">
        <v>223</v>
      </c>
      <c r="B6" s="115">
        <v>45352</v>
      </c>
      <c r="C6" s="48" t="s">
        <v>221</v>
      </c>
      <c r="D6" s="2" t="s">
        <v>28</v>
      </c>
      <c r="E6" s="36">
        <v>3</v>
      </c>
      <c r="F6" s="36">
        <v>2</v>
      </c>
      <c r="G6" s="36">
        <v>0</v>
      </c>
      <c r="H6" s="36">
        <v>0</v>
      </c>
      <c r="I6" s="1">
        <f t="shared" si="0"/>
        <v>5</v>
      </c>
      <c r="J6" s="1">
        <v>1</v>
      </c>
      <c r="K6" t="s">
        <v>92</v>
      </c>
    </row>
    <row r="7" spans="1:14" x14ac:dyDescent="0.55000000000000004">
      <c r="A7" s="48" t="s">
        <v>224</v>
      </c>
      <c r="B7" s="115">
        <v>45352</v>
      </c>
      <c r="C7" s="48" t="s">
        <v>219</v>
      </c>
      <c r="D7" s="2" t="s">
        <v>29</v>
      </c>
      <c r="E7" s="36">
        <v>1</v>
      </c>
      <c r="F7" s="36">
        <v>0</v>
      </c>
      <c r="G7" s="36">
        <v>0</v>
      </c>
      <c r="H7" s="36">
        <v>0</v>
      </c>
      <c r="I7" s="1">
        <f t="shared" si="0"/>
        <v>1</v>
      </c>
      <c r="J7" s="1">
        <v>0</v>
      </c>
      <c r="K7" t="s">
        <v>91</v>
      </c>
    </row>
    <row r="8" spans="1:14" x14ac:dyDescent="0.55000000000000004">
      <c r="A8" s="48" t="s">
        <v>225</v>
      </c>
      <c r="B8" s="115">
        <v>45352</v>
      </c>
      <c r="C8" s="48" t="s">
        <v>220</v>
      </c>
      <c r="D8" s="2" t="s">
        <v>27</v>
      </c>
      <c r="E8" s="36">
        <v>0</v>
      </c>
      <c r="F8" s="36">
        <v>0</v>
      </c>
      <c r="G8" s="36">
        <v>0</v>
      </c>
      <c r="H8" s="36">
        <v>0</v>
      </c>
      <c r="I8" s="1">
        <f t="shared" si="0"/>
        <v>0</v>
      </c>
      <c r="J8" s="1">
        <v>0</v>
      </c>
    </row>
    <row r="9" spans="1:14" x14ac:dyDescent="0.55000000000000004">
      <c r="A9" s="48" t="s">
        <v>226</v>
      </c>
      <c r="B9" s="115">
        <v>45352</v>
      </c>
      <c r="C9" s="48" t="s">
        <v>221</v>
      </c>
      <c r="D9" s="2" t="s">
        <v>28</v>
      </c>
      <c r="E9" s="1">
        <v>1</v>
      </c>
      <c r="F9" s="1">
        <v>0</v>
      </c>
      <c r="G9" s="1">
        <v>0</v>
      </c>
      <c r="H9" s="1">
        <v>0</v>
      </c>
      <c r="I9" s="1">
        <f t="shared" si="0"/>
        <v>1</v>
      </c>
      <c r="J9" s="1">
        <v>0</v>
      </c>
    </row>
    <row r="10" spans="1:14" x14ac:dyDescent="0.55000000000000004">
      <c r="A10" s="48" t="s">
        <v>227</v>
      </c>
      <c r="B10" s="115">
        <v>45352</v>
      </c>
      <c r="C10" s="48" t="s">
        <v>219</v>
      </c>
      <c r="D10" s="2" t="s">
        <v>36</v>
      </c>
      <c r="E10" s="1">
        <v>3</v>
      </c>
      <c r="F10" s="1">
        <v>0</v>
      </c>
      <c r="G10" s="1">
        <v>0</v>
      </c>
      <c r="H10" s="1">
        <v>0</v>
      </c>
      <c r="I10" s="1">
        <f t="shared" si="0"/>
        <v>3</v>
      </c>
      <c r="J10" s="1">
        <v>0</v>
      </c>
    </row>
    <row r="11" spans="1:14" x14ac:dyDescent="0.55000000000000004">
      <c r="A11" s="48" t="s">
        <v>228</v>
      </c>
      <c r="B11" s="115">
        <v>45352</v>
      </c>
      <c r="C11" s="48" t="s">
        <v>220</v>
      </c>
      <c r="D11" s="2" t="s">
        <v>29</v>
      </c>
      <c r="E11" s="1">
        <v>0</v>
      </c>
      <c r="F11" s="1">
        <v>0</v>
      </c>
      <c r="G11" s="1">
        <v>0</v>
      </c>
      <c r="H11" s="1">
        <v>0</v>
      </c>
      <c r="I11" s="1">
        <f t="shared" si="0"/>
        <v>0</v>
      </c>
      <c r="J11" s="1">
        <v>0</v>
      </c>
    </row>
    <row r="12" spans="1:14" x14ac:dyDescent="0.55000000000000004">
      <c r="A12" s="48" t="s">
        <v>229</v>
      </c>
      <c r="B12" s="115">
        <v>45352</v>
      </c>
      <c r="C12" s="48" t="s">
        <v>221</v>
      </c>
      <c r="D12" s="2" t="s">
        <v>27</v>
      </c>
      <c r="E12" s="1">
        <v>0</v>
      </c>
      <c r="F12" s="1">
        <v>0</v>
      </c>
      <c r="G12" s="1">
        <v>0</v>
      </c>
      <c r="H12" s="1">
        <v>0</v>
      </c>
      <c r="I12" s="1">
        <f t="shared" si="0"/>
        <v>0</v>
      </c>
      <c r="J12" s="1">
        <v>0</v>
      </c>
    </row>
    <row r="13" spans="1:14" x14ac:dyDescent="0.55000000000000004">
      <c r="A13" s="48" t="s">
        <v>230</v>
      </c>
      <c r="B13" s="115">
        <v>45352</v>
      </c>
      <c r="C13" s="48" t="s">
        <v>219</v>
      </c>
      <c r="D13" s="2" t="s">
        <v>27</v>
      </c>
      <c r="E13" s="1">
        <v>0</v>
      </c>
      <c r="F13" s="1">
        <v>0</v>
      </c>
      <c r="G13" s="1">
        <v>0</v>
      </c>
      <c r="H13" s="1">
        <v>0</v>
      </c>
      <c r="I13" s="1">
        <f t="shared" si="0"/>
        <v>0</v>
      </c>
      <c r="J13" s="1">
        <v>0</v>
      </c>
    </row>
    <row r="14" spans="1:14" x14ac:dyDescent="0.55000000000000004">
      <c r="A14" s="48" t="s">
        <v>231</v>
      </c>
      <c r="B14" s="115">
        <v>45352</v>
      </c>
      <c r="C14" s="48" t="s">
        <v>220</v>
      </c>
      <c r="D14" s="2" t="s">
        <v>28</v>
      </c>
      <c r="E14" s="1">
        <v>6</v>
      </c>
      <c r="F14" s="1">
        <v>0</v>
      </c>
      <c r="G14" s="1">
        <v>0</v>
      </c>
      <c r="H14" s="1">
        <v>0</v>
      </c>
      <c r="I14" s="1">
        <f t="shared" si="0"/>
        <v>6</v>
      </c>
      <c r="J14" s="1">
        <v>0</v>
      </c>
    </row>
    <row r="15" spans="1:14" x14ac:dyDescent="0.55000000000000004">
      <c r="A15" s="48" t="s">
        <v>232</v>
      </c>
      <c r="B15" s="115">
        <v>45352</v>
      </c>
      <c r="C15" s="48" t="s">
        <v>221</v>
      </c>
      <c r="D15" s="2" t="s">
        <v>27</v>
      </c>
      <c r="E15" s="36">
        <v>0</v>
      </c>
      <c r="F15" s="36">
        <v>0</v>
      </c>
      <c r="G15" s="36">
        <v>0</v>
      </c>
      <c r="H15" s="36">
        <v>0</v>
      </c>
      <c r="I15" s="1">
        <f t="shared" si="0"/>
        <v>0</v>
      </c>
      <c r="J15" s="1">
        <v>0</v>
      </c>
    </row>
    <row r="16" spans="1:14" x14ac:dyDescent="0.55000000000000004">
      <c r="A16" s="48" t="s">
        <v>233</v>
      </c>
      <c r="B16" s="115">
        <v>45352</v>
      </c>
      <c r="C16" s="48" t="s">
        <v>219</v>
      </c>
      <c r="D16" s="2" t="s">
        <v>36</v>
      </c>
      <c r="E16" s="36">
        <v>1</v>
      </c>
      <c r="F16" s="36">
        <v>0</v>
      </c>
      <c r="G16" s="36">
        <v>0</v>
      </c>
      <c r="H16" s="36">
        <v>0</v>
      </c>
      <c r="I16" s="1">
        <f t="shared" si="0"/>
        <v>1</v>
      </c>
      <c r="J16" s="1">
        <v>0</v>
      </c>
    </row>
    <row r="17" spans="1:10" x14ac:dyDescent="0.55000000000000004">
      <c r="A17" s="48" t="s">
        <v>234</v>
      </c>
      <c r="B17" s="115">
        <v>45352</v>
      </c>
      <c r="C17" s="48" t="s">
        <v>220</v>
      </c>
      <c r="D17" s="2" t="s">
        <v>27</v>
      </c>
      <c r="E17" s="36">
        <v>0</v>
      </c>
      <c r="F17" s="36">
        <v>0</v>
      </c>
      <c r="G17" s="36">
        <v>0</v>
      </c>
      <c r="H17" s="36">
        <v>0</v>
      </c>
      <c r="I17" s="1">
        <f t="shared" si="0"/>
        <v>0</v>
      </c>
      <c r="J17" s="1">
        <v>0</v>
      </c>
    </row>
    <row r="18" spans="1:10" x14ac:dyDescent="0.55000000000000004">
      <c r="A18" s="48" t="s">
        <v>235</v>
      </c>
      <c r="B18" s="115">
        <v>45352</v>
      </c>
      <c r="C18" s="48" t="s">
        <v>221</v>
      </c>
      <c r="D18" s="2" t="s">
        <v>27</v>
      </c>
      <c r="E18" s="36">
        <v>0</v>
      </c>
      <c r="F18" s="36">
        <v>0</v>
      </c>
      <c r="G18" s="36">
        <v>0</v>
      </c>
      <c r="H18" s="36">
        <v>0</v>
      </c>
      <c r="I18" s="1">
        <f t="shared" si="0"/>
        <v>0</v>
      </c>
      <c r="J18" s="1">
        <v>0</v>
      </c>
    </row>
    <row r="19" spans="1:10" x14ac:dyDescent="0.55000000000000004">
      <c r="A19" s="48" t="s">
        <v>236</v>
      </c>
      <c r="B19" s="115">
        <v>45352</v>
      </c>
      <c r="C19" s="48" t="s">
        <v>219</v>
      </c>
      <c r="D19" s="2" t="s">
        <v>29</v>
      </c>
      <c r="E19" s="36">
        <v>0</v>
      </c>
      <c r="F19" s="36">
        <v>0</v>
      </c>
      <c r="G19" s="36">
        <v>0</v>
      </c>
      <c r="H19" s="36">
        <v>0</v>
      </c>
      <c r="I19" s="1">
        <f t="shared" si="0"/>
        <v>0</v>
      </c>
      <c r="J19" s="1">
        <v>0</v>
      </c>
    </row>
    <row r="20" spans="1:10" x14ac:dyDescent="0.55000000000000004">
      <c r="A20" s="48" t="s">
        <v>237</v>
      </c>
      <c r="B20" s="115">
        <v>45352</v>
      </c>
      <c r="C20" s="48" t="s">
        <v>219</v>
      </c>
      <c r="D20" s="2" t="s">
        <v>36</v>
      </c>
      <c r="E20" s="36">
        <v>0</v>
      </c>
      <c r="F20" s="36">
        <v>0</v>
      </c>
      <c r="G20" s="36">
        <v>0</v>
      </c>
      <c r="H20" s="36">
        <v>0</v>
      </c>
      <c r="I20" s="1">
        <f t="shared" si="0"/>
        <v>0</v>
      </c>
      <c r="J20" s="1">
        <v>0</v>
      </c>
    </row>
    <row r="21" spans="1:10" x14ac:dyDescent="0.55000000000000004">
      <c r="A21" s="48" t="s">
        <v>238</v>
      </c>
      <c r="B21" s="115">
        <v>45352</v>
      </c>
      <c r="C21" s="48" t="s">
        <v>220</v>
      </c>
      <c r="D21" s="2" t="s">
        <v>29</v>
      </c>
      <c r="E21" s="1">
        <v>0</v>
      </c>
      <c r="F21" s="1">
        <v>0</v>
      </c>
      <c r="G21" s="1">
        <v>0</v>
      </c>
      <c r="H21" s="1">
        <v>0</v>
      </c>
      <c r="I21" s="1">
        <f t="shared" si="0"/>
        <v>0</v>
      </c>
      <c r="J21" s="1">
        <v>0</v>
      </c>
    </row>
    <row r="22" spans="1:10" x14ac:dyDescent="0.55000000000000004">
      <c r="A22" s="48" t="s">
        <v>239</v>
      </c>
      <c r="B22" s="115">
        <v>45352</v>
      </c>
      <c r="C22" s="48" t="s">
        <v>221</v>
      </c>
      <c r="D22" s="2" t="s">
        <v>27</v>
      </c>
      <c r="E22" s="1">
        <v>0</v>
      </c>
      <c r="F22" s="1">
        <v>0</v>
      </c>
      <c r="G22" s="1">
        <v>0</v>
      </c>
      <c r="H22" s="1">
        <v>0</v>
      </c>
      <c r="I22" s="1">
        <f t="shared" si="0"/>
        <v>0</v>
      </c>
      <c r="J22" s="1">
        <v>0</v>
      </c>
    </row>
    <row r="23" spans="1:10" x14ac:dyDescent="0.55000000000000004">
      <c r="A23" s="48" t="s">
        <v>240</v>
      </c>
      <c r="B23" s="115">
        <v>45352</v>
      </c>
      <c r="C23" s="48" t="s">
        <v>219</v>
      </c>
      <c r="D23" s="2" t="s">
        <v>36</v>
      </c>
      <c r="E23" s="1">
        <v>0</v>
      </c>
      <c r="F23" s="1">
        <v>0</v>
      </c>
      <c r="G23" s="1">
        <v>0</v>
      </c>
      <c r="H23" s="1">
        <v>0</v>
      </c>
      <c r="I23" s="1">
        <f t="shared" si="0"/>
        <v>0</v>
      </c>
      <c r="J23" s="1">
        <v>0</v>
      </c>
    </row>
    <row r="24" spans="1:10" x14ac:dyDescent="0.55000000000000004">
      <c r="A24" s="48" t="s">
        <v>241</v>
      </c>
      <c r="B24" s="115">
        <v>45352</v>
      </c>
      <c r="C24" s="48" t="s">
        <v>220</v>
      </c>
      <c r="D24" s="2" t="s">
        <v>28</v>
      </c>
      <c r="E24" s="1">
        <v>1</v>
      </c>
      <c r="F24" s="1">
        <v>0</v>
      </c>
      <c r="G24" s="1">
        <v>0</v>
      </c>
      <c r="H24" s="1">
        <v>0</v>
      </c>
      <c r="I24" s="1">
        <f t="shared" si="0"/>
        <v>1</v>
      </c>
      <c r="J24" s="1">
        <v>0</v>
      </c>
    </row>
    <row r="25" spans="1:10" x14ac:dyDescent="0.55000000000000004">
      <c r="A25" s="48" t="s">
        <v>242</v>
      </c>
      <c r="B25" s="115">
        <v>45352</v>
      </c>
      <c r="C25" s="48" t="s">
        <v>221</v>
      </c>
      <c r="D25" s="2" t="s">
        <v>29</v>
      </c>
      <c r="E25" s="1">
        <v>0</v>
      </c>
      <c r="F25" s="1">
        <v>0</v>
      </c>
      <c r="G25" s="1">
        <v>0</v>
      </c>
      <c r="H25" s="1">
        <v>0</v>
      </c>
      <c r="I25" s="1">
        <f t="shared" si="0"/>
        <v>0</v>
      </c>
      <c r="J25" s="1">
        <v>0</v>
      </c>
    </row>
    <row r="26" spans="1:10" x14ac:dyDescent="0.55000000000000004">
      <c r="A26" s="48" t="s">
        <v>243</v>
      </c>
      <c r="B26" s="115">
        <v>45352</v>
      </c>
      <c r="C26" s="62" t="s">
        <v>219</v>
      </c>
      <c r="D26" s="38" t="s">
        <v>27</v>
      </c>
      <c r="E26" s="39">
        <v>0</v>
      </c>
      <c r="F26" s="1">
        <v>0</v>
      </c>
      <c r="G26" s="1">
        <v>0</v>
      </c>
      <c r="H26" s="1">
        <v>0</v>
      </c>
      <c r="I26" s="1">
        <f t="shared" si="0"/>
        <v>0</v>
      </c>
      <c r="J26" s="1">
        <v>0</v>
      </c>
    </row>
    <row r="27" spans="1:10" x14ac:dyDescent="0.55000000000000004">
      <c r="A27" s="48" t="s">
        <v>244</v>
      </c>
      <c r="B27" s="115">
        <v>45352</v>
      </c>
      <c r="C27" s="62" t="s">
        <v>219</v>
      </c>
      <c r="D27" s="38" t="s">
        <v>29</v>
      </c>
      <c r="E27" s="39">
        <v>1</v>
      </c>
      <c r="F27" s="1">
        <v>1</v>
      </c>
      <c r="G27" s="1">
        <v>0</v>
      </c>
      <c r="H27" s="1">
        <v>0</v>
      </c>
      <c r="I27" s="1">
        <f t="shared" si="0"/>
        <v>2</v>
      </c>
      <c r="J27" s="1">
        <v>0</v>
      </c>
    </row>
    <row r="28" spans="1:10" x14ac:dyDescent="0.55000000000000004">
      <c r="A28" s="48" t="s">
        <v>245</v>
      </c>
      <c r="B28" s="115">
        <v>45352</v>
      </c>
      <c r="C28" s="62" t="s">
        <v>219</v>
      </c>
      <c r="D28" s="38" t="s">
        <v>29</v>
      </c>
      <c r="E28" s="39">
        <v>2</v>
      </c>
      <c r="F28" s="1">
        <v>0</v>
      </c>
      <c r="G28" s="1">
        <v>0</v>
      </c>
      <c r="H28" s="1">
        <v>0</v>
      </c>
      <c r="I28" s="1">
        <f t="shared" si="0"/>
        <v>2</v>
      </c>
      <c r="J28" s="1">
        <v>0</v>
      </c>
    </row>
    <row r="29" spans="1:10" x14ac:dyDescent="0.55000000000000004">
      <c r="A29" s="48" t="s">
        <v>246</v>
      </c>
      <c r="B29" s="115">
        <v>45352</v>
      </c>
      <c r="C29" s="62" t="s">
        <v>220</v>
      </c>
      <c r="D29" s="38" t="s">
        <v>28</v>
      </c>
      <c r="E29" s="39">
        <v>0</v>
      </c>
      <c r="F29" s="1">
        <v>0</v>
      </c>
      <c r="G29" s="1">
        <v>0</v>
      </c>
      <c r="H29" s="1">
        <v>0</v>
      </c>
      <c r="I29" s="1">
        <f t="shared" si="0"/>
        <v>0</v>
      </c>
      <c r="J29" s="1">
        <v>0</v>
      </c>
    </row>
    <row r="30" spans="1:10" x14ac:dyDescent="0.55000000000000004">
      <c r="A30" s="48" t="s">
        <v>247</v>
      </c>
      <c r="B30" s="115">
        <v>45352</v>
      </c>
      <c r="C30" s="62" t="s">
        <v>221</v>
      </c>
      <c r="D30" s="38" t="s">
        <v>27</v>
      </c>
      <c r="E30" s="39">
        <v>0</v>
      </c>
      <c r="F30" s="1">
        <v>0</v>
      </c>
      <c r="G30" s="1">
        <v>0</v>
      </c>
      <c r="H30" s="1">
        <v>0</v>
      </c>
      <c r="I30" s="1">
        <f t="shared" si="0"/>
        <v>0</v>
      </c>
      <c r="J30" s="1">
        <v>0</v>
      </c>
    </row>
    <row r="31" spans="1:10" x14ac:dyDescent="0.55000000000000004">
      <c r="A31" s="48" t="s">
        <v>248</v>
      </c>
      <c r="B31" s="115">
        <v>45352</v>
      </c>
      <c r="C31" s="62" t="s">
        <v>219</v>
      </c>
      <c r="D31" s="38" t="s">
        <v>36</v>
      </c>
      <c r="E31" s="39">
        <v>3</v>
      </c>
      <c r="F31" s="1">
        <v>0</v>
      </c>
      <c r="G31" s="1">
        <v>0</v>
      </c>
      <c r="H31" s="1">
        <v>0</v>
      </c>
      <c r="I31" s="1">
        <f t="shared" si="0"/>
        <v>3</v>
      </c>
      <c r="J31" s="1">
        <v>0</v>
      </c>
    </row>
    <row r="32" spans="1:10" x14ac:dyDescent="0.55000000000000004">
      <c r="A32" s="48" t="s">
        <v>249</v>
      </c>
      <c r="B32" s="115">
        <v>45352</v>
      </c>
      <c r="C32" s="62" t="s">
        <v>220</v>
      </c>
      <c r="D32" s="38" t="s">
        <v>29</v>
      </c>
      <c r="E32" s="39">
        <v>0</v>
      </c>
      <c r="F32" s="1">
        <v>0</v>
      </c>
      <c r="G32" s="1">
        <v>0</v>
      </c>
      <c r="H32" s="1">
        <v>0</v>
      </c>
      <c r="I32" s="1">
        <f t="shared" si="0"/>
        <v>0</v>
      </c>
      <c r="J32" s="1">
        <v>0</v>
      </c>
    </row>
    <row r="33" spans="1:11" x14ac:dyDescent="0.55000000000000004">
      <c r="A33" s="48" t="s">
        <v>250</v>
      </c>
      <c r="B33" s="115">
        <v>45352</v>
      </c>
      <c r="C33" s="48" t="s">
        <v>221</v>
      </c>
      <c r="D33" s="2" t="s">
        <v>28</v>
      </c>
      <c r="E33" s="1">
        <v>5</v>
      </c>
      <c r="F33" s="1">
        <v>0</v>
      </c>
      <c r="G33" s="1">
        <v>0</v>
      </c>
      <c r="H33" s="1">
        <v>0</v>
      </c>
      <c r="I33" s="1">
        <f t="shared" si="0"/>
        <v>5</v>
      </c>
      <c r="J33" s="1">
        <v>0</v>
      </c>
    </row>
    <row r="34" spans="1:11" x14ac:dyDescent="0.55000000000000004">
      <c r="A34" s="48" t="s">
        <v>251</v>
      </c>
      <c r="B34" s="115">
        <v>45352</v>
      </c>
      <c r="C34" s="48" t="s">
        <v>219</v>
      </c>
      <c r="D34" s="2" t="s">
        <v>27</v>
      </c>
      <c r="E34" s="1">
        <v>0</v>
      </c>
      <c r="F34" s="1">
        <v>0</v>
      </c>
      <c r="G34" s="1">
        <v>0</v>
      </c>
      <c r="H34" s="1">
        <v>0</v>
      </c>
      <c r="I34" s="1">
        <f t="shared" si="0"/>
        <v>0</v>
      </c>
      <c r="J34" s="1">
        <v>0</v>
      </c>
    </row>
    <row r="35" spans="1:11" x14ac:dyDescent="0.55000000000000004">
      <c r="A35" s="48" t="s">
        <v>252</v>
      </c>
      <c r="B35" s="115">
        <v>45352</v>
      </c>
      <c r="C35" s="48" t="s">
        <v>220</v>
      </c>
      <c r="D35" s="2" t="s">
        <v>28</v>
      </c>
      <c r="E35" s="1">
        <v>0</v>
      </c>
      <c r="F35" s="1">
        <v>0</v>
      </c>
      <c r="G35" s="1">
        <v>0</v>
      </c>
      <c r="H35" s="1">
        <v>0</v>
      </c>
      <c r="I35" s="1">
        <f t="shared" si="0"/>
        <v>0</v>
      </c>
      <c r="J35" s="1">
        <v>0</v>
      </c>
    </row>
    <row r="36" spans="1:11" x14ac:dyDescent="0.55000000000000004">
      <c r="A36" s="48" t="s">
        <v>253</v>
      </c>
      <c r="B36" s="115">
        <v>45352</v>
      </c>
      <c r="C36" s="48" t="s">
        <v>221</v>
      </c>
      <c r="D36" s="2" t="s">
        <v>29</v>
      </c>
      <c r="E36" s="1">
        <v>2</v>
      </c>
      <c r="F36" s="1">
        <v>0</v>
      </c>
      <c r="G36" s="1">
        <v>0</v>
      </c>
      <c r="H36" s="1">
        <v>0</v>
      </c>
      <c r="I36" s="1">
        <f t="shared" si="0"/>
        <v>2</v>
      </c>
      <c r="J36" s="1">
        <v>0</v>
      </c>
      <c r="K36" t="s">
        <v>330</v>
      </c>
    </row>
    <row r="37" spans="1:11" x14ac:dyDescent="0.55000000000000004">
      <c r="A37" s="48" t="s">
        <v>254</v>
      </c>
      <c r="B37" s="115">
        <v>45352</v>
      </c>
      <c r="C37" s="48" t="s">
        <v>219</v>
      </c>
      <c r="D37" s="2" t="s">
        <v>29</v>
      </c>
      <c r="E37" s="1">
        <v>0</v>
      </c>
      <c r="F37" s="1">
        <v>0</v>
      </c>
      <c r="G37" s="1">
        <v>0</v>
      </c>
      <c r="H37" s="1">
        <v>0</v>
      </c>
      <c r="I37" s="1">
        <f t="shared" si="0"/>
        <v>0</v>
      </c>
      <c r="J37" s="1">
        <v>0</v>
      </c>
    </row>
    <row r="38" spans="1:11" x14ac:dyDescent="0.55000000000000004">
      <c r="A38" s="48" t="s">
        <v>255</v>
      </c>
      <c r="B38" s="115">
        <v>45352</v>
      </c>
      <c r="C38" s="48" t="s">
        <v>219</v>
      </c>
      <c r="D38" s="2" t="s">
        <v>36</v>
      </c>
      <c r="E38" s="1">
        <v>2</v>
      </c>
      <c r="F38" s="1">
        <v>0</v>
      </c>
      <c r="G38" s="1">
        <v>0</v>
      </c>
      <c r="H38" s="1">
        <v>0</v>
      </c>
      <c r="I38" s="1">
        <f t="shared" si="0"/>
        <v>2</v>
      </c>
      <c r="J38" s="1">
        <v>0</v>
      </c>
      <c r="K38" t="s">
        <v>91</v>
      </c>
    </row>
    <row r="39" spans="1:11" x14ac:dyDescent="0.55000000000000004">
      <c r="A39" s="48" t="s">
        <v>256</v>
      </c>
      <c r="B39" s="115">
        <v>45352</v>
      </c>
      <c r="C39" s="48" t="s">
        <v>220</v>
      </c>
      <c r="D39" s="2" t="s">
        <v>27</v>
      </c>
      <c r="E39" s="1">
        <v>0</v>
      </c>
      <c r="F39" s="1">
        <v>0</v>
      </c>
      <c r="G39" s="1">
        <v>0</v>
      </c>
      <c r="H39" s="1">
        <v>0</v>
      </c>
      <c r="I39" s="1">
        <f t="shared" si="0"/>
        <v>0</v>
      </c>
      <c r="J39" s="1">
        <v>0</v>
      </c>
    </row>
    <row r="40" spans="1:11" x14ac:dyDescent="0.55000000000000004">
      <c r="A40" s="48" t="s">
        <v>257</v>
      </c>
      <c r="B40" s="115">
        <v>45352</v>
      </c>
      <c r="C40" s="48" t="s">
        <v>221</v>
      </c>
      <c r="D40" s="2" t="s">
        <v>28</v>
      </c>
      <c r="E40" s="1">
        <v>7</v>
      </c>
      <c r="F40" s="1">
        <v>0</v>
      </c>
      <c r="G40" s="1">
        <v>0</v>
      </c>
      <c r="H40" s="1">
        <v>0</v>
      </c>
      <c r="I40" s="1">
        <f t="shared" si="0"/>
        <v>7</v>
      </c>
      <c r="J40" s="1">
        <v>0</v>
      </c>
    </row>
    <row r="41" spans="1:11" x14ac:dyDescent="0.55000000000000004">
      <c r="A41" s="48" t="s">
        <v>258</v>
      </c>
      <c r="B41" s="115">
        <v>45352</v>
      </c>
      <c r="C41" s="48" t="s">
        <v>219</v>
      </c>
      <c r="D41" s="2" t="s">
        <v>28</v>
      </c>
      <c r="E41" s="1">
        <v>2</v>
      </c>
      <c r="F41" s="1">
        <v>0</v>
      </c>
      <c r="G41" s="1">
        <v>0</v>
      </c>
      <c r="H41" s="1">
        <v>0</v>
      </c>
      <c r="I41" s="1">
        <f t="shared" si="0"/>
        <v>2</v>
      </c>
      <c r="J41" s="1">
        <v>0</v>
      </c>
      <c r="K41" t="s">
        <v>91</v>
      </c>
    </row>
    <row r="42" spans="1:11" x14ac:dyDescent="0.55000000000000004">
      <c r="A42" s="48" t="s">
        <v>259</v>
      </c>
      <c r="B42" s="115">
        <v>45352</v>
      </c>
      <c r="C42" s="48" t="s">
        <v>220</v>
      </c>
      <c r="D42" s="2" t="s">
        <v>29</v>
      </c>
      <c r="E42" s="1">
        <v>0</v>
      </c>
      <c r="F42" s="1">
        <v>0</v>
      </c>
      <c r="G42" s="1">
        <v>0</v>
      </c>
      <c r="H42" s="1">
        <v>0</v>
      </c>
      <c r="I42" s="1">
        <f t="shared" si="0"/>
        <v>0</v>
      </c>
      <c r="J42" s="1">
        <v>0</v>
      </c>
    </row>
    <row r="43" spans="1:11" x14ac:dyDescent="0.55000000000000004">
      <c r="A43" s="48" t="s">
        <v>260</v>
      </c>
      <c r="B43" s="115">
        <v>45352</v>
      </c>
      <c r="C43" s="48" t="s">
        <v>221</v>
      </c>
      <c r="D43" s="2" t="s">
        <v>27</v>
      </c>
      <c r="E43" s="1">
        <v>0</v>
      </c>
      <c r="F43" s="1">
        <v>0</v>
      </c>
      <c r="G43" s="1">
        <v>0</v>
      </c>
      <c r="H43" s="1">
        <v>0</v>
      </c>
      <c r="I43" s="1">
        <f t="shared" si="0"/>
        <v>0</v>
      </c>
      <c r="J43" s="1">
        <v>0</v>
      </c>
    </row>
    <row r="44" spans="1:11" x14ac:dyDescent="0.55000000000000004">
      <c r="A44" s="48" t="s">
        <v>261</v>
      </c>
      <c r="B44" s="115">
        <v>45352</v>
      </c>
      <c r="C44" s="48" t="s">
        <v>219</v>
      </c>
      <c r="D44" s="2" t="s">
        <v>29</v>
      </c>
      <c r="E44" s="1">
        <v>1</v>
      </c>
      <c r="F44" s="1">
        <v>0</v>
      </c>
      <c r="G44" s="1">
        <v>0</v>
      </c>
      <c r="H44" s="1">
        <v>0</v>
      </c>
      <c r="I44" s="1">
        <f t="shared" si="0"/>
        <v>1</v>
      </c>
      <c r="J44" s="1">
        <v>0</v>
      </c>
    </row>
    <row r="45" spans="1:11" x14ac:dyDescent="0.55000000000000004">
      <c r="A45" s="48" t="s">
        <v>262</v>
      </c>
      <c r="B45" s="115">
        <v>45352</v>
      </c>
      <c r="C45" s="48" t="s">
        <v>219</v>
      </c>
      <c r="D45" s="2" t="s">
        <v>36</v>
      </c>
      <c r="E45" s="1">
        <v>0</v>
      </c>
      <c r="F45" s="1">
        <v>0</v>
      </c>
      <c r="G45" s="1">
        <v>0</v>
      </c>
      <c r="H45" s="1">
        <v>0</v>
      </c>
      <c r="I45" s="1">
        <f t="shared" si="0"/>
        <v>0</v>
      </c>
      <c r="J45" s="1">
        <v>0</v>
      </c>
    </row>
    <row r="46" spans="1:11" x14ac:dyDescent="0.55000000000000004">
      <c r="A46" s="48" t="s">
        <v>263</v>
      </c>
      <c r="B46" s="115">
        <v>45352</v>
      </c>
      <c r="C46" s="62" t="s">
        <v>220</v>
      </c>
      <c r="D46" s="38" t="s">
        <v>28</v>
      </c>
      <c r="E46" s="39">
        <v>0</v>
      </c>
      <c r="F46" s="1">
        <v>0</v>
      </c>
      <c r="G46" s="1">
        <v>0</v>
      </c>
      <c r="H46" s="1">
        <v>0</v>
      </c>
      <c r="I46" s="1">
        <f t="shared" si="0"/>
        <v>0</v>
      </c>
      <c r="J46" s="1">
        <v>0</v>
      </c>
    </row>
    <row r="47" spans="1:11" x14ac:dyDescent="0.55000000000000004">
      <c r="A47" s="48" t="s">
        <v>264</v>
      </c>
      <c r="B47" s="115">
        <v>45352</v>
      </c>
      <c r="C47" s="62" t="s">
        <v>221</v>
      </c>
      <c r="D47" s="38" t="s">
        <v>29</v>
      </c>
      <c r="E47" s="39">
        <v>0</v>
      </c>
      <c r="F47" s="1">
        <v>0</v>
      </c>
      <c r="G47" s="1">
        <v>0</v>
      </c>
      <c r="H47" s="1">
        <v>0</v>
      </c>
      <c r="I47" s="1">
        <f t="shared" si="0"/>
        <v>0</v>
      </c>
      <c r="J47" s="1">
        <v>0</v>
      </c>
    </row>
    <row r="48" spans="1:11" x14ac:dyDescent="0.55000000000000004">
      <c r="A48" s="48" t="s">
        <v>265</v>
      </c>
      <c r="B48" s="115">
        <v>45352</v>
      </c>
      <c r="C48" s="62" t="s">
        <v>219</v>
      </c>
      <c r="D48" s="38" t="s">
        <v>29</v>
      </c>
      <c r="E48" s="39">
        <v>1</v>
      </c>
      <c r="F48" s="1">
        <v>0</v>
      </c>
      <c r="G48" s="1">
        <v>0</v>
      </c>
      <c r="H48" s="1">
        <v>0</v>
      </c>
      <c r="I48" s="1">
        <f t="shared" si="0"/>
        <v>1</v>
      </c>
      <c r="J48" s="1">
        <v>0</v>
      </c>
    </row>
    <row r="49" spans="1:11" x14ac:dyDescent="0.55000000000000004">
      <c r="A49" s="48" t="s">
        <v>266</v>
      </c>
      <c r="B49" s="115">
        <v>45352</v>
      </c>
      <c r="C49" s="48" t="s">
        <v>220</v>
      </c>
      <c r="D49" s="2" t="s">
        <v>36</v>
      </c>
      <c r="E49" s="1">
        <v>2</v>
      </c>
      <c r="F49" s="1">
        <v>0</v>
      </c>
      <c r="G49" s="1">
        <v>0</v>
      </c>
      <c r="H49" s="1">
        <v>0</v>
      </c>
      <c r="I49" s="1">
        <f t="shared" si="0"/>
        <v>2</v>
      </c>
      <c r="J49" s="1">
        <v>0</v>
      </c>
      <c r="K49" t="s">
        <v>91</v>
      </c>
    </row>
    <row r="50" spans="1:11" x14ac:dyDescent="0.55000000000000004">
      <c r="A50" s="48" t="s">
        <v>267</v>
      </c>
      <c r="B50" s="115">
        <v>45352</v>
      </c>
      <c r="C50" s="48" t="s">
        <v>221</v>
      </c>
      <c r="D50" s="2" t="s">
        <v>28</v>
      </c>
      <c r="E50" s="1">
        <v>0</v>
      </c>
      <c r="F50" s="1">
        <v>2</v>
      </c>
      <c r="G50" s="1">
        <v>0</v>
      </c>
      <c r="H50" s="1">
        <v>0</v>
      </c>
      <c r="I50" s="1">
        <f t="shared" si="0"/>
        <v>2</v>
      </c>
      <c r="J50" s="1">
        <v>0</v>
      </c>
    </row>
    <row r="51" spans="1:11" x14ac:dyDescent="0.55000000000000004">
      <c r="A51" s="48" t="s">
        <v>268</v>
      </c>
      <c r="B51" s="115">
        <v>45352</v>
      </c>
      <c r="C51" s="48" t="s">
        <v>219</v>
      </c>
      <c r="D51" s="2" t="s">
        <v>29</v>
      </c>
      <c r="E51" s="1">
        <v>0</v>
      </c>
      <c r="F51" s="1">
        <v>0</v>
      </c>
      <c r="G51" s="1">
        <v>0</v>
      </c>
      <c r="H51" s="1">
        <v>0</v>
      </c>
      <c r="I51" s="1">
        <f t="shared" si="0"/>
        <v>0</v>
      </c>
      <c r="J51" s="1">
        <v>0</v>
      </c>
    </row>
    <row r="52" spans="1:11" x14ac:dyDescent="0.55000000000000004">
      <c r="A52" s="48" t="s">
        <v>269</v>
      </c>
      <c r="B52" s="115">
        <v>45352</v>
      </c>
      <c r="C52" s="48" t="s">
        <v>220</v>
      </c>
      <c r="D52" s="2" t="s">
        <v>36</v>
      </c>
      <c r="E52" s="1">
        <v>2</v>
      </c>
      <c r="F52" s="1">
        <v>0</v>
      </c>
      <c r="G52" s="1">
        <v>0</v>
      </c>
      <c r="H52" s="1">
        <v>0</v>
      </c>
      <c r="I52" s="1">
        <f t="shared" si="0"/>
        <v>2</v>
      </c>
      <c r="J52" s="1">
        <v>0</v>
      </c>
    </row>
    <row r="53" spans="1:11" x14ac:dyDescent="0.55000000000000004">
      <c r="A53" s="48" t="s">
        <v>270</v>
      </c>
      <c r="B53" s="115">
        <v>45352</v>
      </c>
      <c r="C53" s="48" t="s">
        <v>221</v>
      </c>
      <c r="D53" s="2" t="s">
        <v>28</v>
      </c>
      <c r="E53" s="1">
        <v>2</v>
      </c>
      <c r="F53" s="1">
        <v>0</v>
      </c>
      <c r="G53" s="1">
        <v>0</v>
      </c>
      <c r="H53" s="1">
        <v>0</v>
      </c>
      <c r="I53" s="1">
        <f t="shared" si="0"/>
        <v>2</v>
      </c>
      <c r="J53" s="1">
        <v>0</v>
      </c>
    </row>
    <row r="54" spans="1:11" x14ac:dyDescent="0.55000000000000004">
      <c r="A54" s="48" t="s">
        <v>271</v>
      </c>
      <c r="B54" s="115">
        <v>45352</v>
      </c>
      <c r="C54" s="48" t="s">
        <v>219</v>
      </c>
      <c r="D54" s="2" t="s">
        <v>29</v>
      </c>
      <c r="E54" s="1">
        <v>0</v>
      </c>
      <c r="F54" s="1">
        <v>0</v>
      </c>
      <c r="G54" s="1">
        <v>0</v>
      </c>
      <c r="H54" s="1">
        <v>0</v>
      </c>
      <c r="I54" s="1">
        <f t="shared" si="0"/>
        <v>0</v>
      </c>
      <c r="J54" s="1">
        <v>0</v>
      </c>
    </row>
    <row r="55" spans="1:11" x14ac:dyDescent="0.55000000000000004">
      <c r="A55" s="48" t="s">
        <v>272</v>
      </c>
      <c r="B55" s="115">
        <v>45352</v>
      </c>
      <c r="C55" s="34" t="s">
        <v>219</v>
      </c>
      <c r="D55" s="2" t="s">
        <v>27</v>
      </c>
      <c r="E55" s="1">
        <v>0</v>
      </c>
      <c r="F55" s="1">
        <v>0</v>
      </c>
      <c r="G55" s="1">
        <v>0</v>
      </c>
      <c r="H55" s="1">
        <v>0</v>
      </c>
      <c r="I55" s="1">
        <f t="shared" si="0"/>
        <v>0</v>
      </c>
      <c r="J55" s="1">
        <v>0</v>
      </c>
    </row>
    <row r="56" spans="1:11" x14ac:dyDescent="0.55000000000000004">
      <c r="A56" s="48" t="s">
        <v>273</v>
      </c>
      <c r="B56" s="115">
        <v>45352</v>
      </c>
      <c r="C56" s="34" t="s">
        <v>220</v>
      </c>
      <c r="D56" s="2" t="s">
        <v>36</v>
      </c>
      <c r="E56" s="1">
        <v>2</v>
      </c>
      <c r="F56" s="1">
        <v>0</v>
      </c>
      <c r="G56" s="1">
        <v>0</v>
      </c>
      <c r="H56" s="1">
        <v>0</v>
      </c>
      <c r="I56" s="1">
        <f t="shared" si="0"/>
        <v>2</v>
      </c>
      <c r="J56" s="1">
        <v>0</v>
      </c>
    </row>
    <row r="57" spans="1:11" x14ac:dyDescent="0.55000000000000004">
      <c r="A57" s="48" t="s">
        <v>274</v>
      </c>
      <c r="B57" s="115">
        <v>45352</v>
      </c>
      <c r="C57" s="34" t="s">
        <v>221</v>
      </c>
      <c r="D57" s="2" t="s">
        <v>29</v>
      </c>
      <c r="E57" s="1">
        <v>4</v>
      </c>
      <c r="F57" s="1">
        <v>0</v>
      </c>
      <c r="G57" s="1">
        <v>0</v>
      </c>
      <c r="H57" s="1">
        <v>0</v>
      </c>
      <c r="I57" s="1">
        <f t="shared" si="0"/>
        <v>4</v>
      </c>
      <c r="J57" s="1">
        <v>0</v>
      </c>
    </row>
    <row r="58" spans="1:11" x14ac:dyDescent="0.55000000000000004">
      <c r="A58" s="48" t="s">
        <v>275</v>
      </c>
      <c r="B58" s="115">
        <v>45352</v>
      </c>
      <c r="C58" s="34" t="s">
        <v>219</v>
      </c>
      <c r="D58" s="2" t="s">
        <v>27</v>
      </c>
      <c r="E58" s="1">
        <v>0</v>
      </c>
      <c r="F58" s="1">
        <v>0</v>
      </c>
      <c r="G58" s="1">
        <v>0</v>
      </c>
      <c r="H58" s="1">
        <v>0</v>
      </c>
      <c r="I58" s="1">
        <f t="shared" si="0"/>
        <v>0</v>
      </c>
      <c r="J58" s="1">
        <v>0</v>
      </c>
    </row>
    <row r="59" spans="1:11" x14ac:dyDescent="0.55000000000000004">
      <c r="A59" s="48" t="s">
        <v>331</v>
      </c>
      <c r="B59" s="115">
        <v>45352</v>
      </c>
      <c r="C59" s="34" t="s">
        <v>219</v>
      </c>
      <c r="D59" s="2" t="s">
        <v>27</v>
      </c>
      <c r="E59" s="1">
        <v>0</v>
      </c>
      <c r="F59" s="1">
        <v>0</v>
      </c>
      <c r="G59" s="1">
        <v>0</v>
      </c>
      <c r="H59" s="1">
        <v>0</v>
      </c>
      <c r="I59" s="1">
        <f t="shared" si="0"/>
        <v>0</v>
      </c>
      <c r="J59" s="1">
        <v>0</v>
      </c>
    </row>
    <row r="60" spans="1:11" x14ac:dyDescent="0.55000000000000004">
      <c r="A60" s="48" t="s">
        <v>356</v>
      </c>
      <c r="B60" s="115">
        <v>45352</v>
      </c>
      <c r="C60" s="70" t="s">
        <v>219</v>
      </c>
      <c r="D60" s="2" t="s">
        <v>29</v>
      </c>
      <c r="E60" s="1">
        <v>0</v>
      </c>
      <c r="F60" s="1">
        <v>0</v>
      </c>
      <c r="G60" s="1">
        <v>0</v>
      </c>
      <c r="H60" s="1">
        <v>0</v>
      </c>
      <c r="I60" s="1">
        <f t="shared" si="0"/>
        <v>0</v>
      </c>
      <c r="J60" s="1">
        <v>0</v>
      </c>
    </row>
    <row r="61" spans="1:11" x14ac:dyDescent="0.55000000000000004">
      <c r="A61" s="48" t="s">
        <v>357</v>
      </c>
      <c r="B61" s="115">
        <v>45352</v>
      </c>
      <c r="C61" s="70" t="s">
        <v>220</v>
      </c>
      <c r="D61" s="2" t="s">
        <v>28</v>
      </c>
      <c r="E61" s="1">
        <v>1</v>
      </c>
      <c r="F61" s="1">
        <v>0</v>
      </c>
      <c r="G61" s="1">
        <v>0</v>
      </c>
      <c r="H61" s="1">
        <v>0</v>
      </c>
      <c r="I61" s="1">
        <f t="shared" si="0"/>
        <v>1</v>
      </c>
      <c r="J61" s="1">
        <v>0</v>
      </c>
    </row>
    <row r="62" spans="1:11" x14ac:dyDescent="0.55000000000000004">
      <c r="A62" s="48" t="s">
        <v>358</v>
      </c>
      <c r="B62" s="115">
        <v>45352</v>
      </c>
      <c r="C62" s="70" t="s">
        <v>221</v>
      </c>
      <c r="D62" s="2" t="s">
        <v>36</v>
      </c>
      <c r="E62" s="1">
        <v>1</v>
      </c>
      <c r="F62" s="1">
        <v>0</v>
      </c>
      <c r="G62" s="1">
        <v>0</v>
      </c>
      <c r="H62" s="1">
        <v>0</v>
      </c>
      <c r="I62" s="1">
        <f t="shared" si="0"/>
        <v>1</v>
      </c>
      <c r="J62" s="1">
        <v>0</v>
      </c>
    </row>
    <row r="63" spans="1:11" x14ac:dyDescent="0.55000000000000004">
      <c r="A63" s="48" t="s">
        <v>362</v>
      </c>
      <c r="B63" s="115">
        <v>45352</v>
      </c>
      <c r="C63" s="70" t="s">
        <v>219</v>
      </c>
      <c r="D63" s="2" t="s">
        <v>27</v>
      </c>
      <c r="E63" s="1">
        <v>0</v>
      </c>
      <c r="F63" s="1">
        <v>0</v>
      </c>
      <c r="G63" s="1">
        <v>0</v>
      </c>
      <c r="H63" s="1">
        <v>0</v>
      </c>
      <c r="I63" s="1">
        <f t="shared" si="0"/>
        <v>0</v>
      </c>
      <c r="J63" s="1">
        <v>0</v>
      </c>
    </row>
    <row r="64" spans="1:11" x14ac:dyDescent="0.55000000000000004">
      <c r="A64" s="48" t="s">
        <v>363</v>
      </c>
      <c r="B64" s="115">
        <v>45352</v>
      </c>
      <c r="C64" s="70" t="s">
        <v>220</v>
      </c>
      <c r="D64" s="2" t="s">
        <v>29</v>
      </c>
      <c r="E64" s="1">
        <v>0</v>
      </c>
      <c r="F64" s="1">
        <v>1</v>
      </c>
      <c r="G64" s="1">
        <v>0</v>
      </c>
      <c r="H64" s="1">
        <v>0</v>
      </c>
      <c r="I64" s="1">
        <f t="shared" si="0"/>
        <v>1</v>
      </c>
      <c r="J64" s="1">
        <v>0</v>
      </c>
    </row>
    <row r="65" spans="1:11" x14ac:dyDescent="0.55000000000000004">
      <c r="A65" s="48" t="s">
        <v>364</v>
      </c>
      <c r="B65" s="115">
        <v>45352</v>
      </c>
      <c r="C65" s="70" t="s">
        <v>221</v>
      </c>
      <c r="D65" s="2" t="s">
        <v>36</v>
      </c>
      <c r="E65" s="1">
        <v>1</v>
      </c>
      <c r="F65" s="1">
        <v>0</v>
      </c>
      <c r="G65" s="1">
        <v>0</v>
      </c>
      <c r="H65" s="1">
        <v>0</v>
      </c>
      <c r="I65" s="1">
        <f t="shared" si="0"/>
        <v>1</v>
      </c>
      <c r="J65" s="1">
        <v>0</v>
      </c>
    </row>
    <row r="66" spans="1:11" x14ac:dyDescent="0.55000000000000004">
      <c r="A66" s="48" t="s">
        <v>411</v>
      </c>
      <c r="B66" s="115">
        <v>45383</v>
      </c>
      <c r="C66" s="70" t="s">
        <v>219</v>
      </c>
      <c r="D66" s="2" t="s">
        <v>321</v>
      </c>
      <c r="E66" s="1">
        <v>2</v>
      </c>
      <c r="F66" s="1">
        <v>0</v>
      </c>
      <c r="G66" s="1">
        <v>0</v>
      </c>
      <c r="H66" s="1">
        <v>0</v>
      </c>
      <c r="I66" s="1">
        <f t="shared" si="0"/>
        <v>2</v>
      </c>
      <c r="J66" s="1">
        <v>0</v>
      </c>
    </row>
    <row r="67" spans="1:11" x14ac:dyDescent="0.55000000000000004">
      <c r="A67" s="48" t="s">
        <v>412</v>
      </c>
      <c r="B67" s="115">
        <v>45383</v>
      </c>
      <c r="C67" s="70" t="s">
        <v>220</v>
      </c>
      <c r="D67" s="2" t="s">
        <v>28</v>
      </c>
      <c r="E67" s="1">
        <v>0</v>
      </c>
      <c r="F67" s="1">
        <v>0</v>
      </c>
      <c r="G67" s="1">
        <v>0</v>
      </c>
      <c r="H67" s="1">
        <v>0</v>
      </c>
      <c r="I67" s="1">
        <f t="shared" si="0"/>
        <v>0</v>
      </c>
      <c r="J67" s="1">
        <v>0</v>
      </c>
    </row>
    <row r="68" spans="1:11" x14ac:dyDescent="0.55000000000000004">
      <c r="A68" s="48" t="s">
        <v>413</v>
      </c>
      <c r="B68" s="115">
        <v>45383</v>
      </c>
      <c r="C68" s="70" t="s">
        <v>221</v>
      </c>
      <c r="D68" s="2" t="s">
        <v>36</v>
      </c>
      <c r="E68" s="1">
        <v>2</v>
      </c>
      <c r="F68" s="1">
        <v>0</v>
      </c>
      <c r="G68" s="1">
        <v>0</v>
      </c>
      <c r="H68" s="1">
        <v>1</v>
      </c>
      <c r="I68" s="1">
        <f t="shared" si="0"/>
        <v>2</v>
      </c>
      <c r="J68" s="1">
        <v>0</v>
      </c>
    </row>
    <row r="69" spans="1:11" x14ac:dyDescent="0.55000000000000004">
      <c r="A69" s="48" t="s">
        <v>472</v>
      </c>
      <c r="B69" s="115">
        <v>45383</v>
      </c>
      <c r="C69" s="70" t="s">
        <v>219</v>
      </c>
      <c r="D69" s="2" t="s">
        <v>68</v>
      </c>
      <c r="E69" s="1">
        <v>1</v>
      </c>
      <c r="F69" s="1">
        <v>1</v>
      </c>
      <c r="G69" s="1">
        <v>0</v>
      </c>
      <c r="H69" s="1">
        <v>0</v>
      </c>
      <c r="I69" s="1">
        <f t="shared" ref="I69:I100" si="1">SUM(E69,F69)</f>
        <v>2</v>
      </c>
      <c r="J69" s="1">
        <v>0</v>
      </c>
    </row>
    <row r="70" spans="1:11" x14ac:dyDescent="0.55000000000000004">
      <c r="A70" s="48" t="s">
        <v>473</v>
      </c>
      <c r="B70" s="115">
        <v>45383</v>
      </c>
      <c r="C70" s="70" t="s">
        <v>220</v>
      </c>
      <c r="D70" s="2" t="s">
        <v>39</v>
      </c>
      <c r="E70" s="1">
        <v>0</v>
      </c>
      <c r="F70" s="1">
        <v>0</v>
      </c>
      <c r="G70" s="1">
        <v>0</v>
      </c>
      <c r="H70" s="1">
        <v>0</v>
      </c>
      <c r="I70" s="1">
        <f t="shared" si="1"/>
        <v>0</v>
      </c>
      <c r="J70" s="1">
        <v>0</v>
      </c>
    </row>
    <row r="71" spans="1:11" x14ac:dyDescent="0.55000000000000004">
      <c r="A71" s="48" t="s">
        <v>474</v>
      </c>
      <c r="B71" s="115">
        <v>45383</v>
      </c>
      <c r="C71" s="70" t="s">
        <v>221</v>
      </c>
      <c r="D71" s="2" t="s">
        <v>36</v>
      </c>
      <c r="E71" s="1">
        <v>0</v>
      </c>
      <c r="F71" s="1">
        <v>0</v>
      </c>
      <c r="G71" s="1">
        <v>0</v>
      </c>
      <c r="H71" s="1">
        <v>0</v>
      </c>
      <c r="I71" s="1">
        <f t="shared" si="1"/>
        <v>0</v>
      </c>
      <c r="J71" s="1">
        <v>0</v>
      </c>
    </row>
    <row r="72" spans="1:11" x14ac:dyDescent="0.55000000000000004">
      <c r="A72" s="48" t="s">
        <v>475</v>
      </c>
      <c r="B72" s="115">
        <v>45413</v>
      </c>
      <c r="C72" s="70" t="s">
        <v>219</v>
      </c>
      <c r="D72" s="2" t="s">
        <v>68</v>
      </c>
      <c r="E72" s="1">
        <v>3</v>
      </c>
      <c r="F72" s="1">
        <v>0</v>
      </c>
      <c r="G72" s="1">
        <v>0</v>
      </c>
      <c r="H72" s="1">
        <v>0</v>
      </c>
      <c r="I72" s="1">
        <f t="shared" si="1"/>
        <v>3</v>
      </c>
      <c r="J72" s="1">
        <v>1</v>
      </c>
      <c r="K72" t="s">
        <v>521</v>
      </c>
    </row>
    <row r="73" spans="1:11" x14ac:dyDescent="0.55000000000000004">
      <c r="A73" s="48" t="s">
        <v>476</v>
      </c>
      <c r="B73" s="115">
        <v>45413</v>
      </c>
      <c r="C73" s="70" t="s">
        <v>220</v>
      </c>
      <c r="D73" s="2" t="s">
        <v>39</v>
      </c>
      <c r="E73" s="1">
        <v>0</v>
      </c>
      <c r="F73" s="1">
        <v>0</v>
      </c>
      <c r="G73" s="1">
        <v>0</v>
      </c>
      <c r="H73" s="1">
        <v>0</v>
      </c>
      <c r="I73" s="1">
        <f t="shared" si="1"/>
        <v>0</v>
      </c>
      <c r="J73" s="1">
        <v>0</v>
      </c>
    </row>
    <row r="74" spans="1:11" x14ac:dyDescent="0.55000000000000004">
      <c r="A74" s="48" t="s">
        <v>477</v>
      </c>
      <c r="B74" s="115">
        <v>45413</v>
      </c>
      <c r="C74" s="70" t="s">
        <v>221</v>
      </c>
      <c r="D74" s="2" t="s">
        <v>28</v>
      </c>
      <c r="E74" s="1">
        <v>0</v>
      </c>
      <c r="F74" s="1">
        <v>0</v>
      </c>
      <c r="G74" s="1">
        <v>0</v>
      </c>
      <c r="H74" s="1">
        <v>0</v>
      </c>
      <c r="I74" s="1">
        <f t="shared" si="1"/>
        <v>0</v>
      </c>
      <c r="J74" s="1">
        <v>0</v>
      </c>
    </row>
    <row r="75" spans="1:11" x14ac:dyDescent="0.55000000000000004">
      <c r="A75" s="48" t="s">
        <v>478</v>
      </c>
      <c r="B75" s="115">
        <v>45413</v>
      </c>
      <c r="C75" s="70" t="s">
        <v>219</v>
      </c>
      <c r="D75" s="2" t="s">
        <v>39</v>
      </c>
      <c r="E75" s="1">
        <v>0</v>
      </c>
      <c r="F75" s="1">
        <v>0</v>
      </c>
      <c r="G75" s="1">
        <v>0</v>
      </c>
      <c r="H75" s="1">
        <v>0</v>
      </c>
      <c r="I75" s="1">
        <f t="shared" si="1"/>
        <v>0</v>
      </c>
      <c r="J75" s="1">
        <v>0</v>
      </c>
    </row>
    <row r="76" spans="1:11" x14ac:dyDescent="0.55000000000000004">
      <c r="A76" s="48" t="s">
        <v>479</v>
      </c>
      <c r="B76" s="115">
        <v>45444</v>
      </c>
      <c r="C76" s="70" t="s">
        <v>219</v>
      </c>
      <c r="D76" s="2" t="s">
        <v>68</v>
      </c>
      <c r="E76" s="1">
        <v>2</v>
      </c>
      <c r="F76" s="1">
        <v>0</v>
      </c>
      <c r="G76" s="1">
        <v>0</v>
      </c>
      <c r="H76" s="1">
        <v>0</v>
      </c>
      <c r="I76" s="1">
        <f t="shared" si="1"/>
        <v>2</v>
      </c>
      <c r="J76" s="1">
        <v>0</v>
      </c>
    </row>
    <row r="77" spans="1:11" x14ac:dyDescent="0.55000000000000004">
      <c r="A77" s="48" t="s">
        <v>517</v>
      </c>
      <c r="B77" s="115">
        <v>45444</v>
      </c>
      <c r="C77" s="70" t="s">
        <v>220</v>
      </c>
      <c r="D77" s="2" t="s">
        <v>28</v>
      </c>
      <c r="E77" s="1">
        <v>0</v>
      </c>
      <c r="F77" s="1">
        <v>0</v>
      </c>
      <c r="G77" s="1">
        <v>0</v>
      </c>
      <c r="H77" s="1">
        <v>0</v>
      </c>
      <c r="I77" s="1">
        <f t="shared" si="1"/>
        <v>0</v>
      </c>
      <c r="J77" s="1">
        <v>0</v>
      </c>
    </row>
    <row r="78" spans="1:11" x14ac:dyDescent="0.55000000000000004">
      <c r="A78" s="48" t="s">
        <v>518</v>
      </c>
      <c r="B78" s="115">
        <v>45444</v>
      </c>
      <c r="C78" s="70" t="s">
        <v>221</v>
      </c>
      <c r="D78" s="2" t="s">
        <v>36</v>
      </c>
      <c r="E78" s="1">
        <v>0</v>
      </c>
      <c r="F78" s="1">
        <v>0</v>
      </c>
      <c r="G78" s="1">
        <v>0</v>
      </c>
      <c r="H78" s="1">
        <v>0</v>
      </c>
      <c r="I78" s="1">
        <f t="shared" si="1"/>
        <v>0</v>
      </c>
      <c r="J78" s="1">
        <v>0</v>
      </c>
    </row>
    <row r="79" spans="1:11" x14ac:dyDescent="0.55000000000000004">
      <c r="A79" s="62" t="s">
        <v>519</v>
      </c>
      <c r="B79" s="115">
        <v>45444</v>
      </c>
      <c r="C79" s="84" t="s">
        <v>219</v>
      </c>
      <c r="D79" s="38" t="s">
        <v>68</v>
      </c>
      <c r="E79" s="39">
        <v>0</v>
      </c>
      <c r="F79" s="39">
        <v>0</v>
      </c>
      <c r="G79" s="39">
        <v>0</v>
      </c>
      <c r="H79" s="39">
        <v>0</v>
      </c>
      <c r="I79" s="1">
        <f t="shared" si="1"/>
        <v>0</v>
      </c>
      <c r="J79" s="39">
        <v>0</v>
      </c>
    </row>
    <row r="80" spans="1:11" x14ac:dyDescent="0.55000000000000004">
      <c r="A80" s="88" t="s">
        <v>542</v>
      </c>
      <c r="B80" s="115">
        <v>45444</v>
      </c>
      <c r="C80" s="70" t="s">
        <v>220</v>
      </c>
      <c r="D80" s="2" t="s">
        <v>29</v>
      </c>
      <c r="E80" s="1">
        <v>1</v>
      </c>
      <c r="F80" s="1">
        <v>0</v>
      </c>
      <c r="G80" s="1">
        <v>0</v>
      </c>
      <c r="H80" s="1">
        <v>0</v>
      </c>
      <c r="I80" s="1">
        <f t="shared" si="1"/>
        <v>1</v>
      </c>
      <c r="J80" s="1">
        <v>0</v>
      </c>
    </row>
    <row r="81" spans="1:10" x14ac:dyDescent="0.55000000000000004">
      <c r="A81" s="88" t="s">
        <v>543</v>
      </c>
      <c r="B81" s="115">
        <v>45444</v>
      </c>
      <c r="C81" s="70" t="s">
        <v>221</v>
      </c>
      <c r="D81" s="2" t="s">
        <v>36</v>
      </c>
      <c r="E81" s="1">
        <v>2</v>
      </c>
      <c r="F81" s="1">
        <v>0</v>
      </c>
      <c r="G81" s="1">
        <v>0</v>
      </c>
      <c r="H81" s="1">
        <v>0</v>
      </c>
      <c r="I81" s="1">
        <f t="shared" si="1"/>
        <v>2</v>
      </c>
      <c r="J81" s="1">
        <v>0</v>
      </c>
    </row>
    <row r="82" spans="1:10" x14ac:dyDescent="0.55000000000000004">
      <c r="A82" s="88" t="s">
        <v>581</v>
      </c>
      <c r="B82" s="115">
        <v>45474</v>
      </c>
      <c r="C82" s="70" t="s">
        <v>219</v>
      </c>
      <c r="D82" s="2" t="s">
        <v>68</v>
      </c>
      <c r="E82" s="1">
        <v>1</v>
      </c>
      <c r="F82" s="1">
        <v>0</v>
      </c>
      <c r="G82" s="1">
        <v>0</v>
      </c>
      <c r="H82" s="1">
        <v>0</v>
      </c>
      <c r="I82" s="1">
        <f t="shared" si="1"/>
        <v>1</v>
      </c>
      <c r="J82" s="1">
        <v>0</v>
      </c>
    </row>
    <row r="83" spans="1:10" x14ac:dyDescent="0.55000000000000004">
      <c r="A83" s="88" t="s">
        <v>582</v>
      </c>
      <c r="B83" s="115">
        <v>45474</v>
      </c>
      <c r="C83" s="70" t="s">
        <v>220</v>
      </c>
      <c r="D83" s="2" t="s">
        <v>28</v>
      </c>
      <c r="E83" s="1">
        <v>0</v>
      </c>
      <c r="F83" s="1">
        <v>0</v>
      </c>
      <c r="G83" s="1">
        <v>0</v>
      </c>
      <c r="H83" s="1">
        <v>0</v>
      </c>
      <c r="I83" s="1">
        <f t="shared" si="1"/>
        <v>0</v>
      </c>
      <c r="J83" s="1">
        <v>0</v>
      </c>
    </row>
    <row r="84" spans="1:10" x14ac:dyDescent="0.55000000000000004">
      <c r="A84" s="88" t="s">
        <v>583</v>
      </c>
      <c r="B84" s="115">
        <v>45474</v>
      </c>
      <c r="C84" s="70" t="s">
        <v>221</v>
      </c>
      <c r="D84" s="2" t="s">
        <v>320</v>
      </c>
      <c r="E84" s="1">
        <v>6</v>
      </c>
      <c r="F84" s="1">
        <v>0</v>
      </c>
      <c r="G84" s="1">
        <v>0</v>
      </c>
      <c r="H84" s="1">
        <v>0</v>
      </c>
      <c r="I84" s="1">
        <f t="shared" si="1"/>
        <v>6</v>
      </c>
      <c r="J84" s="1">
        <v>0</v>
      </c>
    </row>
    <row r="85" spans="1:10" x14ac:dyDescent="0.55000000000000004">
      <c r="A85" s="88" t="s">
        <v>584</v>
      </c>
      <c r="B85" s="115">
        <v>45474</v>
      </c>
      <c r="C85" s="70" t="s">
        <v>219</v>
      </c>
      <c r="D85" s="2" t="s">
        <v>68</v>
      </c>
      <c r="E85" s="1">
        <v>0</v>
      </c>
      <c r="F85" s="1">
        <v>0</v>
      </c>
      <c r="G85" s="1">
        <v>0</v>
      </c>
      <c r="H85" s="1">
        <v>0</v>
      </c>
      <c r="I85" s="1">
        <f t="shared" si="1"/>
        <v>0</v>
      </c>
      <c r="J85" s="1">
        <v>0</v>
      </c>
    </row>
    <row r="86" spans="1:10" x14ac:dyDescent="0.55000000000000004">
      <c r="A86" s="88" t="s">
        <v>585</v>
      </c>
      <c r="B86" s="115">
        <v>45474</v>
      </c>
      <c r="C86" s="70" t="s">
        <v>220</v>
      </c>
      <c r="D86" s="2" t="s">
        <v>29</v>
      </c>
      <c r="E86" s="1">
        <v>0</v>
      </c>
      <c r="F86" s="1">
        <v>0</v>
      </c>
      <c r="G86" s="1">
        <v>0</v>
      </c>
      <c r="H86" s="1">
        <v>0</v>
      </c>
      <c r="I86" s="1">
        <f t="shared" si="1"/>
        <v>0</v>
      </c>
      <c r="J86" s="1">
        <v>0</v>
      </c>
    </row>
    <row r="87" spans="1:10" x14ac:dyDescent="0.55000000000000004">
      <c r="A87" s="88" t="s">
        <v>586</v>
      </c>
      <c r="B87" s="115">
        <v>45474</v>
      </c>
      <c r="C87" s="70" t="s">
        <v>221</v>
      </c>
      <c r="D87" s="2" t="s">
        <v>320</v>
      </c>
      <c r="E87" s="1">
        <v>3</v>
      </c>
      <c r="F87" s="1">
        <v>0</v>
      </c>
      <c r="G87" s="1">
        <v>0</v>
      </c>
      <c r="H87" s="1">
        <v>0</v>
      </c>
      <c r="I87" s="1">
        <f t="shared" si="1"/>
        <v>3</v>
      </c>
      <c r="J87" s="1">
        <v>0</v>
      </c>
    </row>
    <row r="88" spans="1:10" x14ac:dyDescent="0.55000000000000004">
      <c r="A88" s="88" t="s">
        <v>587</v>
      </c>
      <c r="B88" s="115">
        <v>45474</v>
      </c>
      <c r="C88" s="70" t="s">
        <v>219</v>
      </c>
      <c r="D88" s="2" t="s">
        <v>68</v>
      </c>
      <c r="E88" s="1">
        <v>0</v>
      </c>
      <c r="F88" s="1">
        <v>0</v>
      </c>
      <c r="G88" s="1">
        <v>0</v>
      </c>
      <c r="H88" s="1">
        <v>0</v>
      </c>
      <c r="I88" s="1">
        <f t="shared" si="1"/>
        <v>0</v>
      </c>
      <c r="J88" s="1">
        <v>0</v>
      </c>
    </row>
    <row r="89" spans="1:10" x14ac:dyDescent="0.55000000000000004">
      <c r="A89" s="91" t="s">
        <v>588</v>
      </c>
      <c r="B89" s="115">
        <v>45474</v>
      </c>
      <c r="C89" s="84" t="s">
        <v>220</v>
      </c>
      <c r="D89" s="38" t="s">
        <v>28</v>
      </c>
      <c r="E89" s="39">
        <v>0</v>
      </c>
      <c r="F89" s="39">
        <v>0</v>
      </c>
      <c r="G89" s="39">
        <v>0</v>
      </c>
      <c r="H89" s="39">
        <v>0</v>
      </c>
      <c r="I89" s="1">
        <f t="shared" si="1"/>
        <v>0</v>
      </c>
      <c r="J89" s="1">
        <v>0</v>
      </c>
    </row>
    <row r="90" spans="1:10" x14ac:dyDescent="0.55000000000000004">
      <c r="A90" s="88" t="s">
        <v>589</v>
      </c>
      <c r="B90" s="115">
        <v>45474</v>
      </c>
      <c r="C90" s="70" t="s">
        <v>221</v>
      </c>
      <c r="D90" s="2" t="s">
        <v>320</v>
      </c>
      <c r="E90" s="1">
        <v>6</v>
      </c>
      <c r="F90" s="1">
        <v>0</v>
      </c>
      <c r="G90" s="1">
        <v>0</v>
      </c>
      <c r="H90" s="1">
        <v>0</v>
      </c>
      <c r="I90" s="1">
        <f t="shared" si="1"/>
        <v>6</v>
      </c>
      <c r="J90" s="1">
        <v>0</v>
      </c>
    </row>
    <row r="91" spans="1:10" x14ac:dyDescent="0.55000000000000004">
      <c r="A91" s="88" t="s">
        <v>599</v>
      </c>
      <c r="B91" s="115">
        <v>45505</v>
      </c>
      <c r="C91" s="70" t="s">
        <v>219</v>
      </c>
      <c r="D91" s="2" t="s">
        <v>68</v>
      </c>
      <c r="E91" s="1">
        <v>7</v>
      </c>
      <c r="F91" s="1">
        <v>0</v>
      </c>
      <c r="G91" s="1">
        <v>0</v>
      </c>
      <c r="H91" s="1">
        <v>0</v>
      </c>
      <c r="I91" s="1">
        <f t="shared" si="1"/>
        <v>7</v>
      </c>
      <c r="J91" s="1">
        <v>0</v>
      </c>
    </row>
    <row r="92" spans="1:10" x14ac:dyDescent="0.55000000000000004">
      <c r="A92" s="88" t="s">
        <v>600</v>
      </c>
      <c r="B92" s="115">
        <v>45505</v>
      </c>
      <c r="C92" s="70" t="s">
        <v>219</v>
      </c>
      <c r="D92" s="2" t="s">
        <v>29</v>
      </c>
      <c r="E92" s="1">
        <v>2</v>
      </c>
      <c r="F92" s="1">
        <v>0</v>
      </c>
      <c r="G92" s="1">
        <v>0</v>
      </c>
      <c r="H92" s="1">
        <v>0</v>
      </c>
      <c r="I92" s="1">
        <f t="shared" si="1"/>
        <v>2</v>
      </c>
      <c r="J92" s="1">
        <v>0</v>
      </c>
    </row>
    <row r="93" spans="1:10" x14ac:dyDescent="0.55000000000000004">
      <c r="A93" s="88" t="s">
        <v>601</v>
      </c>
      <c r="B93" s="115">
        <v>45505</v>
      </c>
      <c r="C93" s="70" t="s">
        <v>220</v>
      </c>
      <c r="D93" s="2" t="s">
        <v>28</v>
      </c>
      <c r="E93" s="1">
        <v>0</v>
      </c>
      <c r="F93" s="1">
        <v>0</v>
      </c>
      <c r="G93" s="1">
        <v>0</v>
      </c>
      <c r="H93" s="1">
        <v>0</v>
      </c>
      <c r="I93" s="1">
        <f t="shared" si="1"/>
        <v>0</v>
      </c>
      <c r="J93" s="1">
        <v>0</v>
      </c>
    </row>
    <row r="94" spans="1:10" x14ac:dyDescent="0.55000000000000004">
      <c r="A94" s="88" t="s">
        <v>602</v>
      </c>
      <c r="B94" s="115">
        <v>45505</v>
      </c>
      <c r="C94" s="70" t="s">
        <v>221</v>
      </c>
      <c r="D94" s="2" t="s">
        <v>320</v>
      </c>
      <c r="E94" s="1">
        <v>1</v>
      </c>
      <c r="F94" s="1">
        <v>0</v>
      </c>
      <c r="G94" s="1">
        <v>0</v>
      </c>
      <c r="H94" s="1">
        <v>0</v>
      </c>
      <c r="I94" s="1">
        <f t="shared" si="1"/>
        <v>1</v>
      </c>
      <c r="J94" s="1">
        <v>0</v>
      </c>
    </row>
    <row r="95" spans="1:10" x14ac:dyDescent="0.55000000000000004">
      <c r="A95" s="88" t="s">
        <v>639</v>
      </c>
      <c r="B95" s="115">
        <v>45536</v>
      </c>
      <c r="C95" s="70" t="s">
        <v>219</v>
      </c>
      <c r="D95" s="2" t="s">
        <v>68</v>
      </c>
      <c r="E95" s="1">
        <v>0</v>
      </c>
      <c r="F95" s="1">
        <v>0</v>
      </c>
      <c r="G95" s="1">
        <v>0</v>
      </c>
      <c r="H95" s="1">
        <v>0</v>
      </c>
      <c r="I95" s="1">
        <f t="shared" si="1"/>
        <v>0</v>
      </c>
      <c r="J95" s="1">
        <v>0</v>
      </c>
    </row>
    <row r="96" spans="1:10" x14ac:dyDescent="0.55000000000000004">
      <c r="A96" s="88" t="s">
        <v>640</v>
      </c>
      <c r="B96" s="115">
        <v>45536</v>
      </c>
      <c r="C96" s="70" t="s">
        <v>220</v>
      </c>
      <c r="D96" s="2" t="s">
        <v>29</v>
      </c>
      <c r="E96" s="1">
        <v>0</v>
      </c>
      <c r="F96" s="1">
        <v>0</v>
      </c>
      <c r="G96" s="1">
        <v>0</v>
      </c>
      <c r="H96" s="1">
        <v>0</v>
      </c>
      <c r="I96" s="1">
        <f t="shared" si="1"/>
        <v>0</v>
      </c>
      <c r="J96" s="1">
        <v>0</v>
      </c>
    </row>
    <row r="97" spans="1:10" x14ac:dyDescent="0.55000000000000004">
      <c r="A97" s="88" t="s">
        <v>641</v>
      </c>
      <c r="B97" s="115">
        <v>45536</v>
      </c>
      <c r="C97" s="70" t="s">
        <v>221</v>
      </c>
      <c r="D97" s="2" t="s">
        <v>320</v>
      </c>
      <c r="E97" s="1">
        <v>6</v>
      </c>
      <c r="F97" s="1">
        <v>0</v>
      </c>
      <c r="G97" s="1">
        <v>1</v>
      </c>
      <c r="H97" s="1">
        <v>0</v>
      </c>
      <c r="I97" s="1">
        <f t="shared" si="1"/>
        <v>6</v>
      </c>
      <c r="J97" s="1">
        <v>0</v>
      </c>
    </row>
    <row r="98" spans="1:10" x14ac:dyDescent="0.55000000000000004">
      <c r="A98" s="88" t="s">
        <v>642</v>
      </c>
      <c r="B98" s="115">
        <v>45536</v>
      </c>
      <c r="C98" s="70" t="s">
        <v>219</v>
      </c>
      <c r="D98" s="2" t="s">
        <v>68</v>
      </c>
      <c r="E98" s="1">
        <v>1</v>
      </c>
      <c r="F98" s="1">
        <v>0</v>
      </c>
      <c r="G98" s="1">
        <v>0</v>
      </c>
      <c r="H98" s="1">
        <v>0</v>
      </c>
      <c r="I98" s="1">
        <f t="shared" si="1"/>
        <v>1</v>
      </c>
      <c r="J98" s="1">
        <v>0</v>
      </c>
    </row>
    <row r="99" spans="1:10" x14ac:dyDescent="0.55000000000000004">
      <c r="A99" s="91" t="s">
        <v>643</v>
      </c>
      <c r="B99" s="115">
        <v>45536</v>
      </c>
      <c r="C99" s="84" t="s">
        <v>220</v>
      </c>
      <c r="D99" s="38" t="s">
        <v>28</v>
      </c>
      <c r="E99" s="39">
        <v>0</v>
      </c>
      <c r="F99" s="39">
        <v>0</v>
      </c>
      <c r="G99" s="39">
        <v>0</v>
      </c>
      <c r="H99" s="39">
        <v>0</v>
      </c>
      <c r="I99" s="1">
        <f t="shared" si="1"/>
        <v>0</v>
      </c>
      <c r="J99" s="39">
        <v>0</v>
      </c>
    </row>
    <row r="100" spans="1:10" x14ac:dyDescent="0.55000000000000004">
      <c r="A100" s="88" t="s">
        <v>644</v>
      </c>
      <c r="B100" s="115">
        <v>45536</v>
      </c>
      <c r="C100" s="70" t="s">
        <v>221</v>
      </c>
      <c r="D100" s="2" t="s">
        <v>29</v>
      </c>
      <c r="E100" s="1">
        <v>0</v>
      </c>
      <c r="F100" s="1">
        <v>0</v>
      </c>
      <c r="G100" s="1">
        <v>0</v>
      </c>
      <c r="H100" s="1">
        <v>0</v>
      </c>
      <c r="I100" s="1">
        <f t="shared" si="1"/>
        <v>0</v>
      </c>
      <c r="J100" s="1">
        <v>0</v>
      </c>
    </row>
    <row r="101" spans="1:10" x14ac:dyDescent="0.55000000000000004">
      <c r="A101" s="48"/>
      <c r="B101" s="48"/>
      <c r="C101" s="70"/>
      <c r="D101" s="2"/>
      <c r="E101" s="1"/>
      <c r="F101" s="1"/>
      <c r="G101" s="1"/>
      <c r="H101" s="1"/>
      <c r="I101" s="1"/>
      <c r="J101" s="1"/>
    </row>
    <row r="102" spans="1:10" x14ac:dyDescent="0.55000000000000004">
      <c r="A102" s="48"/>
      <c r="B102" s="48"/>
      <c r="C102" s="70"/>
      <c r="D102" s="2"/>
      <c r="E102" s="1"/>
      <c r="F102" s="1"/>
      <c r="G102" s="1"/>
      <c r="H102" s="1"/>
      <c r="I102" s="1"/>
      <c r="J102" s="1"/>
    </row>
    <row r="103" spans="1:10" x14ac:dyDescent="0.55000000000000004">
      <c r="A103" s="48"/>
      <c r="B103" s="48"/>
      <c r="C103" s="70"/>
      <c r="D103" s="2"/>
      <c r="E103" s="1"/>
      <c r="F103" s="1"/>
      <c r="G103" s="1"/>
      <c r="H103" s="1"/>
      <c r="I103" s="1"/>
      <c r="J103" s="1"/>
    </row>
    <row r="104" spans="1:10" x14ac:dyDescent="0.55000000000000004">
      <c r="A104" s="48"/>
      <c r="B104" s="48"/>
      <c r="C104" s="70"/>
      <c r="D104" s="2"/>
      <c r="E104" s="1"/>
      <c r="F104" s="1"/>
      <c r="G104" s="1"/>
      <c r="H104" s="1"/>
      <c r="I104" s="1"/>
      <c r="J104" s="1"/>
    </row>
    <row r="105" spans="1:10" x14ac:dyDescent="0.55000000000000004">
      <c r="A105" s="48"/>
      <c r="B105" s="48"/>
      <c r="C105" s="70"/>
      <c r="D105" s="2"/>
      <c r="E105" s="1"/>
      <c r="F105" s="1"/>
      <c r="G105" s="1"/>
      <c r="H105" s="1"/>
      <c r="I105" s="1"/>
      <c r="J105" s="1"/>
    </row>
    <row r="106" spans="1:10" x14ac:dyDescent="0.55000000000000004">
      <c r="A106" s="48"/>
      <c r="B106" s="48"/>
      <c r="C106" s="70"/>
      <c r="D106" s="2"/>
      <c r="E106" s="1"/>
      <c r="F106" s="1"/>
      <c r="G106" s="1"/>
      <c r="H106" s="1"/>
      <c r="I106" s="1"/>
      <c r="J106" s="1"/>
    </row>
    <row r="107" spans="1:10" x14ac:dyDescent="0.55000000000000004">
      <c r="A107" s="48"/>
      <c r="B107" s="48"/>
      <c r="C107" s="70"/>
      <c r="D107" s="2"/>
      <c r="E107" s="1"/>
      <c r="F107" s="1"/>
      <c r="G107" s="1"/>
      <c r="H107" s="1"/>
      <c r="I107" s="1"/>
      <c r="J107" s="1"/>
    </row>
    <row r="108" spans="1:10" x14ac:dyDescent="0.55000000000000004">
      <c r="A108" s="48"/>
      <c r="B108" s="48"/>
      <c r="C108" s="70"/>
      <c r="D108" s="2"/>
      <c r="E108" s="1"/>
      <c r="F108" s="1"/>
      <c r="G108" s="1"/>
      <c r="H108" s="1"/>
      <c r="I108" s="1"/>
      <c r="J108" s="1"/>
    </row>
    <row r="109" spans="1:10" x14ac:dyDescent="0.55000000000000004">
      <c r="A109" s="48"/>
      <c r="B109" s="48"/>
      <c r="C109" s="70"/>
      <c r="D109" s="2"/>
      <c r="E109" s="1"/>
      <c r="F109" s="1"/>
      <c r="G109" s="1"/>
      <c r="H109" s="1"/>
      <c r="I109" s="1"/>
      <c r="J109" s="1"/>
    </row>
    <row r="110" spans="1:10" x14ac:dyDescent="0.55000000000000004">
      <c r="A110" s="48"/>
      <c r="B110" s="48"/>
      <c r="C110" s="70"/>
      <c r="D110" s="2"/>
      <c r="E110" s="1"/>
      <c r="F110" s="1"/>
      <c r="G110" s="1"/>
      <c r="H110" s="1"/>
      <c r="I110" s="1"/>
      <c r="J110" s="1"/>
    </row>
    <row r="111" spans="1:10" x14ac:dyDescent="0.55000000000000004">
      <c r="A111" s="48"/>
      <c r="B111" s="48"/>
      <c r="C111" s="70"/>
      <c r="D111" s="2"/>
      <c r="E111" s="1"/>
      <c r="F111" s="1"/>
      <c r="G111" s="1"/>
      <c r="H111" s="1"/>
      <c r="I111" s="1"/>
      <c r="J111" s="1"/>
    </row>
    <row r="112" spans="1:10" x14ac:dyDescent="0.55000000000000004">
      <c r="A112" s="48"/>
      <c r="B112" s="48"/>
      <c r="C112" s="70"/>
      <c r="D112" s="2"/>
      <c r="E112" s="1"/>
      <c r="F112" s="1"/>
      <c r="G112" s="1"/>
      <c r="H112" s="1"/>
      <c r="I112" s="1"/>
      <c r="J112" s="1"/>
    </row>
    <row r="113" spans="1:11" x14ac:dyDescent="0.55000000000000004">
      <c r="A113" s="48"/>
      <c r="B113" s="48"/>
      <c r="C113" s="70"/>
      <c r="D113" s="2"/>
      <c r="E113" s="1"/>
      <c r="F113" s="1"/>
      <c r="G113" s="1"/>
      <c r="H113" s="1"/>
      <c r="I113" s="1"/>
      <c r="J113" s="1"/>
    </row>
    <row r="114" spans="1:11" x14ac:dyDescent="0.55000000000000004">
      <c r="A114" s="48"/>
      <c r="B114" s="48"/>
      <c r="C114" s="70"/>
      <c r="D114" s="2"/>
      <c r="E114" s="1"/>
      <c r="F114" s="1"/>
      <c r="G114" s="1"/>
      <c r="H114" s="1"/>
      <c r="I114" s="1"/>
      <c r="J114" s="1"/>
    </row>
    <row r="115" spans="1:11" x14ac:dyDescent="0.55000000000000004">
      <c r="A115" s="48"/>
      <c r="B115" s="48"/>
      <c r="C115" s="70"/>
      <c r="D115" s="2"/>
      <c r="E115" s="1"/>
      <c r="F115" s="1"/>
      <c r="G115" s="1"/>
      <c r="H115" s="1"/>
      <c r="I115" s="1"/>
      <c r="J115" s="1"/>
    </row>
    <row r="116" spans="1:11" x14ac:dyDescent="0.55000000000000004">
      <c r="A116" s="48"/>
      <c r="B116" s="48"/>
      <c r="C116" s="70"/>
      <c r="D116" s="2"/>
      <c r="E116" s="1"/>
      <c r="F116" s="1"/>
      <c r="G116" s="1"/>
      <c r="H116" s="1"/>
      <c r="I116" s="1"/>
      <c r="J116" s="1"/>
    </row>
    <row r="117" spans="1:11" x14ac:dyDescent="0.55000000000000004">
      <c r="A117" s="48"/>
      <c r="B117" s="48"/>
      <c r="C117" s="70"/>
      <c r="D117" s="2"/>
      <c r="E117" s="1"/>
      <c r="F117" s="1"/>
      <c r="G117" s="1"/>
      <c r="H117" s="1"/>
      <c r="I117" s="1"/>
      <c r="J117" s="1"/>
    </row>
    <row r="118" spans="1:11" x14ac:dyDescent="0.55000000000000004">
      <c r="A118" s="48"/>
      <c r="B118" s="48"/>
      <c r="C118" s="70"/>
      <c r="D118" s="2"/>
      <c r="E118" s="1"/>
      <c r="F118" s="1"/>
      <c r="G118" s="1"/>
      <c r="H118" s="1"/>
      <c r="I118" s="1"/>
      <c r="J118" s="1"/>
    </row>
    <row r="119" spans="1:11" x14ac:dyDescent="0.55000000000000004">
      <c r="A119" s="62"/>
      <c r="B119" s="62"/>
      <c r="C119" s="84"/>
      <c r="D119" s="38"/>
      <c r="E119" s="39"/>
      <c r="F119" s="39"/>
      <c r="G119" s="39"/>
      <c r="H119" s="39"/>
      <c r="I119" s="39"/>
      <c r="J119" s="39"/>
    </row>
    <row r="120" spans="1:11" x14ac:dyDescent="0.55000000000000004">
      <c r="A120" s="41" t="s">
        <v>86</v>
      </c>
      <c r="B120" s="41"/>
      <c r="C120" s="41"/>
      <c r="D120" s="38"/>
      <c r="E120" s="39">
        <f>SUBTOTAL(109,テーブル13[ケアレスミス])</f>
        <v>103</v>
      </c>
      <c r="F120" s="1">
        <f>SUBTOTAL(109,テーブル13[解釈])</f>
        <v>7</v>
      </c>
      <c r="G120" s="1">
        <f>SUBTOTAL(109,テーブル13[マニュアル])</f>
        <v>1</v>
      </c>
      <c r="H120" s="1">
        <f>SUBTOTAL(109,テーブル13[その他])</f>
        <v>1</v>
      </c>
      <c r="I120" s="1">
        <f>SUBTOTAL(109,テーブル13[FB数合計])</f>
        <v>110</v>
      </c>
      <c r="J120" s="1">
        <f>SUBTOTAL(109,テーブル13[インシデント])</f>
        <v>2</v>
      </c>
      <c r="K120" s="79"/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094D2-7ED2-4278-A577-21CB36F46966}">
  <sheetPr codeName="Sheet26">
    <tabColor theme="7" tint="-0.249977111117893"/>
  </sheetPr>
  <dimension ref="B3:R170"/>
  <sheetViews>
    <sheetView topLeftCell="B161" workbookViewId="0">
      <selection activeCell="C175" sqref="C175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  <col min="19" max="20" width="10.25" bestFit="1" customWidth="1"/>
    <col min="21" max="23" width="11.3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445</v>
      </c>
    </row>
    <row r="22" spans="2:18" x14ac:dyDescent="0.55000000000000004">
      <c r="C22" s="28"/>
    </row>
    <row r="27" spans="2:18" x14ac:dyDescent="0.55000000000000004">
      <c r="B27" s="1" t="s">
        <v>67</v>
      </c>
      <c r="C27" s="44">
        <v>45383</v>
      </c>
      <c r="D27" s="44">
        <v>45413</v>
      </c>
      <c r="E27" s="44">
        <v>45444</v>
      </c>
      <c r="F27" s="44">
        <v>45474</v>
      </c>
      <c r="G27" s="44">
        <v>45505</v>
      </c>
      <c r="H27" s="44">
        <v>45536</v>
      </c>
      <c r="I27" s="44">
        <v>45566</v>
      </c>
      <c r="J27" s="44">
        <v>45597</v>
      </c>
      <c r="K27" s="44">
        <v>45627</v>
      </c>
      <c r="L27" s="44">
        <v>45658</v>
      </c>
      <c r="M27" s="44">
        <v>45689</v>
      </c>
      <c r="N27" s="44">
        <v>45717</v>
      </c>
      <c r="O27" s="44">
        <v>45748</v>
      </c>
      <c r="P27" s="44">
        <v>45778</v>
      </c>
      <c r="Q27" s="44">
        <v>45809</v>
      </c>
      <c r="R27" s="44">
        <v>45839</v>
      </c>
    </row>
    <row r="28" spans="2:18" x14ac:dyDescent="0.55000000000000004">
      <c r="B28" s="1" t="s">
        <v>39</v>
      </c>
      <c r="C28" s="1">
        <v>0</v>
      </c>
      <c r="D28" s="1">
        <v>0</v>
      </c>
      <c r="E28" s="1">
        <v>1</v>
      </c>
      <c r="F28" s="1">
        <v>0</v>
      </c>
      <c r="G28" s="1">
        <v>2</v>
      </c>
      <c r="H28" s="1">
        <v>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2:18" x14ac:dyDescent="0.55000000000000004">
      <c r="B29" s="1" t="s">
        <v>28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2:18" x14ac:dyDescent="0.55000000000000004">
      <c r="B30" s="1" t="s">
        <v>66</v>
      </c>
      <c r="C30" s="1">
        <v>2</v>
      </c>
      <c r="D30" s="1">
        <v>0</v>
      </c>
      <c r="E30" s="1">
        <v>2</v>
      </c>
      <c r="F30" s="1">
        <v>0</v>
      </c>
      <c r="G30" s="1">
        <v>0</v>
      </c>
      <c r="H30" s="1">
        <v>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2:18" x14ac:dyDescent="0.55000000000000004">
      <c r="B31" s="1" t="s">
        <v>68</v>
      </c>
      <c r="C31" s="1">
        <v>1</v>
      </c>
      <c r="D31" s="1">
        <v>0</v>
      </c>
      <c r="E31" s="1">
        <v>2</v>
      </c>
      <c r="F31" s="1">
        <v>1</v>
      </c>
      <c r="G31" s="1">
        <v>7</v>
      </c>
      <c r="H31" s="1">
        <v>1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2:18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2:18" x14ac:dyDescent="0.55000000000000004">
      <c r="B33" s="1" t="s">
        <v>321</v>
      </c>
      <c r="C33" s="1">
        <v>2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2:18" x14ac:dyDescent="0.55000000000000004">
      <c r="B34" s="1" t="s">
        <v>320</v>
      </c>
      <c r="C34" s="1">
        <v>0</v>
      </c>
      <c r="D34" s="1">
        <v>0</v>
      </c>
      <c r="E34" s="1">
        <v>0</v>
      </c>
      <c r="F34" s="1">
        <v>15</v>
      </c>
      <c r="G34" s="1">
        <v>1</v>
      </c>
      <c r="H34" s="1">
        <v>6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2:18" x14ac:dyDescent="0.55000000000000004">
      <c r="B35" s="1" t="s">
        <v>646</v>
      </c>
      <c r="C35" s="1">
        <v>0</v>
      </c>
      <c r="D35" s="1">
        <v>0</v>
      </c>
      <c r="E35" s="1">
        <v>0</v>
      </c>
      <c r="F35" s="1">
        <v>15</v>
      </c>
      <c r="G35" s="1">
        <v>1</v>
      </c>
      <c r="H35" s="1">
        <v>6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40" spans="2:18" x14ac:dyDescent="0.55000000000000004">
      <c r="B40" s="43" t="s">
        <v>446</v>
      </c>
    </row>
    <row r="60" spans="2:18" x14ac:dyDescent="0.55000000000000004">
      <c r="B60" s="1" t="s">
        <v>67</v>
      </c>
      <c r="C60" s="44">
        <v>45383</v>
      </c>
      <c r="D60" s="44">
        <v>45413</v>
      </c>
      <c r="E60" s="44">
        <v>45444</v>
      </c>
      <c r="F60" s="44">
        <v>45474</v>
      </c>
      <c r="G60" s="44">
        <v>45505</v>
      </c>
      <c r="H60" s="44">
        <v>45536</v>
      </c>
      <c r="I60" s="44">
        <v>45566</v>
      </c>
      <c r="J60" s="44">
        <v>45597</v>
      </c>
      <c r="K60" s="44">
        <v>45627</v>
      </c>
      <c r="L60" s="44">
        <v>45658</v>
      </c>
      <c r="M60" s="44">
        <v>45689</v>
      </c>
      <c r="N60" s="44">
        <v>45717</v>
      </c>
      <c r="O60" s="44">
        <v>45748</v>
      </c>
      <c r="P60" s="44">
        <v>45778</v>
      </c>
      <c r="Q60" s="44">
        <v>45809</v>
      </c>
      <c r="R60" s="44">
        <v>45839</v>
      </c>
    </row>
    <row r="61" spans="2:18" x14ac:dyDescent="0.55000000000000004">
      <c r="B61" s="1" t="s">
        <v>39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2:18" x14ac:dyDescent="0.55000000000000004">
      <c r="B62" s="1" t="s">
        <v>28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2:18" x14ac:dyDescent="0.55000000000000004">
      <c r="B63" s="1" t="s">
        <v>66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2:18" x14ac:dyDescent="0.55000000000000004">
      <c r="B64" s="1" t="s">
        <v>68</v>
      </c>
      <c r="C64" s="1">
        <v>1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2:18" x14ac:dyDescent="0.55000000000000004">
      <c r="B65" s="1" t="s">
        <v>27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2:18" x14ac:dyDescent="0.55000000000000004">
      <c r="B66" s="1" t="s">
        <v>321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2:18" x14ac:dyDescent="0.55000000000000004">
      <c r="B67" s="1" t="s">
        <v>320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2:18" x14ac:dyDescent="0.55000000000000004">
      <c r="B68" s="1" t="s">
        <v>646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/>
      <c r="J68" s="1"/>
      <c r="K68" s="1"/>
      <c r="L68" s="1"/>
      <c r="M68" s="1"/>
      <c r="N68" s="1"/>
      <c r="O68" s="1"/>
      <c r="P68" s="1"/>
      <c r="Q68" s="1"/>
      <c r="R68" s="1"/>
    </row>
    <row r="72" spans="2:18" x14ac:dyDescent="0.55000000000000004">
      <c r="B72" s="43" t="s">
        <v>447</v>
      </c>
    </row>
    <row r="73" spans="2:18" x14ac:dyDescent="0.55000000000000004">
      <c r="B73" s="43"/>
    </row>
    <row r="74" spans="2:18" x14ac:dyDescent="0.55000000000000004">
      <c r="B74" s="43"/>
    </row>
    <row r="75" spans="2:18" x14ac:dyDescent="0.55000000000000004">
      <c r="B75" s="43"/>
    </row>
    <row r="76" spans="2:18" x14ac:dyDescent="0.55000000000000004">
      <c r="B76" s="43"/>
    </row>
    <row r="77" spans="2:18" x14ac:dyDescent="0.55000000000000004">
      <c r="B77" s="43"/>
    </row>
    <row r="78" spans="2:18" x14ac:dyDescent="0.55000000000000004">
      <c r="B78" s="43"/>
    </row>
    <row r="79" spans="2:18" x14ac:dyDescent="0.55000000000000004">
      <c r="B79" s="43"/>
    </row>
    <row r="80" spans="2:18" x14ac:dyDescent="0.55000000000000004">
      <c r="B80" s="43"/>
    </row>
    <row r="81" spans="2:18" x14ac:dyDescent="0.55000000000000004">
      <c r="B81" s="43"/>
    </row>
    <row r="82" spans="2:18" x14ac:dyDescent="0.55000000000000004">
      <c r="B82" s="43"/>
    </row>
    <row r="83" spans="2:18" x14ac:dyDescent="0.55000000000000004">
      <c r="B83" s="43"/>
    </row>
    <row r="84" spans="2:18" x14ac:dyDescent="0.55000000000000004">
      <c r="B84" s="43"/>
    </row>
    <row r="94" spans="2:18" x14ac:dyDescent="0.55000000000000004">
      <c r="B94" s="1" t="s">
        <v>67</v>
      </c>
      <c r="C94" s="44">
        <v>45383</v>
      </c>
      <c r="D94" s="44">
        <v>45413</v>
      </c>
      <c r="E94" s="44">
        <v>45444</v>
      </c>
      <c r="F94" s="44">
        <v>45474</v>
      </c>
      <c r="G94" s="44">
        <v>45505</v>
      </c>
      <c r="H94" s="44">
        <v>45536</v>
      </c>
      <c r="I94" s="44">
        <v>45566</v>
      </c>
      <c r="J94" s="44">
        <v>45597</v>
      </c>
      <c r="K94" s="44">
        <v>45627</v>
      </c>
      <c r="L94" s="44">
        <v>45658</v>
      </c>
      <c r="M94" s="44">
        <v>45689</v>
      </c>
      <c r="N94" s="44">
        <v>45717</v>
      </c>
      <c r="O94" s="44">
        <v>45748</v>
      </c>
      <c r="P94" s="44">
        <v>45778</v>
      </c>
      <c r="Q94" s="44">
        <v>45809</v>
      </c>
      <c r="R94" s="44">
        <v>45839</v>
      </c>
    </row>
    <row r="95" spans="2:18" x14ac:dyDescent="0.55000000000000004">
      <c r="B95" s="1" t="s">
        <v>39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2:18" x14ac:dyDescent="0.55000000000000004">
      <c r="B96" s="1" t="s">
        <v>28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2:18" x14ac:dyDescent="0.55000000000000004">
      <c r="B97" s="1" t="s">
        <v>66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2:18" x14ac:dyDescent="0.55000000000000004">
      <c r="B98" s="1" t="s">
        <v>68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2:18" x14ac:dyDescent="0.55000000000000004">
      <c r="B99" s="1" t="s">
        <v>27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2:18" x14ac:dyDescent="0.55000000000000004">
      <c r="B100" s="1" t="s">
        <v>321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2:18" x14ac:dyDescent="0.55000000000000004">
      <c r="B101" s="1" t="s">
        <v>320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1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2:18" x14ac:dyDescent="0.55000000000000004">
      <c r="B102" s="1" t="s">
        <v>646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1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6" spans="2:18" x14ac:dyDescent="0.55000000000000004">
      <c r="B106" s="43" t="s">
        <v>448</v>
      </c>
    </row>
    <row r="107" spans="2:18" x14ac:dyDescent="0.55000000000000004">
      <c r="B107" s="43"/>
    </row>
    <row r="108" spans="2:18" x14ac:dyDescent="0.55000000000000004">
      <c r="B108" s="43"/>
    </row>
    <row r="109" spans="2:18" x14ac:dyDescent="0.55000000000000004">
      <c r="B109" s="43"/>
    </row>
    <row r="110" spans="2:18" x14ac:dyDescent="0.55000000000000004">
      <c r="B110" s="43"/>
    </row>
    <row r="111" spans="2:18" x14ac:dyDescent="0.55000000000000004">
      <c r="B111" s="43"/>
    </row>
    <row r="112" spans="2:18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45383</v>
      </c>
      <c r="D128" s="44">
        <v>45413</v>
      </c>
      <c r="E128" s="44">
        <v>45444</v>
      </c>
      <c r="F128" s="44">
        <v>45474</v>
      </c>
      <c r="G128" s="44">
        <v>45505</v>
      </c>
      <c r="H128" s="44">
        <v>45536</v>
      </c>
      <c r="I128" s="44">
        <v>45566</v>
      </c>
      <c r="J128" s="44">
        <v>45597</v>
      </c>
      <c r="K128" s="44">
        <v>45627</v>
      </c>
      <c r="L128" s="44">
        <v>45658</v>
      </c>
      <c r="M128" s="44">
        <v>45689</v>
      </c>
      <c r="N128" s="44">
        <v>45717</v>
      </c>
      <c r="O128" s="44">
        <v>45748</v>
      </c>
      <c r="P128" s="44">
        <v>45778</v>
      </c>
      <c r="Q128" s="44">
        <v>45809</v>
      </c>
      <c r="R128" s="44">
        <v>45839</v>
      </c>
    </row>
    <row r="129" spans="2:18" x14ac:dyDescent="0.55000000000000004">
      <c r="B129" s="1" t="s">
        <v>39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2:18" x14ac:dyDescent="0.55000000000000004">
      <c r="B130" s="1" t="s">
        <v>28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55000000000000004">
      <c r="B131" s="1" t="s">
        <v>66</v>
      </c>
      <c r="C131" s="1">
        <v>1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2:18" x14ac:dyDescent="0.55000000000000004">
      <c r="B132" s="1" t="s">
        <v>68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2:18" x14ac:dyDescent="0.55000000000000004">
      <c r="B133" s="1" t="s">
        <v>27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2:18" x14ac:dyDescent="0.55000000000000004">
      <c r="B134" s="1" t="s">
        <v>321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2:18" x14ac:dyDescent="0.55000000000000004">
      <c r="B135" s="1" t="s">
        <v>320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2:18" x14ac:dyDescent="0.55000000000000004">
      <c r="B136" s="1" t="s">
        <v>646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40" spans="2:18" x14ac:dyDescent="0.55000000000000004">
      <c r="B140" s="43" t="s">
        <v>449</v>
      </c>
    </row>
    <row r="141" spans="2:18" x14ac:dyDescent="0.55000000000000004">
      <c r="B141" s="43"/>
    </row>
    <row r="142" spans="2:18" x14ac:dyDescent="0.55000000000000004">
      <c r="B142" s="43"/>
    </row>
    <row r="143" spans="2:18" x14ac:dyDescent="0.55000000000000004">
      <c r="B143" s="43"/>
    </row>
    <row r="144" spans="2:18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18" x14ac:dyDescent="0.55000000000000004">
      <c r="B162" s="1" t="s">
        <v>67</v>
      </c>
      <c r="C162" s="44">
        <v>45383</v>
      </c>
      <c r="D162" s="44">
        <v>45413</v>
      </c>
      <c r="E162" s="44">
        <v>45444</v>
      </c>
      <c r="F162" s="44">
        <v>45474</v>
      </c>
      <c r="G162" s="44">
        <v>45505</v>
      </c>
      <c r="H162" s="44">
        <v>45536</v>
      </c>
      <c r="I162" s="44">
        <v>45566</v>
      </c>
      <c r="J162" s="44">
        <v>45597</v>
      </c>
      <c r="K162" s="44">
        <v>45627</v>
      </c>
      <c r="L162" s="44">
        <v>45658</v>
      </c>
      <c r="M162" s="44">
        <v>45689</v>
      </c>
      <c r="N162" s="44">
        <v>45717</v>
      </c>
      <c r="O162" s="44">
        <v>45748</v>
      </c>
      <c r="P162" s="44">
        <v>45778</v>
      </c>
      <c r="Q162" s="44">
        <v>45809</v>
      </c>
      <c r="R162" s="44">
        <v>45839</v>
      </c>
    </row>
    <row r="163" spans="2:18" x14ac:dyDescent="0.55000000000000004">
      <c r="B163" s="1" t="s">
        <v>39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2:18" x14ac:dyDescent="0.55000000000000004">
      <c r="B164" s="1" t="s">
        <v>28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2:18" x14ac:dyDescent="0.55000000000000004">
      <c r="B165" s="1" t="s">
        <v>66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2:18" x14ac:dyDescent="0.55000000000000004">
      <c r="B166" s="1" t="s">
        <v>68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2:18" x14ac:dyDescent="0.55000000000000004">
      <c r="B167" s="1" t="s">
        <v>27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2:18" x14ac:dyDescent="0.55000000000000004">
      <c r="B168" s="1" t="s">
        <v>321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2:18" x14ac:dyDescent="0.55000000000000004">
      <c r="B169" s="1" t="s">
        <v>320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2:18" x14ac:dyDescent="0.55000000000000004">
      <c r="B170" s="1" t="s">
        <v>646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E192-49F6-49BB-A27A-AA841D64B9A1}">
  <sheetPr codeName="Sheet5">
    <tabColor rgb="FF0070C0"/>
  </sheetPr>
  <dimension ref="A1:M250"/>
  <sheetViews>
    <sheetView tabSelected="1" workbookViewId="0">
      <pane ySplit="3" topLeftCell="A191" activePane="bottomLeft" state="frozen"/>
      <selection pane="bottomLeft" activeCell="B219" sqref="B219"/>
    </sheetView>
  </sheetViews>
  <sheetFormatPr defaultRowHeight="18" x14ac:dyDescent="0.55000000000000004"/>
  <cols>
    <col min="1" max="1" width="9" customWidth="1"/>
    <col min="2" max="2" width="12.83203125" bestFit="1" customWidth="1"/>
    <col min="3" max="3" width="11" bestFit="1" customWidth="1"/>
    <col min="4" max="4" width="13.58203125" customWidth="1"/>
    <col min="5" max="5" width="9.5" bestFit="1" customWidth="1"/>
    <col min="6" max="6" width="12.6640625" customWidth="1"/>
    <col min="7" max="7" width="9.5" customWidth="1"/>
    <col min="8" max="8" width="10.58203125" customWidth="1"/>
    <col min="9" max="9" width="8.08203125" customWidth="1"/>
    <col min="10" max="10" width="9.5" bestFit="1" customWidth="1"/>
    <col min="11" max="11" width="12.25" bestFit="1" customWidth="1"/>
    <col min="12" max="16" width="9.5" bestFit="1" customWidth="1"/>
  </cols>
  <sheetData>
    <row r="1" spans="1:13" x14ac:dyDescent="0.55000000000000004">
      <c r="A1" s="12" t="s">
        <v>329</v>
      </c>
      <c r="B1" s="12"/>
      <c r="C1" s="8"/>
      <c r="D1" s="5"/>
      <c r="E1" s="5"/>
      <c r="F1" s="5"/>
      <c r="G1" s="5"/>
      <c r="H1" s="5"/>
      <c r="I1" s="5"/>
      <c r="J1" s="5"/>
      <c r="K1" s="5"/>
      <c r="L1" s="5"/>
      <c r="M1" s="5"/>
    </row>
    <row r="3" spans="1:13" x14ac:dyDescent="0.55000000000000004">
      <c r="A3" s="49" t="s">
        <v>322</v>
      </c>
      <c r="B3" s="49" t="s">
        <v>686</v>
      </c>
      <c r="C3" s="46" t="s">
        <v>96</v>
      </c>
      <c r="D3" s="46" t="s">
        <v>10</v>
      </c>
      <c r="E3" s="46" t="s">
        <v>50</v>
      </c>
      <c r="F3" s="46" t="s">
        <v>354</v>
      </c>
      <c r="G3" s="46" t="s">
        <v>348</v>
      </c>
      <c r="H3" s="46" t="s">
        <v>51</v>
      </c>
      <c r="I3" s="46" t="s">
        <v>152</v>
      </c>
      <c r="J3" s="46" t="s">
        <v>210</v>
      </c>
      <c r="K3" s="47" t="s">
        <v>353</v>
      </c>
      <c r="L3" t="s">
        <v>167</v>
      </c>
    </row>
    <row r="4" spans="1:13" x14ac:dyDescent="0.55000000000000004">
      <c r="A4" s="48" t="s">
        <v>98</v>
      </c>
      <c r="B4" s="48"/>
      <c r="C4" s="2" t="s">
        <v>68</v>
      </c>
      <c r="D4" s="36">
        <v>0</v>
      </c>
      <c r="E4" s="36">
        <v>0</v>
      </c>
      <c r="F4" s="36">
        <v>0</v>
      </c>
      <c r="G4" s="36">
        <v>0</v>
      </c>
      <c r="H4" s="1">
        <f t="shared" ref="H4:H67" si="0">SUM(D4,E4)</f>
        <v>0</v>
      </c>
      <c r="I4" s="1">
        <v>11</v>
      </c>
      <c r="J4" s="61">
        <f t="shared" ref="J4:J67" si="1">IF(I4=0,0,H4/I4)</f>
        <v>0</v>
      </c>
      <c r="K4" s="68">
        <v>0</v>
      </c>
    </row>
    <row r="5" spans="1:13" x14ac:dyDescent="0.55000000000000004">
      <c r="A5" s="48" t="s">
        <v>100</v>
      </c>
      <c r="B5" s="48"/>
      <c r="C5" s="2" t="s">
        <v>99</v>
      </c>
      <c r="D5" s="36">
        <v>0</v>
      </c>
      <c r="E5" s="36">
        <v>0</v>
      </c>
      <c r="F5" s="36">
        <v>0</v>
      </c>
      <c r="G5" s="36">
        <v>0</v>
      </c>
      <c r="H5" s="1">
        <f t="shared" si="0"/>
        <v>0</v>
      </c>
      <c r="I5" s="1">
        <v>0</v>
      </c>
      <c r="J5" s="61">
        <f t="shared" si="1"/>
        <v>0</v>
      </c>
      <c r="K5" s="68">
        <v>0</v>
      </c>
    </row>
    <row r="6" spans="1:13" x14ac:dyDescent="0.55000000000000004">
      <c r="A6" s="48" t="s">
        <v>101</v>
      </c>
      <c r="B6" s="48"/>
      <c r="C6" s="2" t="s">
        <v>2</v>
      </c>
      <c r="D6" s="36">
        <v>0</v>
      </c>
      <c r="E6" s="36">
        <v>0</v>
      </c>
      <c r="F6" s="36">
        <v>0</v>
      </c>
      <c r="G6" s="36">
        <v>0</v>
      </c>
      <c r="H6" s="1">
        <f t="shared" si="0"/>
        <v>0</v>
      </c>
      <c r="I6" s="1">
        <v>5</v>
      </c>
      <c r="J6" s="61">
        <f t="shared" si="1"/>
        <v>0</v>
      </c>
      <c r="K6" s="68">
        <v>0</v>
      </c>
    </row>
    <row r="7" spans="1:13" x14ac:dyDescent="0.55000000000000004">
      <c r="A7" s="48" t="s">
        <v>102</v>
      </c>
      <c r="B7" s="48"/>
      <c r="C7" s="2" t="s">
        <v>15</v>
      </c>
      <c r="D7" s="36">
        <v>1</v>
      </c>
      <c r="E7" s="36">
        <v>0</v>
      </c>
      <c r="F7" s="36">
        <v>0</v>
      </c>
      <c r="G7" s="36">
        <v>0</v>
      </c>
      <c r="H7" s="1">
        <f t="shared" si="0"/>
        <v>1</v>
      </c>
      <c r="I7" s="1">
        <v>5</v>
      </c>
      <c r="J7" s="61">
        <f t="shared" si="1"/>
        <v>0.2</v>
      </c>
      <c r="K7" s="68">
        <v>0</v>
      </c>
    </row>
    <row r="8" spans="1:13" x14ac:dyDescent="0.55000000000000004">
      <c r="A8" s="48" t="s">
        <v>103</v>
      </c>
      <c r="B8" s="48"/>
      <c r="C8" s="2" t="s">
        <v>149</v>
      </c>
      <c r="D8" s="36">
        <v>0</v>
      </c>
      <c r="E8" s="36">
        <v>0</v>
      </c>
      <c r="F8" s="36">
        <v>0</v>
      </c>
      <c r="G8" s="36">
        <v>0</v>
      </c>
      <c r="H8" s="1">
        <f t="shared" si="0"/>
        <v>0</v>
      </c>
      <c r="I8" s="1">
        <v>0</v>
      </c>
      <c r="J8" s="61">
        <f t="shared" si="1"/>
        <v>0</v>
      </c>
      <c r="K8" s="68">
        <v>0</v>
      </c>
    </row>
    <row r="9" spans="1:13" x14ac:dyDescent="0.55000000000000004">
      <c r="A9" s="48" t="s">
        <v>104</v>
      </c>
      <c r="B9" s="48"/>
      <c r="C9" s="2" t="s">
        <v>147</v>
      </c>
      <c r="D9" s="1">
        <v>0</v>
      </c>
      <c r="E9" s="1">
        <v>0</v>
      </c>
      <c r="F9" s="1">
        <v>0</v>
      </c>
      <c r="G9" s="1">
        <v>0</v>
      </c>
      <c r="H9" s="1">
        <f t="shared" si="0"/>
        <v>0</v>
      </c>
      <c r="I9" s="1">
        <v>207</v>
      </c>
      <c r="J9" s="61">
        <f t="shared" si="1"/>
        <v>0</v>
      </c>
      <c r="K9" s="68">
        <v>0</v>
      </c>
    </row>
    <row r="10" spans="1:13" x14ac:dyDescent="0.55000000000000004">
      <c r="A10" s="48" t="s">
        <v>105</v>
      </c>
      <c r="B10" s="48"/>
      <c r="C10" s="2" t="s">
        <v>99</v>
      </c>
      <c r="D10" s="1">
        <v>2</v>
      </c>
      <c r="E10" s="1">
        <v>0</v>
      </c>
      <c r="F10" s="1">
        <v>0</v>
      </c>
      <c r="G10" s="1">
        <v>0</v>
      </c>
      <c r="H10" s="1">
        <f t="shared" si="0"/>
        <v>2</v>
      </c>
      <c r="I10" s="1">
        <v>10</v>
      </c>
      <c r="J10" s="61">
        <f t="shared" si="1"/>
        <v>0.2</v>
      </c>
      <c r="K10" s="68">
        <v>0</v>
      </c>
    </row>
    <row r="11" spans="1:13" x14ac:dyDescent="0.55000000000000004">
      <c r="A11" s="48" t="s">
        <v>106</v>
      </c>
      <c r="B11" s="48"/>
      <c r="C11" s="2" t="s">
        <v>148</v>
      </c>
      <c r="D11" s="1">
        <v>0</v>
      </c>
      <c r="E11" s="1">
        <v>0</v>
      </c>
      <c r="F11" s="1">
        <v>0</v>
      </c>
      <c r="G11" s="1">
        <v>0</v>
      </c>
      <c r="H11" s="1">
        <f t="shared" si="0"/>
        <v>0</v>
      </c>
      <c r="I11" s="1">
        <v>47</v>
      </c>
      <c r="J11" s="61">
        <f t="shared" si="1"/>
        <v>0</v>
      </c>
      <c r="K11" s="68">
        <v>0</v>
      </c>
    </row>
    <row r="12" spans="1:13" x14ac:dyDescent="0.55000000000000004">
      <c r="A12" s="48" t="s">
        <v>107</v>
      </c>
      <c r="B12" s="48"/>
      <c r="C12" s="2" t="s">
        <v>2</v>
      </c>
      <c r="D12" s="1">
        <v>0</v>
      </c>
      <c r="E12" s="1">
        <v>0</v>
      </c>
      <c r="F12" s="1">
        <v>0</v>
      </c>
      <c r="G12" s="1">
        <v>0</v>
      </c>
      <c r="H12" s="1">
        <f t="shared" si="0"/>
        <v>0</v>
      </c>
      <c r="I12" s="1">
        <v>104</v>
      </c>
      <c r="J12" s="61">
        <f t="shared" si="1"/>
        <v>0</v>
      </c>
      <c r="K12" s="68">
        <v>0</v>
      </c>
    </row>
    <row r="13" spans="1:13" x14ac:dyDescent="0.55000000000000004">
      <c r="A13" s="48" t="s">
        <v>108</v>
      </c>
      <c r="B13" s="48"/>
      <c r="C13" s="2" t="s">
        <v>15</v>
      </c>
      <c r="D13" s="1">
        <v>0</v>
      </c>
      <c r="E13" s="1">
        <v>0</v>
      </c>
      <c r="F13" s="1">
        <v>0</v>
      </c>
      <c r="G13" s="1">
        <v>0</v>
      </c>
      <c r="H13" s="1">
        <f t="shared" si="0"/>
        <v>0</v>
      </c>
      <c r="I13" s="1">
        <v>0</v>
      </c>
      <c r="J13" s="61">
        <f t="shared" si="1"/>
        <v>0</v>
      </c>
      <c r="K13" s="68">
        <v>0</v>
      </c>
    </row>
    <row r="14" spans="1:13" x14ac:dyDescent="0.55000000000000004">
      <c r="A14" s="48" t="s">
        <v>109</v>
      </c>
      <c r="B14" s="48"/>
      <c r="C14" s="2" t="s">
        <v>149</v>
      </c>
      <c r="D14" s="1">
        <v>0</v>
      </c>
      <c r="E14" s="1">
        <v>0</v>
      </c>
      <c r="F14" s="1">
        <v>0</v>
      </c>
      <c r="G14" s="1">
        <v>0</v>
      </c>
      <c r="H14" s="1">
        <f t="shared" si="0"/>
        <v>0</v>
      </c>
      <c r="I14" s="1">
        <v>15</v>
      </c>
      <c r="J14" s="61">
        <f t="shared" si="1"/>
        <v>0</v>
      </c>
      <c r="K14" s="68">
        <v>0</v>
      </c>
    </row>
    <row r="15" spans="1:13" x14ac:dyDescent="0.55000000000000004">
      <c r="A15" s="48" t="s">
        <v>110</v>
      </c>
      <c r="B15" s="48"/>
      <c r="C15" s="2" t="s">
        <v>148</v>
      </c>
      <c r="D15" s="36">
        <v>1</v>
      </c>
      <c r="E15" s="36">
        <v>0</v>
      </c>
      <c r="F15" s="36">
        <v>0</v>
      </c>
      <c r="G15" s="36">
        <v>0</v>
      </c>
      <c r="H15" s="1">
        <f t="shared" si="0"/>
        <v>1</v>
      </c>
      <c r="I15" s="1">
        <v>161</v>
      </c>
      <c r="J15" s="61">
        <f t="shared" si="1"/>
        <v>6.2111801242236021E-3</v>
      </c>
      <c r="K15" s="68">
        <v>0</v>
      </c>
    </row>
    <row r="16" spans="1:13" x14ac:dyDescent="0.55000000000000004">
      <c r="A16" s="48" t="s">
        <v>111</v>
      </c>
      <c r="B16" s="48"/>
      <c r="C16" s="2" t="s">
        <v>99</v>
      </c>
      <c r="D16" s="36">
        <v>0</v>
      </c>
      <c r="E16" s="36">
        <v>0</v>
      </c>
      <c r="F16" s="36">
        <v>0</v>
      </c>
      <c r="G16" s="36">
        <v>0</v>
      </c>
      <c r="H16" s="1">
        <f t="shared" si="0"/>
        <v>0</v>
      </c>
      <c r="I16" s="1">
        <v>5</v>
      </c>
      <c r="J16" s="61">
        <f t="shared" si="1"/>
        <v>0</v>
      </c>
      <c r="K16" s="68">
        <v>0</v>
      </c>
    </row>
    <row r="17" spans="1:11" x14ac:dyDescent="0.55000000000000004">
      <c r="A17" s="48" t="s">
        <v>112</v>
      </c>
      <c r="B17" s="48"/>
      <c r="C17" s="2" t="s">
        <v>2</v>
      </c>
      <c r="D17" s="36">
        <v>0</v>
      </c>
      <c r="E17" s="36">
        <v>0</v>
      </c>
      <c r="F17" s="36">
        <v>0</v>
      </c>
      <c r="G17" s="36">
        <v>0</v>
      </c>
      <c r="H17" s="1">
        <f t="shared" si="0"/>
        <v>0</v>
      </c>
      <c r="I17" s="1">
        <v>0</v>
      </c>
      <c r="J17" s="61">
        <f t="shared" si="1"/>
        <v>0</v>
      </c>
      <c r="K17" s="68">
        <v>0</v>
      </c>
    </row>
    <row r="18" spans="1:11" x14ac:dyDescent="0.55000000000000004">
      <c r="A18" s="48" t="s">
        <v>113</v>
      </c>
      <c r="B18" s="48"/>
      <c r="C18" s="2" t="s">
        <v>15</v>
      </c>
      <c r="D18" s="36">
        <v>0</v>
      </c>
      <c r="E18" s="36">
        <v>0</v>
      </c>
      <c r="F18" s="36">
        <v>0</v>
      </c>
      <c r="G18" s="36">
        <v>0</v>
      </c>
      <c r="H18" s="1">
        <f t="shared" si="0"/>
        <v>0</v>
      </c>
      <c r="I18" s="1">
        <v>0</v>
      </c>
      <c r="J18" s="61">
        <f t="shared" si="1"/>
        <v>0</v>
      </c>
      <c r="K18" s="68">
        <v>0</v>
      </c>
    </row>
    <row r="19" spans="1:11" x14ac:dyDescent="0.55000000000000004">
      <c r="A19" s="48" t="s">
        <v>114</v>
      </c>
      <c r="B19" s="48"/>
      <c r="C19" s="2" t="s">
        <v>40</v>
      </c>
      <c r="D19" s="36">
        <v>0</v>
      </c>
      <c r="E19" s="36">
        <v>0</v>
      </c>
      <c r="F19" s="36">
        <v>0</v>
      </c>
      <c r="G19" s="36">
        <v>0</v>
      </c>
      <c r="H19" s="1">
        <f t="shared" si="0"/>
        <v>0</v>
      </c>
      <c r="I19" s="1">
        <v>71</v>
      </c>
      <c r="J19" s="61">
        <f t="shared" si="1"/>
        <v>0</v>
      </c>
      <c r="K19" s="68">
        <v>0</v>
      </c>
    </row>
    <row r="20" spans="1:11" x14ac:dyDescent="0.55000000000000004">
      <c r="A20" s="48" t="s">
        <v>115</v>
      </c>
      <c r="B20" s="48"/>
      <c r="C20" s="2" t="s">
        <v>149</v>
      </c>
      <c r="D20" s="36">
        <v>0</v>
      </c>
      <c r="E20" s="36">
        <v>0</v>
      </c>
      <c r="F20" s="36">
        <v>0</v>
      </c>
      <c r="G20" s="36">
        <v>0</v>
      </c>
      <c r="H20" s="1">
        <f t="shared" si="0"/>
        <v>0</v>
      </c>
      <c r="I20" s="1">
        <v>0</v>
      </c>
      <c r="J20" s="61">
        <f t="shared" si="1"/>
        <v>0</v>
      </c>
      <c r="K20" s="68">
        <v>0</v>
      </c>
    </row>
    <row r="21" spans="1:11" x14ac:dyDescent="0.55000000000000004">
      <c r="A21" s="48" t="s">
        <v>116</v>
      </c>
      <c r="B21" s="48"/>
      <c r="C21" s="2" t="s">
        <v>147</v>
      </c>
      <c r="D21" s="1">
        <v>3</v>
      </c>
      <c r="E21" s="1">
        <v>0</v>
      </c>
      <c r="F21" s="1">
        <v>0</v>
      </c>
      <c r="G21" s="1">
        <v>0</v>
      </c>
      <c r="H21" s="1">
        <f t="shared" si="0"/>
        <v>3</v>
      </c>
      <c r="I21" s="1">
        <v>233</v>
      </c>
      <c r="J21" s="61">
        <f t="shared" si="1"/>
        <v>1.2875536480686695E-2</v>
      </c>
      <c r="K21" s="68">
        <v>0</v>
      </c>
    </row>
    <row r="22" spans="1:11" x14ac:dyDescent="0.55000000000000004">
      <c r="A22" s="48" t="s">
        <v>117</v>
      </c>
      <c r="B22" s="48"/>
      <c r="C22" s="2" t="s">
        <v>99</v>
      </c>
      <c r="D22" s="1">
        <v>0</v>
      </c>
      <c r="E22" s="1">
        <v>0</v>
      </c>
      <c r="F22" s="1">
        <v>0</v>
      </c>
      <c r="G22" s="1">
        <v>0</v>
      </c>
      <c r="H22" s="1">
        <f t="shared" si="0"/>
        <v>0</v>
      </c>
      <c r="I22" s="1">
        <v>0</v>
      </c>
      <c r="J22" s="61">
        <f t="shared" si="1"/>
        <v>0</v>
      </c>
      <c r="K22" s="68">
        <v>0</v>
      </c>
    </row>
    <row r="23" spans="1:11" x14ac:dyDescent="0.55000000000000004">
      <c r="A23" s="48" t="s">
        <v>118</v>
      </c>
      <c r="B23" s="48"/>
      <c r="C23" s="2" t="s">
        <v>148</v>
      </c>
      <c r="D23" s="1">
        <v>0</v>
      </c>
      <c r="E23" s="1">
        <v>0</v>
      </c>
      <c r="F23" s="1">
        <v>0</v>
      </c>
      <c r="G23" s="1">
        <v>0</v>
      </c>
      <c r="H23" s="1">
        <f t="shared" si="0"/>
        <v>0</v>
      </c>
      <c r="I23" s="1">
        <v>67</v>
      </c>
      <c r="J23" s="61">
        <f t="shared" si="1"/>
        <v>0</v>
      </c>
      <c r="K23" s="68">
        <v>0</v>
      </c>
    </row>
    <row r="24" spans="1:11" x14ac:dyDescent="0.55000000000000004">
      <c r="A24" s="48" t="s">
        <v>119</v>
      </c>
      <c r="B24" s="48"/>
      <c r="C24" s="2" t="s">
        <v>2</v>
      </c>
      <c r="D24" s="1">
        <v>0</v>
      </c>
      <c r="E24" s="1">
        <v>0</v>
      </c>
      <c r="F24" s="1">
        <v>0</v>
      </c>
      <c r="G24" s="1">
        <v>0</v>
      </c>
      <c r="H24" s="1">
        <f t="shared" si="0"/>
        <v>0</v>
      </c>
      <c r="I24" s="1">
        <v>0</v>
      </c>
      <c r="J24" s="61">
        <f t="shared" si="1"/>
        <v>0</v>
      </c>
      <c r="K24" s="68">
        <v>0</v>
      </c>
    </row>
    <row r="25" spans="1:11" x14ac:dyDescent="0.55000000000000004">
      <c r="A25" s="48" t="s">
        <v>120</v>
      </c>
      <c r="B25" s="48"/>
      <c r="C25" s="2" t="s">
        <v>15</v>
      </c>
      <c r="D25" s="1">
        <v>0</v>
      </c>
      <c r="E25" s="1">
        <v>0</v>
      </c>
      <c r="F25" s="1">
        <v>0</v>
      </c>
      <c r="G25" s="1">
        <v>0</v>
      </c>
      <c r="H25" s="1">
        <f t="shared" si="0"/>
        <v>0</v>
      </c>
      <c r="I25" s="1">
        <v>0</v>
      </c>
      <c r="J25" s="61">
        <f t="shared" si="1"/>
        <v>0</v>
      </c>
      <c r="K25" s="68">
        <v>0</v>
      </c>
    </row>
    <row r="26" spans="1:11" x14ac:dyDescent="0.55000000000000004">
      <c r="A26" s="48" t="s">
        <v>121</v>
      </c>
      <c r="B26" s="48"/>
      <c r="C26" s="2" t="s">
        <v>40</v>
      </c>
      <c r="D26" s="1">
        <v>0</v>
      </c>
      <c r="E26" s="1">
        <v>0</v>
      </c>
      <c r="F26" s="1">
        <v>0</v>
      </c>
      <c r="G26" s="1">
        <v>0</v>
      </c>
      <c r="H26" s="1">
        <f t="shared" si="0"/>
        <v>0</v>
      </c>
      <c r="I26" s="1">
        <v>37</v>
      </c>
      <c r="J26" s="61">
        <f t="shared" si="1"/>
        <v>0</v>
      </c>
      <c r="K26" s="68">
        <v>0</v>
      </c>
    </row>
    <row r="27" spans="1:11" x14ac:dyDescent="0.55000000000000004">
      <c r="A27" s="48" t="s">
        <v>122</v>
      </c>
      <c r="B27" s="48"/>
      <c r="C27" s="2" t="s">
        <v>40</v>
      </c>
      <c r="D27" s="1">
        <v>1</v>
      </c>
      <c r="E27" s="1">
        <v>0</v>
      </c>
      <c r="F27" s="1">
        <v>0</v>
      </c>
      <c r="G27" s="1">
        <v>0</v>
      </c>
      <c r="H27" s="1">
        <f t="shared" si="0"/>
        <v>1</v>
      </c>
      <c r="I27" s="1">
        <v>278</v>
      </c>
      <c r="J27" s="61">
        <f t="shared" si="1"/>
        <v>3.5971223021582736E-3</v>
      </c>
      <c r="K27" s="68">
        <v>0</v>
      </c>
    </row>
    <row r="28" spans="1:11" x14ac:dyDescent="0.55000000000000004">
      <c r="A28" s="48" t="s">
        <v>123</v>
      </c>
      <c r="B28" s="48"/>
      <c r="C28" s="2" t="s">
        <v>99</v>
      </c>
      <c r="D28" s="1">
        <v>0</v>
      </c>
      <c r="E28" s="1">
        <v>0</v>
      </c>
      <c r="F28" s="1">
        <v>0</v>
      </c>
      <c r="G28" s="1">
        <v>0</v>
      </c>
      <c r="H28" s="1">
        <f t="shared" si="0"/>
        <v>0</v>
      </c>
      <c r="I28" s="1">
        <v>72</v>
      </c>
      <c r="J28" s="61">
        <f t="shared" si="1"/>
        <v>0</v>
      </c>
      <c r="K28" s="68">
        <v>0</v>
      </c>
    </row>
    <row r="29" spans="1:11" x14ac:dyDescent="0.55000000000000004">
      <c r="A29" s="48" t="s">
        <v>124</v>
      </c>
      <c r="B29" s="48"/>
      <c r="C29" s="2" t="s">
        <v>148</v>
      </c>
      <c r="D29" s="1">
        <v>0</v>
      </c>
      <c r="E29" s="1">
        <v>0</v>
      </c>
      <c r="F29" s="1">
        <v>0</v>
      </c>
      <c r="G29" s="1">
        <v>0</v>
      </c>
      <c r="H29" s="1">
        <f t="shared" si="0"/>
        <v>0</v>
      </c>
      <c r="I29" s="1">
        <v>242</v>
      </c>
      <c r="J29" s="61">
        <f t="shared" si="1"/>
        <v>0</v>
      </c>
      <c r="K29" s="68">
        <v>0</v>
      </c>
    </row>
    <row r="30" spans="1:11" x14ac:dyDescent="0.55000000000000004">
      <c r="A30" s="48" t="s">
        <v>125</v>
      </c>
      <c r="B30" s="48"/>
      <c r="C30" s="2" t="s">
        <v>2</v>
      </c>
      <c r="D30" s="1">
        <v>0</v>
      </c>
      <c r="E30" s="1">
        <v>0</v>
      </c>
      <c r="F30" s="1">
        <v>0</v>
      </c>
      <c r="G30" s="1">
        <v>0</v>
      </c>
      <c r="H30" s="1">
        <f t="shared" si="0"/>
        <v>0</v>
      </c>
      <c r="I30" s="1">
        <v>62</v>
      </c>
      <c r="J30" s="61">
        <f t="shared" si="1"/>
        <v>0</v>
      </c>
      <c r="K30" s="68">
        <v>0</v>
      </c>
    </row>
    <row r="31" spans="1:11" x14ac:dyDescent="0.55000000000000004">
      <c r="A31" s="48" t="s">
        <v>126</v>
      </c>
      <c r="B31" s="48"/>
      <c r="C31" s="2" t="s">
        <v>149</v>
      </c>
      <c r="D31" s="1">
        <v>0</v>
      </c>
      <c r="E31" s="1">
        <v>0</v>
      </c>
      <c r="F31" s="1">
        <v>0</v>
      </c>
      <c r="G31" s="1">
        <v>0</v>
      </c>
      <c r="H31" s="1">
        <f t="shared" si="0"/>
        <v>0</v>
      </c>
      <c r="I31" s="1">
        <v>0</v>
      </c>
      <c r="J31" s="61">
        <f t="shared" si="1"/>
        <v>0</v>
      </c>
      <c r="K31" s="68">
        <v>0</v>
      </c>
    </row>
    <row r="32" spans="1:11" x14ac:dyDescent="0.55000000000000004">
      <c r="A32" s="48" t="s">
        <v>127</v>
      </c>
      <c r="B32" s="48"/>
      <c r="C32" s="2" t="s">
        <v>163</v>
      </c>
      <c r="D32" s="1">
        <v>0</v>
      </c>
      <c r="E32" s="1">
        <v>0</v>
      </c>
      <c r="F32" s="1">
        <v>0</v>
      </c>
      <c r="G32" s="1">
        <v>0</v>
      </c>
      <c r="H32" s="1">
        <f t="shared" si="0"/>
        <v>0</v>
      </c>
      <c r="I32" s="1">
        <v>0</v>
      </c>
      <c r="J32" s="61">
        <f t="shared" si="1"/>
        <v>0</v>
      </c>
      <c r="K32" s="68">
        <v>0</v>
      </c>
    </row>
    <row r="33" spans="1:11" x14ac:dyDescent="0.55000000000000004">
      <c r="A33" s="48" t="s">
        <v>128</v>
      </c>
      <c r="B33" s="48"/>
      <c r="C33" s="2" t="s">
        <v>147</v>
      </c>
      <c r="D33" s="1">
        <v>2</v>
      </c>
      <c r="E33" s="1">
        <v>0</v>
      </c>
      <c r="F33" s="1">
        <v>0</v>
      </c>
      <c r="G33" s="1">
        <v>0</v>
      </c>
      <c r="H33" s="1">
        <f t="shared" si="0"/>
        <v>2</v>
      </c>
      <c r="I33" s="1">
        <v>292</v>
      </c>
      <c r="J33" s="61">
        <f t="shared" si="1"/>
        <v>6.8493150684931503E-3</v>
      </c>
      <c r="K33" s="68">
        <v>0</v>
      </c>
    </row>
    <row r="34" spans="1:11" x14ac:dyDescent="0.55000000000000004">
      <c r="A34" s="48" t="s">
        <v>129</v>
      </c>
      <c r="B34" s="48"/>
      <c r="C34" s="2" t="s">
        <v>99</v>
      </c>
      <c r="D34" s="1">
        <v>1</v>
      </c>
      <c r="E34" s="1">
        <v>0</v>
      </c>
      <c r="F34" s="1">
        <v>0</v>
      </c>
      <c r="G34" s="1">
        <v>0</v>
      </c>
      <c r="H34" s="1">
        <f t="shared" si="0"/>
        <v>1</v>
      </c>
      <c r="I34" s="1">
        <v>45</v>
      </c>
      <c r="J34" s="61">
        <f t="shared" si="1"/>
        <v>2.2222222222222223E-2</v>
      </c>
      <c r="K34" s="68">
        <v>0</v>
      </c>
    </row>
    <row r="35" spans="1:11" x14ac:dyDescent="0.55000000000000004">
      <c r="A35" s="48" t="s">
        <v>130</v>
      </c>
      <c r="B35" s="48"/>
      <c r="C35" s="2" t="s">
        <v>40</v>
      </c>
      <c r="D35" s="1">
        <v>0</v>
      </c>
      <c r="E35" s="1">
        <v>0</v>
      </c>
      <c r="F35" s="1">
        <v>0</v>
      </c>
      <c r="G35" s="1">
        <v>0</v>
      </c>
      <c r="H35" s="1">
        <f t="shared" si="0"/>
        <v>0</v>
      </c>
      <c r="I35" s="1">
        <v>125</v>
      </c>
      <c r="J35" s="61">
        <f t="shared" si="1"/>
        <v>0</v>
      </c>
      <c r="K35" s="68">
        <v>0</v>
      </c>
    </row>
    <row r="36" spans="1:11" x14ac:dyDescent="0.55000000000000004">
      <c r="A36" s="48" t="s">
        <v>131</v>
      </c>
      <c r="B36" s="48"/>
      <c r="C36" s="2" t="s">
        <v>2</v>
      </c>
      <c r="D36" s="1">
        <v>0</v>
      </c>
      <c r="E36" s="1">
        <v>0</v>
      </c>
      <c r="F36" s="1">
        <v>0</v>
      </c>
      <c r="G36" s="1">
        <v>0</v>
      </c>
      <c r="H36" s="1">
        <f t="shared" si="0"/>
        <v>0</v>
      </c>
      <c r="I36" s="1">
        <v>88</v>
      </c>
      <c r="J36" s="61">
        <f t="shared" si="1"/>
        <v>0</v>
      </c>
      <c r="K36" s="68">
        <v>0</v>
      </c>
    </row>
    <row r="37" spans="1:11" x14ac:dyDescent="0.55000000000000004">
      <c r="A37" s="48" t="s">
        <v>132</v>
      </c>
      <c r="B37" s="48"/>
      <c r="C37" s="2" t="s">
        <v>148</v>
      </c>
      <c r="D37" s="1">
        <v>0</v>
      </c>
      <c r="E37" s="1">
        <v>0</v>
      </c>
      <c r="F37" s="1">
        <v>0</v>
      </c>
      <c r="G37" s="1">
        <v>0</v>
      </c>
      <c r="H37" s="1">
        <f t="shared" si="0"/>
        <v>0</v>
      </c>
      <c r="I37" s="1">
        <v>35</v>
      </c>
      <c r="J37" s="61">
        <f t="shared" si="1"/>
        <v>0</v>
      </c>
      <c r="K37" s="68">
        <v>0</v>
      </c>
    </row>
    <row r="38" spans="1:11" x14ac:dyDescent="0.55000000000000004">
      <c r="A38" s="48" t="s">
        <v>133</v>
      </c>
      <c r="B38" s="48"/>
      <c r="C38" s="2" t="s">
        <v>149</v>
      </c>
      <c r="D38" s="1">
        <v>0</v>
      </c>
      <c r="E38" s="1">
        <v>0</v>
      </c>
      <c r="F38" s="1">
        <v>0</v>
      </c>
      <c r="G38" s="1">
        <v>0</v>
      </c>
      <c r="H38" s="1">
        <f t="shared" si="0"/>
        <v>0</v>
      </c>
      <c r="I38" s="1">
        <v>0</v>
      </c>
      <c r="J38" s="61">
        <f t="shared" si="1"/>
        <v>0</v>
      </c>
      <c r="K38" s="68">
        <v>0</v>
      </c>
    </row>
    <row r="39" spans="1:11" x14ac:dyDescent="0.55000000000000004">
      <c r="A39" s="48" t="s">
        <v>326</v>
      </c>
      <c r="B39" s="48"/>
      <c r="C39" s="2" t="s">
        <v>40</v>
      </c>
      <c r="D39" s="1">
        <v>1</v>
      </c>
      <c r="E39" s="1">
        <v>0</v>
      </c>
      <c r="F39" s="1">
        <v>0</v>
      </c>
      <c r="G39" s="1">
        <v>0</v>
      </c>
      <c r="H39" s="1">
        <f t="shared" si="0"/>
        <v>1</v>
      </c>
      <c r="I39" s="1">
        <v>152</v>
      </c>
      <c r="J39" s="61">
        <f t="shared" si="1"/>
        <v>6.5789473684210523E-3</v>
      </c>
      <c r="K39" s="68">
        <v>0</v>
      </c>
    </row>
    <row r="40" spans="1:11" x14ac:dyDescent="0.55000000000000004">
      <c r="A40" s="48" t="s">
        <v>134</v>
      </c>
      <c r="B40" s="48"/>
      <c r="C40" s="2" t="s">
        <v>147</v>
      </c>
      <c r="D40" s="1">
        <v>0</v>
      </c>
      <c r="E40" s="1">
        <v>0</v>
      </c>
      <c r="F40" s="1">
        <v>0</v>
      </c>
      <c r="G40" s="1">
        <v>0</v>
      </c>
      <c r="H40" s="1">
        <f t="shared" si="0"/>
        <v>0</v>
      </c>
      <c r="I40" s="1">
        <v>127</v>
      </c>
      <c r="J40" s="61">
        <f t="shared" si="1"/>
        <v>0</v>
      </c>
      <c r="K40" s="68">
        <v>0</v>
      </c>
    </row>
    <row r="41" spans="1:11" x14ac:dyDescent="0.55000000000000004">
      <c r="A41" s="48" t="s">
        <v>135</v>
      </c>
      <c r="B41" s="48"/>
      <c r="C41" s="2" t="s">
        <v>148</v>
      </c>
      <c r="D41" s="1">
        <v>1</v>
      </c>
      <c r="E41" s="1">
        <v>0</v>
      </c>
      <c r="F41" s="1">
        <v>0</v>
      </c>
      <c r="G41" s="1">
        <v>0</v>
      </c>
      <c r="H41" s="1">
        <f t="shared" si="0"/>
        <v>1</v>
      </c>
      <c r="I41" s="1">
        <v>108</v>
      </c>
      <c r="J41" s="61">
        <f t="shared" si="1"/>
        <v>9.2592592592592587E-3</v>
      </c>
      <c r="K41" s="68">
        <v>0</v>
      </c>
    </row>
    <row r="42" spans="1:11" x14ac:dyDescent="0.55000000000000004">
      <c r="A42" s="48" t="s">
        <v>136</v>
      </c>
      <c r="B42" s="48"/>
      <c r="C42" s="2" t="s">
        <v>99</v>
      </c>
      <c r="D42" s="1">
        <v>2</v>
      </c>
      <c r="E42" s="1">
        <v>0</v>
      </c>
      <c r="F42" s="1">
        <v>0</v>
      </c>
      <c r="G42" s="1">
        <v>0</v>
      </c>
      <c r="H42" s="1">
        <f t="shared" si="0"/>
        <v>2</v>
      </c>
      <c r="I42" s="1">
        <v>90</v>
      </c>
      <c r="J42" s="61">
        <f t="shared" si="1"/>
        <v>2.2222222222222223E-2</v>
      </c>
      <c r="K42" s="68">
        <v>0</v>
      </c>
    </row>
    <row r="43" spans="1:11" x14ac:dyDescent="0.55000000000000004">
      <c r="A43" s="48" t="s">
        <v>137</v>
      </c>
      <c r="B43" s="48"/>
      <c r="C43" s="2" t="s">
        <v>15</v>
      </c>
      <c r="D43" s="1">
        <v>0</v>
      </c>
      <c r="E43" s="1">
        <v>0</v>
      </c>
      <c r="F43" s="1">
        <v>0</v>
      </c>
      <c r="G43" s="1">
        <v>0</v>
      </c>
      <c r="H43" s="1">
        <f t="shared" si="0"/>
        <v>0</v>
      </c>
      <c r="I43" s="1">
        <v>82</v>
      </c>
      <c r="J43" s="61">
        <f t="shared" si="1"/>
        <v>0</v>
      </c>
      <c r="K43" s="68">
        <v>0</v>
      </c>
    </row>
    <row r="44" spans="1:11" x14ac:dyDescent="0.55000000000000004">
      <c r="A44" s="48" t="s">
        <v>138</v>
      </c>
      <c r="B44" s="48"/>
      <c r="C44" s="2" t="s">
        <v>2</v>
      </c>
      <c r="D44" s="1">
        <v>0</v>
      </c>
      <c r="E44" s="1">
        <v>0</v>
      </c>
      <c r="F44" s="1">
        <v>0</v>
      </c>
      <c r="G44" s="1">
        <v>0</v>
      </c>
      <c r="H44" s="1">
        <f t="shared" si="0"/>
        <v>0</v>
      </c>
      <c r="I44" s="1">
        <v>147</v>
      </c>
      <c r="J44" s="61">
        <f t="shared" si="1"/>
        <v>0</v>
      </c>
      <c r="K44" s="68">
        <v>0</v>
      </c>
    </row>
    <row r="45" spans="1:11" x14ac:dyDescent="0.55000000000000004">
      <c r="A45" s="48" t="s">
        <v>139</v>
      </c>
      <c r="B45" s="48"/>
      <c r="C45" s="2" t="s">
        <v>148</v>
      </c>
      <c r="D45" s="1">
        <v>2</v>
      </c>
      <c r="E45" s="1">
        <v>1</v>
      </c>
      <c r="F45" s="1">
        <v>0</v>
      </c>
      <c r="G45" s="1">
        <v>0</v>
      </c>
      <c r="H45" s="1">
        <f t="shared" si="0"/>
        <v>3</v>
      </c>
      <c r="I45" s="1">
        <v>402</v>
      </c>
      <c r="J45" s="61">
        <f t="shared" si="1"/>
        <v>7.462686567164179E-3</v>
      </c>
      <c r="K45" s="68">
        <v>0</v>
      </c>
    </row>
    <row r="46" spans="1:11" x14ac:dyDescent="0.55000000000000004">
      <c r="A46" s="48" t="s">
        <v>140</v>
      </c>
      <c r="B46" s="48"/>
      <c r="C46" s="2" t="s">
        <v>99</v>
      </c>
      <c r="D46" s="1">
        <v>1</v>
      </c>
      <c r="E46" s="1">
        <v>0</v>
      </c>
      <c r="F46" s="1">
        <v>0</v>
      </c>
      <c r="G46" s="1">
        <v>0</v>
      </c>
      <c r="H46" s="1">
        <f t="shared" si="0"/>
        <v>1</v>
      </c>
      <c r="I46" s="1">
        <v>120</v>
      </c>
      <c r="J46" s="61">
        <f t="shared" si="1"/>
        <v>8.3333333333333332E-3</v>
      </c>
      <c r="K46" s="68">
        <v>0</v>
      </c>
    </row>
    <row r="47" spans="1:11" x14ac:dyDescent="0.55000000000000004">
      <c r="A47" s="48" t="s">
        <v>141</v>
      </c>
      <c r="B47" s="48"/>
      <c r="C47" s="2" t="s">
        <v>40</v>
      </c>
      <c r="D47" s="1">
        <v>0</v>
      </c>
      <c r="E47" s="1">
        <v>0</v>
      </c>
      <c r="F47" s="1">
        <v>0</v>
      </c>
      <c r="G47" s="1">
        <v>0</v>
      </c>
      <c r="H47" s="1">
        <f t="shared" si="0"/>
        <v>0</v>
      </c>
      <c r="I47" s="1">
        <v>77</v>
      </c>
      <c r="J47" s="61">
        <f t="shared" si="1"/>
        <v>0</v>
      </c>
      <c r="K47" s="68">
        <v>0</v>
      </c>
    </row>
    <row r="48" spans="1:11" x14ac:dyDescent="0.55000000000000004">
      <c r="A48" s="48" t="s">
        <v>142</v>
      </c>
      <c r="B48" s="48"/>
      <c r="C48" s="2" t="s">
        <v>147</v>
      </c>
      <c r="D48" s="1">
        <v>0</v>
      </c>
      <c r="E48" s="1">
        <v>0</v>
      </c>
      <c r="F48" s="1">
        <v>0</v>
      </c>
      <c r="G48" s="1">
        <v>0</v>
      </c>
      <c r="H48" s="1">
        <f t="shared" si="0"/>
        <v>0</v>
      </c>
      <c r="I48" s="1">
        <v>47</v>
      </c>
      <c r="J48" s="61">
        <f t="shared" si="1"/>
        <v>0</v>
      </c>
      <c r="K48" s="68">
        <v>0</v>
      </c>
    </row>
    <row r="49" spans="1:11" x14ac:dyDescent="0.55000000000000004">
      <c r="A49" s="48" t="s">
        <v>143</v>
      </c>
      <c r="B49" s="48"/>
      <c r="C49" s="2" t="s">
        <v>2</v>
      </c>
      <c r="D49" s="1">
        <v>0</v>
      </c>
      <c r="E49" s="1">
        <v>0</v>
      </c>
      <c r="F49" s="1">
        <v>0</v>
      </c>
      <c r="G49" s="1">
        <v>0</v>
      </c>
      <c r="H49" s="1">
        <f t="shared" si="0"/>
        <v>0</v>
      </c>
      <c r="I49" s="1">
        <v>0</v>
      </c>
      <c r="J49" s="61">
        <f t="shared" si="1"/>
        <v>0</v>
      </c>
      <c r="K49" s="68">
        <v>0</v>
      </c>
    </row>
    <row r="50" spans="1:11" x14ac:dyDescent="0.55000000000000004">
      <c r="A50" s="48" t="s">
        <v>144</v>
      </c>
      <c r="B50" s="48"/>
      <c r="C50" s="2" t="s">
        <v>15</v>
      </c>
      <c r="D50" s="1">
        <v>0</v>
      </c>
      <c r="E50" s="1">
        <v>0</v>
      </c>
      <c r="F50" s="1">
        <v>0</v>
      </c>
      <c r="G50" s="1">
        <v>0</v>
      </c>
      <c r="H50" s="1">
        <f t="shared" si="0"/>
        <v>0</v>
      </c>
      <c r="I50" s="1">
        <v>0</v>
      </c>
      <c r="J50" s="61">
        <f t="shared" si="1"/>
        <v>0</v>
      </c>
      <c r="K50" s="68">
        <v>0</v>
      </c>
    </row>
    <row r="51" spans="1:11" x14ac:dyDescent="0.55000000000000004">
      <c r="A51" s="48" t="s">
        <v>145</v>
      </c>
      <c r="B51" s="48"/>
      <c r="C51" s="2" t="s">
        <v>40</v>
      </c>
      <c r="D51" s="1">
        <v>0</v>
      </c>
      <c r="E51" s="1">
        <v>2</v>
      </c>
      <c r="F51" s="1">
        <v>0</v>
      </c>
      <c r="G51" s="1">
        <v>0</v>
      </c>
      <c r="H51" s="1">
        <f t="shared" si="0"/>
        <v>2</v>
      </c>
      <c r="I51" s="1">
        <v>185</v>
      </c>
      <c r="J51" s="61">
        <f t="shared" si="1"/>
        <v>1.0810810810810811E-2</v>
      </c>
      <c r="K51" s="68">
        <v>0</v>
      </c>
    </row>
    <row r="52" spans="1:11" x14ac:dyDescent="0.55000000000000004">
      <c r="A52" s="48" t="s">
        <v>146</v>
      </c>
      <c r="B52" s="48"/>
      <c r="C52" s="2" t="s">
        <v>99</v>
      </c>
      <c r="D52" s="1">
        <v>7</v>
      </c>
      <c r="E52" s="1">
        <v>0</v>
      </c>
      <c r="F52" s="1">
        <v>0</v>
      </c>
      <c r="G52" s="1">
        <v>0</v>
      </c>
      <c r="H52" s="1">
        <f t="shared" si="0"/>
        <v>7</v>
      </c>
      <c r="I52" s="1">
        <v>138</v>
      </c>
      <c r="J52" s="61">
        <f t="shared" si="1"/>
        <v>5.0724637681159424E-2</v>
      </c>
      <c r="K52" s="68">
        <v>0</v>
      </c>
    </row>
    <row r="53" spans="1:11" x14ac:dyDescent="0.55000000000000004">
      <c r="A53" s="48" t="s">
        <v>164</v>
      </c>
      <c r="B53" s="48"/>
      <c r="C53" s="2" t="s">
        <v>148</v>
      </c>
      <c r="D53" s="1">
        <v>0</v>
      </c>
      <c r="E53" s="1">
        <v>0</v>
      </c>
      <c r="F53" s="1">
        <v>0</v>
      </c>
      <c r="G53" s="1">
        <v>0</v>
      </c>
      <c r="H53" s="1">
        <f t="shared" si="0"/>
        <v>0</v>
      </c>
      <c r="I53" s="1">
        <v>146</v>
      </c>
      <c r="J53" s="61">
        <f t="shared" si="1"/>
        <v>0</v>
      </c>
      <c r="K53" s="68">
        <v>0</v>
      </c>
    </row>
    <row r="54" spans="1:11" x14ac:dyDescent="0.55000000000000004">
      <c r="A54" s="48" t="s">
        <v>165</v>
      </c>
      <c r="B54" s="48"/>
      <c r="C54" s="2" t="s">
        <v>15</v>
      </c>
      <c r="D54" s="1">
        <v>0</v>
      </c>
      <c r="E54" s="1">
        <v>0</v>
      </c>
      <c r="F54" s="1">
        <v>0</v>
      </c>
      <c r="G54" s="1">
        <v>0</v>
      </c>
      <c r="H54" s="1">
        <f t="shared" si="0"/>
        <v>0</v>
      </c>
      <c r="I54" s="1">
        <v>125</v>
      </c>
      <c r="J54" s="61">
        <f t="shared" si="1"/>
        <v>0</v>
      </c>
      <c r="K54" s="68">
        <v>0</v>
      </c>
    </row>
    <row r="55" spans="1:11" x14ac:dyDescent="0.55000000000000004">
      <c r="A55" s="48" t="s">
        <v>166</v>
      </c>
      <c r="B55" s="48"/>
      <c r="C55" s="2" t="s">
        <v>2</v>
      </c>
      <c r="D55" s="1">
        <v>0</v>
      </c>
      <c r="E55" s="1">
        <v>0</v>
      </c>
      <c r="F55" s="1">
        <v>0</v>
      </c>
      <c r="G55" s="1">
        <v>0</v>
      </c>
      <c r="H55" s="1">
        <f t="shared" si="0"/>
        <v>0</v>
      </c>
      <c r="I55" s="1">
        <v>134</v>
      </c>
      <c r="J55" s="61">
        <f t="shared" si="1"/>
        <v>0</v>
      </c>
      <c r="K55" s="68">
        <v>0</v>
      </c>
    </row>
    <row r="56" spans="1:11" x14ac:dyDescent="0.55000000000000004">
      <c r="A56" s="48" t="s">
        <v>212</v>
      </c>
      <c r="B56" s="48"/>
      <c r="C56" s="2" t="s">
        <v>147</v>
      </c>
      <c r="D56" s="1">
        <v>2</v>
      </c>
      <c r="E56" s="1">
        <v>1</v>
      </c>
      <c r="F56" s="1">
        <v>0</v>
      </c>
      <c r="G56" s="1">
        <v>0</v>
      </c>
      <c r="H56" s="1">
        <f t="shared" si="0"/>
        <v>3</v>
      </c>
      <c r="I56" s="1">
        <v>106</v>
      </c>
      <c r="J56" s="61">
        <f t="shared" si="1"/>
        <v>2.8301886792452831E-2</v>
      </c>
      <c r="K56" s="68">
        <v>0</v>
      </c>
    </row>
    <row r="57" spans="1:11" x14ac:dyDescent="0.55000000000000004">
      <c r="A57" s="48" t="s">
        <v>213</v>
      </c>
      <c r="B57" s="48"/>
      <c r="C57" s="2" t="s">
        <v>147</v>
      </c>
      <c r="D57" s="1">
        <v>1</v>
      </c>
      <c r="E57" s="1">
        <v>0</v>
      </c>
      <c r="F57" s="1">
        <v>0</v>
      </c>
      <c r="G57" s="1">
        <v>0</v>
      </c>
      <c r="H57" s="1">
        <f t="shared" si="0"/>
        <v>1</v>
      </c>
      <c r="I57" s="1">
        <v>318</v>
      </c>
      <c r="J57" s="61">
        <f t="shared" si="1"/>
        <v>3.1446540880503146E-3</v>
      </c>
      <c r="K57" s="68">
        <v>0</v>
      </c>
    </row>
    <row r="58" spans="1:11" x14ac:dyDescent="0.55000000000000004">
      <c r="A58" s="48" t="s">
        <v>214</v>
      </c>
      <c r="B58" s="48"/>
      <c r="C58" s="2" t="s">
        <v>99</v>
      </c>
      <c r="D58" s="1">
        <v>1</v>
      </c>
      <c r="E58" s="1">
        <v>0</v>
      </c>
      <c r="F58" s="1">
        <v>0</v>
      </c>
      <c r="G58" s="1">
        <v>0</v>
      </c>
      <c r="H58" s="1">
        <f t="shared" si="0"/>
        <v>1</v>
      </c>
      <c r="I58" s="1">
        <v>32</v>
      </c>
      <c r="J58" s="61">
        <f t="shared" si="1"/>
        <v>3.125E-2</v>
      </c>
      <c r="K58" s="68">
        <v>0</v>
      </c>
    </row>
    <row r="59" spans="1:11" x14ac:dyDescent="0.55000000000000004">
      <c r="A59" s="48" t="s">
        <v>215</v>
      </c>
      <c r="B59" s="48"/>
      <c r="C59" s="2" t="s">
        <v>40</v>
      </c>
      <c r="D59" s="1">
        <v>0</v>
      </c>
      <c r="E59" s="1">
        <v>0</v>
      </c>
      <c r="F59" s="1">
        <v>0</v>
      </c>
      <c r="G59" s="1">
        <v>0</v>
      </c>
      <c r="H59" s="1">
        <f t="shared" si="0"/>
        <v>0</v>
      </c>
      <c r="I59" s="1">
        <v>314</v>
      </c>
      <c r="J59" s="61">
        <f t="shared" si="1"/>
        <v>0</v>
      </c>
      <c r="K59" s="68">
        <v>0</v>
      </c>
    </row>
    <row r="60" spans="1:11" x14ac:dyDescent="0.55000000000000004">
      <c r="A60" s="48" t="s">
        <v>216</v>
      </c>
      <c r="B60" s="48"/>
      <c r="C60" s="2" t="s">
        <v>148</v>
      </c>
      <c r="D60" s="1">
        <v>1</v>
      </c>
      <c r="E60" s="1">
        <v>0</v>
      </c>
      <c r="F60" s="1">
        <v>0</v>
      </c>
      <c r="G60" s="1">
        <v>0</v>
      </c>
      <c r="H60" s="1">
        <f t="shared" si="0"/>
        <v>1</v>
      </c>
      <c r="I60" s="1">
        <v>232</v>
      </c>
      <c r="J60" s="61">
        <f t="shared" si="1"/>
        <v>4.3103448275862068E-3</v>
      </c>
      <c r="K60" s="68">
        <v>0</v>
      </c>
    </row>
    <row r="61" spans="1:11" x14ac:dyDescent="0.55000000000000004">
      <c r="A61" s="48" t="s">
        <v>217</v>
      </c>
      <c r="B61" s="48"/>
      <c r="C61" s="2" t="s">
        <v>2</v>
      </c>
      <c r="D61" s="1">
        <v>0</v>
      </c>
      <c r="E61" s="1">
        <v>0</v>
      </c>
      <c r="F61" s="1">
        <v>0</v>
      </c>
      <c r="G61" s="1">
        <v>0</v>
      </c>
      <c r="H61" s="1">
        <f t="shared" si="0"/>
        <v>0</v>
      </c>
      <c r="I61" s="1">
        <v>350</v>
      </c>
      <c r="J61" s="61">
        <f t="shared" si="1"/>
        <v>0</v>
      </c>
      <c r="K61" s="68">
        <v>0</v>
      </c>
    </row>
    <row r="62" spans="1:11" x14ac:dyDescent="0.55000000000000004">
      <c r="A62" s="48" t="s">
        <v>323</v>
      </c>
      <c r="B62" s="48"/>
      <c r="C62" s="2" t="s">
        <v>15</v>
      </c>
      <c r="D62" s="1">
        <v>0</v>
      </c>
      <c r="E62" s="1">
        <v>11</v>
      </c>
      <c r="F62" s="1">
        <v>0</v>
      </c>
      <c r="G62" s="1">
        <v>0</v>
      </c>
      <c r="H62" s="1">
        <f t="shared" si="0"/>
        <v>11</v>
      </c>
      <c r="I62" s="1">
        <v>266</v>
      </c>
      <c r="J62" s="61">
        <f t="shared" si="1"/>
        <v>4.1353383458646614E-2</v>
      </c>
      <c r="K62" s="68">
        <v>0</v>
      </c>
    </row>
    <row r="63" spans="1:11" x14ac:dyDescent="0.55000000000000004">
      <c r="A63" s="48" t="s">
        <v>324</v>
      </c>
      <c r="B63" s="48"/>
      <c r="C63" s="2" t="s">
        <v>149</v>
      </c>
      <c r="D63" s="1">
        <v>0</v>
      </c>
      <c r="E63" s="1">
        <v>0</v>
      </c>
      <c r="F63" s="1">
        <v>0</v>
      </c>
      <c r="G63" s="1">
        <v>0</v>
      </c>
      <c r="H63" s="1">
        <f t="shared" si="0"/>
        <v>0</v>
      </c>
      <c r="I63" s="1">
        <v>143</v>
      </c>
      <c r="J63" s="61">
        <f t="shared" si="1"/>
        <v>0</v>
      </c>
      <c r="K63" s="68">
        <v>0</v>
      </c>
    </row>
    <row r="64" spans="1:11" x14ac:dyDescent="0.55000000000000004">
      <c r="A64" s="48" t="s">
        <v>335</v>
      </c>
      <c r="B64" s="48"/>
      <c r="C64" s="2" t="s">
        <v>163</v>
      </c>
      <c r="D64" s="1">
        <v>0</v>
      </c>
      <c r="E64" s="1">
        <v>0</v>
      </c>
      <c r="F64" s="1">
        <v>0</v>
      </c>
      <c r="G64" s="1">
        <v>0</v>
      </c>
      <c r="H64" s="1">
        <f t="shared" si="0"/>
        <v>0</v>
      </c>
      <c r="I64" s="1">
        <v>0</v>
      </c>
      <c r="J64" s="61">
        <f t="shared" si="1"/>
        <v>0</v>
      </c>
      <c r="K64" s="68">
        <v>0</v>
      </c>
    </row>
    <row r="65" spans="1:11" x14ac:dyDescent="0.55000000000000004">
      <c r="A65" s="48" t="s">
        <v>336</v>
      </c>
      <c r="B65" s="48"/>
      <c r="C65" s="2" t="s">
        <v>40</v>
      </c>
      <c r="D65" s="1">
        <v>0</v>
      </c>
      <c r="E65" s="1">
        <v>0</v>
      </c>
      <c r="F65" s="1">
        <v>0</v>
      </c>
      <c r="G65" s="1">
        <v>0</v>
      </c>
      <c r="H65" s="1">
        <f t="shared" si="0"/>
        <v>0</v>
      </c>
      <c r="I65" s="1">
        <v>215</v>
      </c>
      <c r="J65" s="61">
        <f t="shared" si="1"/>
        <v>0</v>
      </c>
      <c r="K65" s="68">
        <v>0</v>
      </c>
    </row>
    <row r="66" spans="1:11" x14ac:dyDescent="0.55000000000000004">
      <c r="A66" s="48" t="s">
        <v>337</v>
      </c>
      <c r="B66" s="48"/>
      <c r="C66" s="2" t="s">
        <v>99</v>
      </c>
      <c r="D66" s="1">
        <v>0</v>
      </c>
      <c r="E66" s="1">
        <v>0</v>
      </c>
      <c r="F66" s="1">
        <v>0</v>
      </c>
      <c r="G66" s="1">
        <v>0</v>
      </c>
      <c r="H66" s="1">
        <f t="shared" si="0"/>
        <v>0</v>
      </c>
      <c r="I66" s="1">
        <v>15</v>
      </c>
      <c r="J66" s="61">
        <f t="shared" si="1"/>
        <v>0</v>
      </c>
      <c r="K66" s="68">
        <v>0</v>
      </c>
    </row>
    <row r="67" spans="1:11" x14ac:dyDescent="0.55000000000000004">
      <c r="A67" s="48" t="s">
        <v>338</v>
      </c>
      <c r="B67" s="48"/>
      <c r="C67" s="2" t="s">
        <v>148</v>
      </c>
      <c r="D67" s="1">
        <v>3</v>
      </c>
      <c r="E67" s="1">
        <v>0</v>
      </c>
      <c r="F67" s="1">
        <v>0</v>
      </c>
      <c r="G67" s="1">
        <v>0</v>
      </c>
      <c r="H67" s="1">
        <f t="shared" si="0"/>
        <v>3</v>
      </c>
      <c r="I67" s="1">
        <v>408</v>
      </c>
      <c r="J67" s="61">
        <f t="shared" si="1"/>
        <v>7.3529411764705881E-3</v>
      </c>
      <c r="K67" s="68">
        <v>0</v>
      </c>
    </row>
    <row r="68" spans="1:11" x14ac:dyDescent="0.55000000000000004">
      <c r="A68" s="48" t="s">
        <v>339</v>
      </c>
      <c r="B68" s="48"/>
      <c r="C68" s="2" t="s">
        <v>147</v>
      </c>
      <c r="D68" s="1">
        <v>1</v>
      </c>
      <c r="E68" s="1">
        <v>1</v>
      </c>
      <c r="F68" s="1">
        <v>0</v>
      </c>
      <c r="G68" s="1">
        <v>0</v>
      </c>
      <c r="H68" s="1">
        <f t="shared" ref="H68:H131" si="2">SUM(D68,E68)</f>
        <v>2</v>
      </c>
      <c r="I68" s="1">
        <v>141</v>
      </c>
      <c r="J68" s="61">
        <f t="shared" ref="J68:J127" si="3">IF(I68=0,0,H68/I68)</f>
        <v>1.4184397163120567E-2</v>
      </c>
      <c r="K68" s="68">
        <v>0</v>
      </c>
    </row>
    <row r="69" spans="1:11" x14ac:dyDescent="0.55000000000000004">
      <c r="A69" s="48" t="s">
        <v>340</v>
      </c>
      <c r="B69" s="48"/>
      <c r="C69" s="2" t="s">
        <v>15</v>
      </c>
      <c r="D69" s="1">
        <v>0</v>
      </c>
      <c r="E69" s="1">
        <v>0</v>
      </c>
      <c r="F69" s="1">
        <v>0</v>
      </c>
      <c r="G69" s="1">
        <v>0</v>
      </c>
      <c r="H69" s="1">
        <f t="shared" si="2"/>
        <v>0</v>
      </c>
      <c r="I69" s="1">
        <v>27</v>
      </c>
      <c r="J69" s="61">
        <f t="shared" si="3"/>
        <v>0</v>
      </c>
      <c r="K69" s="68">
        <v>0</v>
      </c>
    </row>
    <row r="70" spans="1:11" x14ac:dyDescent="0.55000000000000004">
      <c r="A70" s="48" t="s">
        <v>341</v>
      </c>
      <c r="B70" s="48"/>
      <c r="C70" s="2" t="s">
        <v>2</v>
      </c>
      <c r="D70" s="1">
        <v>0</v>
      </c>
      <c r="E70" s="1">
        <v>0</v>
      </c>
      <c r="F70" s="1">
        <v>0</v>
      </c>
      <c r="G70" s="1">
        <v>0</v>
      </c>
      <c r="H70" s="1">
        <f t="shared" si="2"/>
        <v>0</v>
      </c>
      <c r="I70" s="1">
        <v>78</v>
      </c>
      <c r="J70" s="61">
        <f t="shared" si="3"/>
        <v>0</v>
      </c>
      <c r="K70" s="68">
        <v>0</v>
      </c>
    </row>
    <row r="71" spans="1:11" x14ac:dyDescent="0.55000000000000004">
      <c r="A71" s="48" t="s">
        <v>342</v>
      </c>
      <c r="B71" s="48"/>
      <c r="C71" s="2" t="s">
        <v>149</v>
      </c>
      <c r="D71" s="1">
        <v>0</v>
      </c>
      <c r="E71" s="1">
        <v>0</v>
      </c>
      <c r="F71" s="1">
        <v>0</v>
      </c>
      <c r="G71" s="1">
        <v>0</v>
      </c>
      <c r="H71" s="1">
        <f t="shared" si="2"/>
        <v>0</v>
      </c>
      <c r="I71" s="1">
        <v>0</v>
      </c>
      <c r="J71" s="61">
        <f t="shared" si="3"/>
        <v>0</v>
      </c>
      <c r="K71" s="68">
        <v>0</v>
      </c>
    </row>
    <row r="72" spans="1:11" x14ac:dyDescent="0.55000000000000004">
      <c r="A72" s="48" t="s">
        <v>343</v>
      </c>
      <c r="B72" s="48"/>
      <c r="C72" s="2" t="s">
        <v>147</v>
      </c>
      <c r="D72" s="1">
        <v>1</v>
      </c>
      <c r="E72" s="1">
        <v>0</v>
      </c>
      <c r="F72" s="1">
        <v>1</v>
      </c>
      <c r="G72" s="1">
        <v>0</v>
      </c>
      <c r="H72" s="1">
        <f t="shared" si="2"/>
        <v>1</v>
      </c>
      <c r="I72" s="1">
        <v>343</v>
      </c>
      <c r="J72" s="61">
        <f t="shared" si="3"/>
        <v>2.9154518950437317E-3</v>
      </c>
      <c r="K72" s="68">
        <v>0</v>
      </c>
    </row>
    <row r="73" spans="1:11" x14ac:dyDescent="0.55000000000000004">
      <c r="A73" s="48" t="s">
        <v>344</v>
      </c>
      <c r="B73" s="48"/>
      <c r="C73" s="2" t="s">
        <v>99</v>
      </c>
      <c r="D73" s="1">
        <v>2</v>
      </c>
      <c r="E73" s="1">
        <v>0</v>
      </c>
      <c r="F73" s="1">
        <v>0</v>
      </c>
      <c r="G73" s="1">
        <v>0</v>
      </c>
      <c r="H73" s="1">
        <f t="shared" si="2"/>
        <v>2</v>
      </c>
      <c r="I73" s="1">
        <v>96</v>
      </c>
      <c r="J73" s="61">
        <f t="shared" si="3"/>
        <v>2.0833333333333332E-2</v>
      </c>
      <c r="K73" s="68">
        <v>0</v>
      </c>
    </row>
    <row r="74" spans="1:11" x14ac:dyDescent="0.55000000000000004">
      <c r="A74" s="48" t="s">
        <v>345</v>
      </c>
      <c r="B74" s="48"/>
      <c r="C74" s="2" t="s">
        <v>40</v>
      </c>
      <c r="D74" s="1">
        <v>0</v>
      </c>
      <c r="E74" s="1">
        <v>0</v>
      </c>
      <c r="F74" s="1">
        <v>0</v>
      </c>
      <c r="G74" s="1">
        <v>0</v>
      </c>
      <c r="H74" s="1">
        <f t="shared" si="2"/>
        <v>0</v>
      </c>
      <c r="I74" s="1">
        <v>263</v>
      </c>
      <c r="J74" s="61">
        <f t="shared" si="3"/>
        <v>0</v>
      </c>
      <c r="K74" s="68">
        <v>0</v>
      </c>
    </row>
    <row r="75" spans="1:11" x14ac:dyDescent="0.55000000000000004">
      <c r="A75" s="48" t="s">
        <v>346</v>
      </c>
      <c r="B75" s="48"/>
      <c r="C75" s="2" t="s">
        <v>148</v>
      </c>
      <c r="D75" s="1">
        <v>0</v>
      </c>
      <c r="E75" s="1">
        <v>0</v>
      </c>
      <c r="F75" s="1">
        <v>0</v>
      </c>
      <c r="G75" s="1">
        <v>0</v>
      </c>
      <c r="H75" s="1">
        <f t="shared" si="2"/>
        <v>0</v>
      </c>
      <c r="I75" s="1">
        <v>181</v>
      </c>
      <c r="J75" s="61">
        <f t="shared" si="3"/>
        <v>0</v>
      </c>
      <c r="K75" s="68">
        <v>0</v>
      </c>
    </row>
    <row r="76" spans="1:11" x14ac:dyDescent="0.55000000000000004">
      <c r="A76" s="48" t="s">
        <v>349</v>
      </c>
      <c r="B76" s="48"/>
      <c r="C76" s="2" t="s">
        <v>2</v>
      </c>
      <c r="D76" s="1">
        <v>0</v>
      </c>
      <c r="E76" s="1">
        <v>0</v>
      </c>
      <c r="F76" s="1">
        <v>0</v>
      </c>
      <c r="G76" s="1">
        <v>0</v>
      </c>
      <c r="H76" s="1">
        <f t="shared" si="2"/>
        <v>0</v>
      </c>
      <c r="I76" s="1">
        <v>70</v>
      </c>
      <c r="J76" s="61">
        <f t="shared" si="3"/>
        <v>0</v>
      </c>
      <c r="K76" s="68">
        <v>0</v>
      </c>
    </row>
    <row r="77" spans="1:11" x14ac:dyDescent="0.55000000000000004">
      <c r="A77" s="48" t="s">
        <v>350</v>
      </c>
      <c r="B77" s="48"/>
      <c r="C77" s="2" t="s">
        <v>15</v>
      </c>
      <c r="D77" s="1">
        <v>0</v>
      </c>
      <c r="E77" s="1">
        <v>0</v>
      </c>
      <c r="F77" s="1">
        <v>2</v>
      </c>
      <c r="G77" s="1">
        <v>0</v>
      </c>
      <c r="H77" s="1">
        <f t="shared" si="2"/>
        <v>0</v>
      </c>
      <c r="I77" s="1">
        <v>158</v>
      </c>
      <c r="J77" s="61">
        <f t="shared" si="3"/>
        <v>0</v>
      </c>
      <c r="K77" s="68">
        <v>0</v>
      </c>
    </row>
    <row r="78" spans="1:11" x14ac:dyDescent="0.55000000000000004">
      <c r="A78" s="48" t="s">
        <v>351</v>
      </c>
      <c r="B78" s="48"/>
      <c r="C78" s="2" t="s">
        <v>149</v>
      </c>
      <c r="D78" s="1">
        <v>0</v>
      </c>
      <c r="E78" s="1">
        <v>0</v>
      </c>
      <c r="F78" s="1">
        <v>0</v>
      </c>
      <c r="G78" s="1">
        <v>0</v>
      </c>
      <c r="H78" s="1">
        <f t="shared" si="2"/>
        <v>0</v>
      </c>
      <c r="I78" s="1">
        <v>43</v>
      </c>
      <c r="J78" s="61">
        <f t="shared" si="3"/>
        <v>0</v>
      </c>
      <c r="K78" s="68">
        <v>0</v>
      </c>
    </row>
    <row r="79" spans="1:11" x14ac:dyDescent="0.55000000000000004">
      <c r="A79" s="48" t="s">
        <v>352</v>
      </c>
      <c r="B79" s="48"/>
      <c r="C79" s="2" t="s">
        <v>40</v>
      </c>
      <c r="D79" s="1">
        <v>3</v>
      </c>
      <c r="E79" s="1">
        <v>0</v>
      </c>
      <c r="F79" s="1">
        <v>1</v>
      </c>
      <c r="G79" s="1">
        <v>0</v>
      </c>
      <c r="H79" s="1">
        <f t="shared" si="2"/>
        <v>3</v>
      </c>
      <c r="I79" s="1">
        <v>552</v>
      </c>
      <c r="J79" s="61">
        <f t="shared" si="3"/>
        <v>5.434782608695652E-3</v>
      </c>
      <c r="K79" s="68">
        <v>0</v>
      </c>
    </row>
    <row r="80" spans="1:11" x14ac:dyDescent="0.55000000000000004">
      <c r="A80" s="48" t="s">
        <v>368</v>
      </c>
      <c r="B80" s="48"/>
      <c r="C80" s="2" t="s">
        <v>99</v>
      </c>
      <c r="D80" s="1">
        <v>0</v>
      </c>
      <c r="E80" s="1">
        <v>0</v>
      </c>
      <c r="F80" s="1">
        <v>1</v>
      </c>
      <c r="G80" s="1">
        <v>0</v>
      </c>
      <c r="H80" s="1">
        <f t="shared" si="2"/>
        <v>0</v>
      </c>
      <c r="I80" s="1">
        <v>45</v>
      </c>
      <c r="J80" s="61">
        <f t="shared" si="3"/>
        <v>0</v>
      </c>
      <c r="K80" s="68">
        <v>0</v>
      </c>
    </row>
    <row r="81" spans="1:11" x14ac:dyDescent="0.55000000000000004">
      <c r="A81" s="48" t="s">
        <v>369</v>
      </c>
      <c r="B81" s="48"/>
      <c r="C81" s="2" t="s">
        <v>148</v>
      </c>
      <c r="D81" s="1">
        <v>0</v>
      </c>
      <c r="E81" s="1">
        <v>0</v>
      </c>
      <c r="F81" s="1">
        <v>0</v>
      </c>
      <c r="G81" s="1">
        <v>0</v>
      </c>
      <c r="H81" s="1">
        <f t="shared" si="2"/>
        <v>0</v>
      </c>
      <c r="I81" s="1">
        <v>65</v>
      </c>
      <c r="J81" s="61">
        <f t="shared" si="3"/>
        <v>0</v>
      </c>
      <c r="K81" s="68">
        <v>0</v>
      </c>
    </row>
    <row r="82" spans="1:11" x14ac:dyDescent="0.55000000000000004">
      <c r="A82" s="48" t="s">
        <v>370</v>
      </c>
      <c r="B82" s="48"/>
      <c r="C82" s="2" t="s">
        <v>147</v>
      </c>
      <c r="D82" s="1">
        <v>0</v>
      </c>
      <c r="E82" s="1">
        <v>0</v>
      </c>
      <c r="F82" s="1">
        <v>0</v>
      </c>
      <c r="G82" s="1">
        <v>0</v>
      </c>
      <c r="H82" s="1">
        <f t="shared" si="2"/>
        <v>0</v>
      </c>
      <c r="I82" s="1">
        <v>257</v>
      </c>
      <c r="J82" s="61">
        <f t="shared" si="3"/>
        <v>0</v>
      </c>
      <c r="K82" s="68">
        <v>0</v>
      </c>
    </row>
    <row r="83" spans="1:11" x14ac:dyDescent="0.55000000000000004">
      <c r="A83" s="48" t="s">
        <v>371</v>
      </c>
      <c r="B83" s="48"/>
      <c r="C83" s="2" t="s">
        <v>15</v>
      </c>
      <c r="D83" s="1">
        <v>0</v>
      </c>
      <c r="E83" s="1">
        <v>0</v>
      </c>
      <c r="F83" s="1">
        <v>0</v>
      </c>
      <c r="G83" s="1">
        <v>0</v>
      </c>
      <c r="H83" s="1">
        <f t="shared" si="2"/>
        <v>0</v>
      </c>
      <c r="I83" s="1">
        <v>81</v>
      </c>
      <c r="J83" s="61">
        <f t="shared" si="3"/>
        <v>0</v>
      </c>
      <c r="K83" s="68">
        <v>0</v>
      </c>
    </row>
    <row r="84" spans="1:11" x14ac:dyDescent="0.55000000000000004">
      <c r="A84" s="48" t="s">
        <v>372</v>
      </c>
      <c r="B84" s="48"/>
      <c r="C84" s="2" t="s">
        <v>2</v>
      </c>
      <c r="D84" s="1">
        <v>0</v>
      </c>
      <c r="E84" s="1">
        <v>0</v>
      </c>
      <c r="F84" s="1">
        <v>0</v>
      </c>
      <c r="G84" s="1">
        <v>0</v>
      </c>
      <c r="H84" s="1">
        <f t="shared" si="2"/>
        <v>0</v>
      </c>
      <c r="I84" s="1">
        <v>13</v>
      </c>
      <c r="J84" s="61">
        <f t="shared" si="3"/>
        <v>0</v>
      </c>
      <c r="K84" s="68">
        <v>0</v>
      </c>
    </row>
    <row r="85" spans="1:11" x14ac:dyDescent="0.55000000000000004">
      <c r="A85" s="48" t="s">
        <v>373</v>
      </c>
      <c r="B85" s="48"/>
      <c r="C85" s="2" t="s">
        <v>149</v>
      </c>
      <c r="D85" s="1">
        <v>0</v>
      </c>
      <c r="E85" s="1">
        <v>0</v>
      </c>
      <c r="F85" s="1">
        <v>0</v>
      </c>
      <c r="G85" s="1">
        <v>0</v>
      </c>
      <c r="H85" s="1">
        <f t="shared" si="2"/>
        <v>0</v>
      </c>
      <c r="I85" s="1">
        <v>16</v>
      </c>
      <c r="J85" s="61">
        <f t="shared" si="3"/>
        <v>0</v>
      </c>
      <c r="K85" s="68">
        <v>0</v>
      </c>
    </row>
    <row r="86" spans="1:11" x14ac:dyDescent="0.55000000000000004">
      <c r="A86" s="48" t="s">
        <v>374</v>
      </c>
      <c r="B86" s="48"/>
      <c r="C86" s="2" t="s">
        <v>147</v>
      </c>
      <c r="D86" s="1">
        <v>2</v>
      </c>
      <c r="E86" s="1">
        <v>0</v>
      </c>
      <c r="F86" s="1">
        <v>0</v>
      </c>
      <c r="G86" s="1">
        <v>0</v>
      </c>
      <c r="H86" s="1">
        <f t="shared" si="2"/>
        <v>2</v>
      </c>
      <c r="I86" s="1">
        <v>424</v>
      </c>
      <c r="J86" s="61">
        <f t="shared" si="3"/>
        <v>4.7169811320754715E-3</v>
      </c>
      <c r="K86" s="68">
        <v>0</v>
      </c>
    </row>
    <row r="87" spans="1:11" x14ac:dyDescent="0.55000000000000004">
      <c r="A87" s="48" t="s">
        <v>375</v>
      </c>
      <c r="B87" s="48"/>
      <c r="C87" s="2" t="s">
        <v>99</v>
      </c>
      <c r="D87" s="1">
        <v>0</v>
      </c>
      <c r="E87" s="1">
        <v>0</v>
      </c>
      <c r="F87" s="1">
        <v>0</v>
      </c>
      <c r="G87" s="1">
        <v>0</v>
      </c>
      <c r="H87" s="1">
        <f t="shared" si="2"/>
        <v>0</v>
      </c>
      <c r="I87" s="1">
        <v>131</v>
      </c>
      <c r="J87" s="61">
        <f t="shared" si="3"/>
        <v>0</v>
      </c>
      <c r="K87" s="68">
        <v>0</v>
      </c>
    </row>
    <row r="88" spans="1:11" x14ac:dyDescent="0.55000000000000004">
      <c r="A88" s="48" t="s">
        <v>376</v>
      </c>
      <c r="B88" s="48"/>
      <c r="C88" s="2" t="s">
        <v>40</v>
      </c>
      <c r="D88" s="1">
        <v>0</v>
      </c>
      <c r="E88" s="1">
        <v>0</v>
      </c>
      <c r="F88" s="1">
        <v>0</v>
      </c>
      <c r="G88" s="1">
        <v>0</v>
      </c>
      <c r="H88" s="1">
        <f t="shared" si="2"/>
        <v>0</v>
      </c>
      <c r="I88" s="1">
        <v>185</v>
      </c>
      <c r="J88" s="61">
        <f t="shared" si="3"/>
        <v>0</v>
      </c>
      <c r="K88" s="68">
        <v>0</v>
      </c>
    </row>
    <row r="89" spans="1:11" x14ac:dyDescent="0.55000000000000004">
      <c r="A89" s="48" t="s">
        <v>377</v>
      </c>
      <c r="B89" s="48"/>
      <c r="C89" s="2" t="s">
        <v>148</v>
      </c>
      <c r="D89" s="1">
        <v>0</v>
      </c>
      <c r="E89" s="1">
        <v>0</v>
      </c>
      <c r="F89" s="1">
        <v>0</v>
      </c>
      <c r="G89" s="1">
        <v>0</v>
      </c>
      <c r="H89" s="1">
        <f t="shared" si="2"/>
        <v>0</v>
      </c>
      <c r="I89" s="1">
        <v>147</v>
      </c>
      <c r="J89" s="61">
        <f t="shared" si="3"/>
        <v>0</v>
      </c>
      <c r="K89" s="68">
        <v>0</v>
      </c>
    </row>
    <row r="90" spans="1:11" x14ac:dyDescent="0.55000000000000004">
      <c r="A90" s="48" t="s">
        <v>378</v>
      </c>
      <c r="B90" s="48"/>
      <c r="C90" s="2" t="s">
        <v>2</v>
      </c>
      <c r="D90" s="1">
        <v>0</v>
      </c>
      <c r="E90" s="1">
        <v>0</v>
      </c>
      <c r="F90" s="1">
        <v>0</v>
      </c>
      <c r="G90" s="1">
        <v>0</v>
      </c>
      <c r="H90" s="1">
        <f t="shared" si="2"/>
        <v>0</v>
      </c>
      <c r="I90" s="1">
        <v>86</v>
      </c>
      <c r="J90" s="61">
        <f t="shared" si="3"/>
        <v>0</v>
      </c>
      <c r="K90" s="68">
        <v>0</v>
      </c>
    </row>
    <row r="91" spans="1:11" x14ac:dyDescent="0.55000000000000004">
      <c r="A91" s="48" t="s">
        <v>379</v>
      </c>
      <c r="B91" s="48"/>
      <c r="C91" s="2" t="s">
        <v>15</v>
      </c>
      <c r="D91" s="1">
        <v>0</v>
      </c>
      <c r="E91" s="1">
        <v>0</v>
      </c>
      <c r="F91" s="1">
        <v>0</v>
      </c>
      <c r="G91" s="1">
        <v>0</v>
      </c>
      <c r="H91" s="1">
        <f t="shared" si="2"/>
        <v>0</v>
      </c>
      <c r="I91" s="1">
        <v>114</v>
      </c>
      <c r="J91" s="61">
        <f t="shared" si="3"/>
        <v>0</v>
      </c>
      <c r="K91" s="68">
        <v>0</v>
      </c>
    </row>
    <row r="92" spans="1:11" x14ac:dyDescent="0.55000000000000004">
      <c r="A92" s="48" t="s">
        <v>380</v>
      </c>
      <c r="B92" s="48"/>
      <c r="C92" s="2" t="s">
        <v>149</v>
      </c>
      <c r="D92" s="1">
        <v>0</v>
      </c>
      <c r="E92" s="1">
        <v>0</v>
      </c>
      <c r="F92" s="1">
        <v>0</v>
      </c>
      <c r="G92" s="1">
        <v>0</v>
      </c>
      <c r="H92" s="1">
        <f t="shared" si="2"/>
        <v>0</v>
      </c>
      <c r="I92" s="1">
        <v>88</v>
      </c>
      <c r="J92" s="61">
        <f t="shared" si="3"/>
        <v>0</v>
      </c>
      <c r="K92" s="68">
        <v>0</v>
      </c>
    </row>
    <row r="93" spans="1:11" x14ac:dyDescent="0.55000000000000004">
      <c r="A93" s="48" t="s">
        <v>381</v>
      </c>
      <c r="B93" s="48"/>
      <c r="C93" s="2" t="s">
        <v>40</v>
      </c>
      <c r="D93" s="1">
        <v>0</v>
      </c>
      <c r="E93" s="1">
        <v>0</v>
      </c>
      <c r="F93" s="1">
        <v>0</v>
      </c>
      <c r="G93" s="1">
        <v>0</v>
      </c>
      <c r="H93" s="1">
        <f t="shared" si="2"/>
        <v>0</v>
      </c>
      <c r="I93" s="1">
        <v>25</v>
      </c>
      <c r="J93" s="61">
        <f t="shared" si="3"/>
        <v>0</v>
      </c>
      <c r="K93" s="68">
        <v>0</v>
      </c>
    </row>
    <row r="94" spans="1:11" x14ac:dyDescent="0.55000000000000004">
      <c r="A94" s="48" t="s">
        <v>382</v>
      </c>
      <c r="B94" s="48"/>
      <c r="C94" s="2" t="s">
        <v>99</v>
      </c>
      <c r="D94" s="1">
        <v>0</v>
      </c>
      <c r="E94" s="1">
        <v>0</v>
      </c>
      <c r="F94" s="1">
        <v>0</v>
      </c>
      <c r="G94" s="1">
        <v>0</v>
      </c>
      <c r="H94" s="1">
        <f t="shared" si="2"/>
        <v>0</v>
      </c>
      <c r="I94" s="1">
        <v>7</v>
      </c>
      <c r="J94" s="61">
        <f t="shared" si="3"/>
        <v>0</v>
      </c>
      <c r="K94" s="68">
        <v>0</v>
      </c>
    </row>
    <row r="95" spans="1:11" x14ac:dyDescent="0.55000000000000004">
      <c r="A95" s="48" t="s">
        <v>383</v>
      </c>
      <c r="B95" s="48"/>
      <c r="C95" s="2" t="s">
        <v>148</v>
      </c>
      <c r="D95" s="1">
        <v>0</v>
      </c>
      <c r="E95" s="1">
        <v>0</v>
      </c>
      <c r="F95" s="1">
        <v>0</v>
      </c>
      <c r="G95" s="1">
        <v>0</v>
      </c>
      <c r="H95" s="1">
        <f t="shared" si="2"/>
        <v>0</v>
      </c>
      <c r="I95" s="1">
        <v>15</v>
      </c>
      <c r="J95" s="61">
        <f t="shared" si="3"/>
        <v>0</v>
      </c>
      <c r="K95" s="68">
        <v>0</v>
      </c>
    </row>
    <row r="96" spans="1:11" x14ac:dyDescent="0.55000000000000004">
      <c r="A96" s="48" t="s">
        <v>384</v>
      </c>
      <c r="B96" s="48"/>
      <c r="C96" s="2" t="s">
        <v>147</v>
      </c>
      <c r="D96" s="1">
        <v>0</v>
      </c>
      <c r="E96" s="1">
        <v>0</v>
      </c>
      <c r="F96" s="1">
        <v>0</v>
      </c>
      <c r="G96" s="1">
        <v>0</v>
      </c>
      <c r="H96" s="1">
        <f t="shared" si="2"/>
        <v>0</v>
      </c>
      <c r="I96" s="1">
        <v>13</v>
      </c>
      <c r="J96" s="61">
        <f t="shared" si="3"/>
        <v>0</v>
      </c>
      <c r="K96" s="68">
        <v>0</v>
      </c>
    </row>
    <row r="97" spans="1:11" x14ac:dyDescent="0.55000000000000004">
      <c r="A97" s="48" t="s">
        <v>385</v>
      </c>
      <c r="B97" s="48"/>
      <c r="C97" s="2" t="s">
        <v>2</v>
      </c>
      <c r="D97" s="1">
        <v>0</v>
      </c>
      <c r="E97" s="1">
        <v>0</v>
      </c>
      <c r="F97" s="1">
        <v>0</v>
      </c>
      <c r="G97" s="1">
        <v>0</v>
      </c>
      <c r="H97" s="1">
        <f t="shared" si="2"/>
        <v>0</v>
      </c>
      <c r="I97" s="1">
        <v>2</v>
      </c>
      <c r="J97" s="61">
        <f t="shared" si="3"/>
        <v>0</v>
      </c>
      <c r="K97" s="68">
        <v>0</v>
      </c>
    </row>
    <row r="98" spans="1:11" x14ac:dyDescent="0.55000000000000004">
      <c r="A98" s="48" t="s">
        <v>403</v>
      </c>
      <c r="B98" s="48"/>
      <c r="C98" s="2" t="s">
        <v>15</v>
      </c>
      <c r="D98" s="1">
        <v>0</v>
      </c>
      <c r="E98" s="1">
        <v>0</v>
      </c>
      <c r="F98" s="1">
        <v>0</v>
      </c>
      <c r="G98" s="1">
        <v>0</v>
      </c>
      <c r="H98" s="1">
        <f t="shared" si="2"/>
        <v>0</v>
      </c>
      <c r="I98" s="1">
        <v>0</v>
      </c>
      <c r="J98" s="61">
        <f t="shared" si="3"/>
        <v>0</v>
      </c>
      <c r="K98" s="68">
        <v>0</v>
      </c>
    </row>
    <row r="99" spans="1:11" x14ac:dyDescent="0.55000000000000004">
      <c r="A99" s="48" t="s">
        <v>404</v>
      </c>
      <c r="B99" s="48"/>
      <c r="C99" s="2" t="s">
        <v>149</v>
      </c>
      <c r="D99" s="1">
        <v>0</v>
      </c>
      <c r="E99" s="1">
        <v>0</v>
      </c>
      <c r="F99" s="1">
        <v>0</v>
      </c>
      <c r="G99" s="1">
        <v>0</v>
      </c>
      <c r="H99" s="1">
        <f t="shared" si="2"/>
        <v>0</v>
      </c>
      <c r="I99" s="1">
        <v>0</v>
      </c>
      <c r="J99" s="61">
        <f t="shared" si="3"/>
        <v>0</v>
      </c>
      <c r="K99" s="68">
        <v>0</v>
      </c>
    </row>
    <row r="100" spans="1:11" x14ac:dyDescent="0.55000000000000004">
      <c r="A100" s="48" t="s">
        <v>405</v>
      </c>
      <c r="B100" s="48"/>
      <c r="C100" s="2" t="s">
        <v>148</v>
      </c>
      <c r="D100" s="1">
        <v>0</v>
      </c>
      <c r="E100" s="1">
        <v>0</v>
      </c>
      <c r="F100" s="1">
        <v>0</v>
      </c>
      <c r="G100" s="1">
        <v>0</v>
      </c>
      <c r="H100" s="1">
        <f t="shared" si="2"/>
        <v>0</v>
      </c>
      <c r="I100" s="1">
        <v>15</v>
      </c>
      <c r="J100" s="61">
        <f t="shared" si="3"/>
        <v>0</v>
      </c>
      <c r="K100" s="68">
        <v>0</v>
      </c>
    </row>
    <row r="101" spans="1:11" x14ac:dyDescent="0.55000000000000004">
      <c r="A101" s="48" t="s">
        <v>406</v>
      </c>
      <c r="B101" s="48"/>
      <c r="C101" s="2" t="s">
        <v>99</v>
      </c>
      <c r="D101" s="1">
        <v>0</v>
      </c>
      <c r="E101" s="1">
        <v>0</v>
      </c>
      <c r="F101" s="1">
        <v>0</v>
      </c>
      <c r="G101" s="1">
        <v>0</v>
      </c>
      <c r="H101" s="1">
        <f t="shared" si="2"/>
        <v>0</v>
      </c>
      <c r="I101" s="1">
        <v>7</v>
      </c>
      <c r="J101" s="61">
        <f t="shared" si="3"/>
        <v>0</v>
      </c>
      <c r="K101" s="68">
        <v>0</v>
      </c>
    </row>
    <row r="102" spans="1:11" x14ac:dyDescent="0.55000000000000004">
      <c r="A102" s="48" t="s">
        <v>407</v>
      </c>
      <c r="B102" s="48"/>
      <c r="C102" s="2" t="s">
        <v>40</v>
      </c>
      <c r="D102" s="1">
        <v>0</v>
      </c>
      <c r="E102" s="1">
        <v>0</v>
      </c>
      <c r="F102" s="1">
        <v>0</v>
      </c>
      <c r="G102" s="1">
        <v>0</v>
      </c>
      <c r="H102" s="1">
        <f t="shared" si="2"/>
        <v>0</v>
      </c>
      <c r="I102" s="1">
        <v>25</v>
      </c>
      <c r="J102" s="61">
        <f t="shared" si="3"/>
        <v>0</v>
      </c>
      <c r="K102" s="68">
        <v>0</v>
      </c>
    </row>
    <row r="103" spans="1:11" x14ac:dyDescent="0.55000000000000004">
      <c r="A103" s="62" t="s">
        <v>414</v>
      </c>
      <c r="B103" s="62"/>
      <c r="C103" s="38" t="s">
        <v>147</v>
      </c>
      <c r="D103" s="39">
        <v>0</v>
      </c>
      <c r="E103" s="39">
        <v>0</v>
      </c>
      <c r="F103" s="39">
        <v>0</v>
      </c>
      <c r="G103" s="39">
        <v>0</v>
      </c>
      <c r="H103" s="1">
        <f t="shared" si="2"/>
        <v>0</v>
      </c>
      <c r="I103" s="39">
        <v>13</v>
      </c>
      <c r="J103" s="61">
        <f t="shared" si="3"/>
        <v>0</v>
      </c>
      <c r="K103" s="71">
        <v>0</v>
      </c>
    </row>
    <row r="104" spans="1:11" x14ac:dyDescent="0.55000000000000004">
      <c r="A104" s="62" t="s">
        <v>415</v>
      </c>
      <c r="B104" s="62"/>
      <c r="C104" s="38" t="s">
        <v>2</v>
      </c>
      <c r="D104" s="39">
        <v>0</v>
      </c>
      <c r="E104" s="39">
        <v>0</v>
      </c>
      <c r="F104" s="39">
        <v>0</v>
      </c>
      <c r="G104" s="39">
        <v>0</v>
      </c>
      <c r="H104" s="1">
        <f t="shared" si="2"/>
        <v>0</v>
      </c>
      <c r="I104" s="39">
        <v>2</v>
      </c>
      <c r="J104" s="61">
        <f t="shared" si="3"/>
        <v>0</v>
      </c>
      <c r="K104" s="71">
        <v>0</v>
      </c>
    </row>
    <row r="105" spans="1:11" x14ac:dyDescent="0.55000000000000004">
      <c r="A105" s="62" t="s">
        <v>416</v>
      </c>
      <c r="B105" s="62"/>
      <c r="C105" s="38" t="s">
        <v>15</v>
      </c>
      <c r="D105" s="39">
        <v>0</v>
      </c>
      <c r="E105" s="39">
        <v>0</v>
      </c>
      <c r="F105" s="39">
        <v>0</v>
      </c>
      <c r="G105" s="39">
        <v>0</v>
      </c>
      <c r="H105" s="1">
        <f t="shared" si="2"/>
        <v>0</v>
      </c>
      <c r="I105" s="39">
        <v>0</v>
      </c>
      <c r="J105" s="61">
        <f t="shared" si="3"/>
        <v>0</v>
      </c>
      <c r="K105" s="71">
        <v>0</v>
      </c>
    </row>
    <row r="106" spans="1:11" x14ac:dyDescent="0.55000000000000004">
      <c r="A106" s="62" t="s">
        <v>456</v>
      </c>
      <c r="B106" s="62"/>
      <c r="C106" s="38" t="s">
        <v>149</v>
      </c>
      <c r="D106" s="39">
        <v>0</v>
      </c>
      <c r="E106" s="39">
        <v>0</v>
      </c>
      <c r="F106" s="39">
        <v>0</v>
      </c>
      <c r="G106" s="39">
        <v>0</v>
      </c>
      <c r="H106" s="1">
        <f t="shared" si="2"/>
        <v>0</v>
      </c>
      <c r="I106" s="39">
        <v>0</v>
      </c>
      <c r="J106" s="61">
        <f t="shared" si="3"/>
        <v>0</v>
      </c>
      <c r="K106" s="71">
        <v>0</v>
      </c>
    </row>
    <row r="107" spans="1:11" x14ac:dyDescent="0.55000000000000004">
      <c r="A107" s="62" t="s">
        <v>457</v>
      </c>
      <c r="B107" s="62"/>
      <c r="C107" s="38" t="s">
        <v>40</v>
      </c>
      <c r="D107" s="39">
        <v>0</v>
      </c>
      <c r="E107" s="39">
        <v>0</v>
      </c>
      <c r="F107" s="39">
        <v>0</v>
      </c>
      <c r="G107" s="39">
        <v>0</v>
      </c>
      <c r="H107" s="1">
        <f t="shared" si="2"/>
        <v>0</v>
      </c>
      <c r="I107" s="39">
        <v>139</v>
      </c>
      <c r="J107" s="61">
        <f t="shared" si="3"/>
        <v>0</v>
      </c>
      <c r="K107" s="71">
        <v>0</v>
      </c>
    </row>
    <row r="108" spans="1:11" x14ac:dyDescent="0.55000000000000004">
      <c r="A108" s="62" t="s">
        <v>458</v>
      </c>
      <c r="B108" s="62"/>
      <c r="C108" s="38" t="s">
        <v>99</v>
      </c>
      <c r="D108" s="39">
        <v>0</v>
      </c>
      <c r="E108" s="39">
        <v>0</v>
      </c>
      <c r="F108" s="39">
        <v>0</v>
      </c>
      <c r="G108" s="39">
        <v>0</v>
      </c>
      <c r="H108" s="1">
        <f t="shared" si="2"/>
        <v>0</v>
      </c>
      <c r="I108" s="39">
        <v>1</v>
      </c>
      <c r="J108" s="61">
        <f t="shared" si="3"/>
        <v>0</v>
      </c>
      <c r="K108" s="71">
        <v>0</v>
      </c>
    </row>
    <row r="109" spans="1:11" x14ac:dyDescent="0.55000000000000004">
      <c r="A109" s="62" t="s">
        <v>459</v>
      </c>
      <c r="B109" s="62"/>
      <c r="C109" s="38" t="s">
        <v>148</v>
      </c>
      <c r="D109" s="39">
        <v>0</v>
      </c>
      <c r="E109" s="39">
        <v>0</v>
      </c>
      <c r="F109" s="39">
        <v>0</v>
      </c>
      <c r="G109" s="39">
        <v>0</v>
      </c>
      <c r="H109" s="1">
        <f t="shared" si="2"/>
        <v>0</v>
      </c>
      <c r="I109" s="39">
        <v>31</v>
      </c>
      <c r="J109" s="61">
        <f t="shared" si="3"/>
        <v>0</v>
      </c>
      <c r="K109" s="71">
        <v>0</v>
      </c>
    </row>
    <row r="110" spans="1:11" x14ac:dyDescent="0.55000000000000004">
      <c r="A110" s="62" t="s">
        <v>460</v>
      </c>
      <c r="B110" s="62"/>
      <c r="C110" s="38" t="s">
        <v>147</v>
      </c>
      <c r="D110" s="39">
        <v>0</v>
      </c>
      <c r="E110" s="39">
        <v>0</v>
      </c>
      <c r="F110" s="39">
        <v>0</v>
      </c>
      <c r="G110" s="39">
        <v>0</v>
      </c>
      <c r="H110" s="1">
        <f t="shared" si="2"/>
        <v>0</v>
      </c>
      <c r="I110" s="39">
        <v>14</v>
      </c>
      <c r="J110" s="61">
        <f t="shared" si="3"/>
        <v>0</v>
      </c>
      <c r="K110" s="71">
        <v>0</v>
      </c>
    </row>
    <row r="111" spans="1:11" x14ac:dyDescent="0.55000000000000004">
      <c r="A111" s="62" t="s">
        <v>481</v>
      </c>
      <c r="B111" s="62"/>
      <c r="C111" s="2" t="s">
        <v>2</v>
      </c>
      <c r="D111" s="1">
        <v>0</v>
      </c>
      <c r="E111" s="1">
        <v>0</v>
      </c>
      <c r="F111" s="1">
        <v>0</v>
      </c>
      <c r="G111" s="1">
        <v>0</v>
      </c>
      <c r="H111" s="1">
        <f t="shared" si="2"/>
        <v>0</v>
      </c>
      <c r="I111" s="1">
        <v>19</v>
      </c>
      <c r="J111" s="61">
        <f t="shared" si="3"/>
        <v>0</v>
      </c>
      <c r="K111" s="68">
        <v>0</v>
      </c>
    </row>
    <row r="112" spans="1:11" x14ac:dyDescent="0.55000000000000004">
      <c r="A112" s="62" t="s">
        <v>482</v>
      </c>
      <c r="B112" s="62"/>
      <c r="C112" s="2" t="s">
        <v>15</v>
      </c>
      <c r="D112" s="1">
        <v>0</v>
      </c>
      <c r="E112" s="1">
        <v>0</v>
      </c>
      <c r="F112" s="1">
        <v>0</v>
      </c>
      <c r="G112" s="1">
        <v>0</v>
      </c>
      <c r="H112" s="1">
        <f t="shared" si="2"/>
        <v>0</v>
      </c>
      <c r="I112" s="1">
        <v>7</v>
      </c>
      <c r="J112" s="61">
        <f t="shared" si="3"/>
        <v>0</v>
      </c>
      <c r="K112" s="68">
        <v>0</v>
      </c>
    </row>
    <row r="113" spans="1:11" x14ac:dyDescent="0.55000000000000004">
      <c r="A113" s="62" t="s">
        <v>483</v>
      </c>
      <c r="B113" s="62"/>
      <c r="C113" s="2" t="s">
        <v>149</v>
      </c>
      <c r="D113" s="1">
        <v>0</v>
      </c>
      <c r="E113" s="1">
        <v>0</v>
      </c>
      <c r="F113" s="1">
        <v>0</v>
      </c>
      <c r="G113" s="1">
        <v>0</v>
      </c>
      <c r="H113" s="1">
        <f t="shared" si="2"/>
        <v>0</v>
      </c>
      <c r="I113" s="1">
        <v>0</v>
      </c>
      <c r="J113" s="61">
        <f t="shared" si="3"/>
        <v>0</v>
      </c>
      <c r="K113" s="68">
        <v>0</v>
      </c>
    </row>
    <row r="114" spans="1:11" x14ac:dyDescent="0.55000000000000004">
      <c r="A114" s="62" t="s">
        <v>484</v>
      </c>
      <c r="B114" s="62"/>
      <c r="C114" s="2" t="s">
        <v>40</v>
      </c>
      <c r="D114" s="1">
        <v>0</v>
      </c>
      <c r="E114" s="1">
        <v>0</v>
      </c>
      <c r="F114" s="1">
        <v>0</v>
      </c>
      <c r="G114" s="1">
        <v>0</v>
      </c>
      <c r="H114" s="1">
        <f t="shared" si="2"/>
        <v>0</v>
      </c>
      <c r="I114" s="1">
        <v>90</v>
      </c>
      <c r="J114" s="61">
        <f t="shared" si="3"/>
        <v>0</v>
      </c>
      <c r="K114" s="68">
        <v>0</v>
      </c>
    </row>
    <row r="115" spans="1:11" x14ac:dyDescent="0.55000000000000004">
      <c r="A115" s="62" t="s">
        <v>485</v>
      </c>
      <c r="B115" s="62"/>
      <c r="C115" s="2" t="s">
        <v>99</v>
      </c>
      <c r="D115" s="1">
        <v>0</v>
      </c>
      <c r="E115" s="1">
        <v>0</v>
      </c>
      <c r="F115" s="1">
        <v>0</v>
      </c>
      <c r="G115" s="1">
        <v>0</v>
      </c>
      <c r="H115" s="1">
        <f t="shared" si="2"/>
        <v>0</v>
      </c>
      <c r="I115" s="1">
        <v>31</v>
      </c>
      <c r="J115" s="61">
        <f t="shared" si="3"/>
        <v>0</v>
      </c>
      <c r="K115" s="68">
        <v>0</v>
      </c>
    </row>
    <row r="116" spans="1:11" x14ac:dyDescent="0.55000000000000004">
      <c r="A116" s="62" t="s">
        <v>486</v>
      </c>
      <c r="B116" s="62"/>
      <c r="C116" s="2" t="s">
        <v>163</v>
      </c>
      <c r="D116" s="1">
        <v>1</v>
      </c>
      <c r="E116" s="1">
        <v>0</v>
      </c>
      <c r="F116" s="1">
        <v>0</v>
      </c>
      <c r="G116" s="1">
        <v>0</v>
      </c>
      <c r="H116" s="1">
        <f t="shared" si="2"/>
        <v>1</v>
      </c>
      <c r="I116" s="1">
        <v>31</v>
      </c>
      <c r="J116" s="61">
        <f t="shared" si="3"/>
        <v>3.2258064516129031E-2</v>
      </c>
      <c r="K116" s="68">
        <v>0</v>
      </c>
    </row>
    <row r="117" spans="1:11" x14ac:dyDescent="0.55000000000000004">
      <c r="A117" s="62" t="s">
        <v>487</v>
      </c>
      <c r="B117" s="62"/>
      <c r="C117" s="2" t="s">
        <v>147</v>
      </c>
      <c r="D117" s="1">
        <v>1</v>
      </c>
      <c r="E117" s="1">
        <v>0</v>
      </c>
      <c r="F117" s="1">
        <v>0</v>
      </c>
      <c r="G117" s="1">
        <v>0</v>
      </c>
      <c r="H117" s="1">
        <f t="shared" si="2"/>
        <v>1</v>
      </c>
      <c r="I117" s="1">
        <v>57</v>
      </c>
      <c r="J117" s="61">
        <f t="shared" si="3"/>
        <v>1.7543859649122806E-2</v>
      </c>
      <c r="K117" s="68">
        <v>0</v>
      </c>
    </row>
    <row r="118" spans="1:11" x14ac:dyDescent="0.55000000000000004">
      <c r="A118" s="62" t="s">
        <v>488</v>
      </c>
      <c r="B118" s="62"/>
      <c r="C118" s="2" t="s">
        <v>40</v>
      </c>
      <c r="D118" s="1">
        <v>0</v>
      </c>
      <c r="E118" s="1">
        <v>0</v>
      </c>
      <c r="F118" s="1">
        <v>0</v>
      </c>
      <c r="G118" s="1">
        <v>0</v>
      </c>
      <c r="H118" s="1">
        <f t="shared" si="2"/>
        <v>0</v>
      </c>
      <c r="I118" s="1">
        <v>54</v>
      </c>
      <c r="J118" s="61">
        <f t="shared" si="3"/>
        <v>0</v>
      </c>
      <c r="K118" s="68">
        <v>0</v>
      </c>
    </row>
    <row r="119" spans="1:11" x14ac:dyDescent="0.55000000000000004">
      <c r="A119" s="62" t="s">
        <v>489</v>
      </c>
      <c r="B119" s="62"/>
      <c r="C119" s="2" t="s">
        <v>148</v>
      </c>
      <c r="D119" s="1">
        <v>0</v>
      </c>
      <c r="E119" s="1">
        <v>0</v>
      </c>
      <c r="F119" s="1">
        <v>0</v>
      </c>
      <c r="G119" s="1">
        <v>0</v>
      </c>
      <c r="H119" s="1">
        <f t="shared" si="2"/>
        <v>0</v>
      </c>
      <c r="I119" s="1">
        <v>25</v>
      </c>
      <c r="J119" s="61">
        <f t="shared" si="3"/>
        <v>0</v>
      </c>
      <c r="K119" s="68">
        <v>0</v>
      </c>
    </row>
    <row r="120" spans="1:11" x14ac:dyDescent="0.55000000000000004">
      <c r="A120" s="62" t="s">
        <v>490</v>
      </c>
      <c r="B120" s="62"/>
      <c r="C120" s="2" t="s">
        <v>99</v>
      </c>
      <c r="D120" s="1">
        <v>0</v>
      </c>
      <c r="E120" s="1">
        <v>0</v>
      </c>
      <c r="F120" s="1">
        <v>0</v>
      </c>
      <c r="G120" s="1">
        <v>0</v>
      </c>
      <c r="H120" s="1">
        <f t="shared" si="2"/>
        <v>0</v>
      </c>
      <c r="I120" s="1">
        <v>0</v>
      </c>
      <c r="J120" s="61">
        <f t="shared" si="3"/>
        <v>0</v>
      </c>
      <c r="K120" s="68">
        <v>0</v>
      </c>
    </row>
    <row r="121" spans="1:11" x14ac:dyDescent="0.55000000000000004">
      <c r="A121" s="62" t="s">
        <v>491</v>
      </c>
      <c r="B121" s="62"/>
      <c r="C121" s="2" t="s">
        <v>163</v>
      </c>
      <c r="D121" s="1">
        <v>0</v>
      </c>
      <c r="E121" s="1">
        <v>0</v>
      </c>
      <c r="F121" s="1">
        <v>0</v>
      </c>
      <c r="G121" s="1">
        <v>0</v>
      </c>
      <c r="H121" s="1">
        <f t="shared" si="2"/>
        <v>0</v>
      </c>
      <c r="I121" s="1">
        <v>0</v>
      </c>
      <c r="J121" s="61">
        <f t="shared" si="3"/>
        <v>0</v>
      </c>
      <c r="K121" s="68">
        <v>0</v>
      </c>
    </row>
    <row r="122" spans="1:11" x14ac:dyDescent="0.55000000000000004">
      <c r="A122" s="62" t="s">
        <v>492</v>
      </c>
      <c r="B122" s="62"/>
      <c r="C122" s="2" t="s">
        <v>148</v>
      </c>
      <c r="D122" s="1">
        <v>5</v>
      </c>
      <c r="E122" s="1">
        <v>0</v>
      </c>
      <c r="F122" s="1">
        <v>0</v>
      </c>
      <c r="G122" s="1">
        <v>0</v>
      </c>
      <c r="H122" s="1">
        <f t="shared" si="2"/>
        <v>5</v>
      </c>
      <c r="I122" s="1">
        <v>128</v>
      </c>
      <c r="J122" s="61">
        <f t="shared" si="3"/>
        <v>3.90625E-2</v>
      </c>
      <c r="K122" s="68">
        <v>0</v>
      </c>
    </row>
    <row r="123" spans="1:11" x14ac:dyDescent="0.55000000000000004">
      <c r="A123" s="62" t="s">
        <v>493</v>
      </c>
      <c r="B123" s="62"/>
      <c r="C123" s="2" t="s">
        <v>99</v>
      </c>
      <c r="D123" s="1">
        <v>0</v>
      </c>
      <c r="E123" s="1">
        <v>0</v>
      </c>
      <c r="F123" s="1">
        <v>0</v>
      </c>
      <c r="G123" s="1">
        <v>0</v>
      </c>
      <c r="H123" s="1">
        <f t="shared" si="2"/>
        <v>0</v>
      </c>
      <c r="I123" s="1">
        <v>32</v>
      </c>
      <c r="J123" s="61">
        <f t="shared" si="3"/>
        <v>0</v>
      </c>
      <c r="K123" s="68">
        <v>0</v>
      </c>
    </row>
    <row r="124" spans="1:11" x14ac:dyDescent="0.55000000000000004">
      <c r="A124" s="62" t="s">
        <v>494</v>
      </c>
      <c r="B124" s="62"/>
      <c r="C124" s="2" t="s">
        <v>40</v>
      </c>
      <c r="D124" s="1">
        <v>0</v>
      </c>
      <c r="E124" s="1">
        <v>0</v>
      </c>
      <c r="F124" s="1">
        <v>0</v>
      </c>
      <c r="G124" s="1">
        <v>0</v>
      </c>
      <c r="H124" s="1">
        <f t="shared" si="2"/>
        <v>0</v>
      </c>
      <c r="I124" s="1">
        <v>51</v>
      </c>
      <c r="J124" s="61">
        <f t="shared" si="3"/>
        <v>0</v>
      </c>
      <c r="K124" s="68">
        <v>0</v>
      </c>
    </row>
    <row r="125" spans="1:11" x14ac:dyDescent="0.55000000000000004">
      <c r="A125" s="62" t="s">
        <v>495</v>
      </c>
      <c r="B125" s="62"/>
      <c r="C125" s="2" t="s">
        <v>147</v>
      </c>
      <c r="D125" s="1">
        <v>1</v>
      </c>
      <c r="E125" s="1">
        <v>0</v>
      </c>
      <c r="F125" s="1">
        <v>0</v>
      </c>
      <c r="G125" s="1">
        <v>0</v>
      </c>
      <c r="H125" s="1">
        <f t="shared" si="2"/>
        <v>1</v>
      </c>
      <c r="I125" s="1">
        <v>43</v>
      </c>
      <c r="J125" s="61">
        <f t="shared" si="3"/>
        <v>2.3255813953488372E-2</v>
      </c>
      <c r="K125" s="68">
        <v>0</v>
      </c>
    </row>
    <row r="126" spans="1:11" x14ac:dyDescent="0.55000000000000004">
      <c r="A126" s="62" t="s">
        <v>496</v>
      </c>
      <c r="B126" s="62"/>
      <c r="C126" s="2" t="s">
        <v>163</v>
      </c>
      <c r="D126" s="1">
        <v>0</v>
      </c>
      <c r="E126" s="1">
        <v>0</v>
      </c>
      <c r="F126" s="1">
        <v>0</v>
      </c>
      <c r="G126" s="1">
        <v>0</v>
      </c>
      <c r="H126" s="1">
        <f t="shared" si="2"/>
        <v>0</v>
      </c>
      <c r="I126" s="1">
        <v>26</v>
      </c>
      <c r="J126" s="61">
        <f t="shared" si="3"/>
        <v>0</v>
      </c>
      <c r="K126" s="68">
        <v>0</v>
      </c>
    </row>
    <row r="127" spans="1:11" x14ac:dyDescent="0.55000000000000004">
      <c r="A127" s="62" t="s">
        <v>497</v>
      </c>
      <c r="B127" s="62"/>
      <c r="C127" s="2" t="s">
        <v>2</v>
      </c>
      <c r="D127" s="1">
        <v>0</v>
      </c>
      <c r="E127" s="1">
        <v>0</v>
      </c>
      <c r="F127" s="1">
        <v>0</v>
      </c>
      <c r="G127" s="1">
        <v>0</v>
      </c>
      <c r="H127" s="1">
        <f t="shared" si="2"/>
        <v>0</v>
      </c>
      <c r="I127" s="1">
        <v>37</v>
      </c>
      <c r="J127" s="61">
        <f t="shared" si="3"/>
        <v>0</v>
      </c>
      <c r="K127" s="68">
        <v>0</v>
      </c>
    </row>
    <row r="128" spans="1:11" x14ac:dyDescent="0.55000000000000004">
      <c r="A128" s="62" t="s">
        <v>498</v>
      </c>
      <c r="B128" s="62"/>
      <c r="C128" s="2" t="s">
        <v>15</v>
      </c>
      <c r="D128" s="1">
        <v>1</v>
      </c>
      <c r="E128" s="1">
        <v>0</v>
      </c>
      <c r="F128" s="1">
        <v>0</v>
      </c>
      <c r="G128" s="1">
        <v>0</v>
      </c>
      <c r="H128" s="1">
        <f t="shared" si="2"/>
        <v>1</v>
      </c>
      <c r="I128" s="1">
        <v>18</v>
      </c>
      <c r="J128" s="61">
        <f>IF(I128=0,0,H128/I128)</f>
        <v>5.5555555555555552E-2</v>
      </c>
      <c r="K128" s="68">
        <v>0</v>
      </c>
    </row>
    <row r="129" spans="1:11" x14ac:dyDescent="0.55000000000000004">
      <c r="A129" s="62" t="s">
        <v>499</v>
      </c>
      <c r="B129" s="62"/>
      <c r="C129" s="2" t="s">
        <v>40</v>
      </c>
      <c r="D129" s="1">
        <v>0</v>
      </c>
      <c r="E129" s="1">
        <v>0</v>
      </c>
      <c r="F129" s="1">
        <v>0</v>
      </c>
      <c r="G129" s="1">
        <v>0</v>
      </c>
      <c r="H129" s="1">
        <f t="shared" si="2"/>
        <v>0</v>
      </c>
      <c r="I129" s="1">
        <v>54</v>
      </c>
      <c r="J129" s="61">
        <f t="shared" ref="J129:J211" si="4">IF(I129=0,0,H129/I129)</f>
        <v>0</v>
      </c>
      <c r="K129" s="68">
        <v>0</v>
      </c>
    </row>
    <row r="130" spans="1:11" x14ac:dyDescent="0.55000000000000004">
      <c r="A130" s="62" t="s">
        <v>500</v>
      </c>
      <c r="B130" s="62"/>
      <c r="C130" s="2" t="s">
        <v>99</v>
      </c>
      <c r="D130" s="1">
        <v>0</v>
      </c>
      <c r="E130" s="1">
        <v>0</v>
      </c>
      <c r="F130" s="1">
        <v>0</v>
      </c>
      <c r="G130" s="1">
        <v>0</v>
      </c>
      <c r="H130" s="1">
        <f t="shared" si="2"/>
        <v>0</v>
      </c>
      <c r="I130" s="1">
        <v>0</v>
      </c>
      <c r="J130" s="61">
        <f t="shared" si="4"/>
        <v>0</v>
      </c>
      <c r="K130" s="68">
        <v>0</v>
      </c>
    </row>
    <row r="131" spans="1:11" x14ac:dyDescent="0.55000000000000004">
      <c r="A131" s="62" t="s">
        <v>501</v>
      </c>
      <c r="B131" s="62"/>
      <c r="C131" s="2" t="s">
        <v>148</v>
      </c>
      <c r="D131" s="1">
        <v>0</v>
      </c>
      <c r="E131" s="1">
        <v>0</v>
      </c>
      <c r="F131" s="1">
        <v>0</v>
      </c>
      <c r="G131" s="1">
        <v>0</v>
      </c>
      <c r="H131" s="1">
        <f t="shared" si="2"/>
        <v>0</v>
      </c>
      <c r="I131" s="1">
        <v>37</v>
      </c>
      <c r="J131" s="61">
        <f t="shared" si="4"/>
        <v>0</v>
      </c>
      <c r="K131" s="68">
        <v>0</v>
      </c>
    </row>
    <row r="132" spans="1:11" x14ac:dyDescent="0.55000000000000004">
      <c r="A132" s="62" t="s">
        <v>502</v>
      </c>
      <c r="B132" s="62"/>
      <c r="C132" s="2" t="s">
        <v>147</v>
      </c>
      <c r="D132" s="1">
        <v>0</v>
      </c>
      <c r="E132" s="1">
        <v>0</v>
      </c>
      <c r="F132" s="1">
        <v>0</v>
      </c>
      <c r="G132" s="1">
        <v>0</v>
      </c>
      <c r="H132" s="1">
        <f t="shared" ref="H132:H137" si="5">SUM(D132,E132)</f>
        <v>0</v>
      </c>
      <c r="I132" s="1">
        <v>40</v>
      </c>
      <c r="J132" s="61">
        <f t="shared" si="4"/>
        <v>0</v>
      </c>
      <c r="K132" s="68">
        <v>0</v>
      </c>
    </row>
    <row r="133" spans="1:11" x14ac:dyDescent="0.55000000000000004">
      <c r="A133" s="62" t="s">
        <v>503</v>
      </c>
      <c r="B133" s="62"/>
      <c r="C133" s="2" t="s">
        <v>366</v>
      </c>
      <c r="D133" s="1">
        <v>0</v>
      </c>
      <c r="E133" s="1">
        <v>0</v>
      </c>
      <c r="F133" s="1">
        <v>0</v>
      </c>
      <c r="G133" s="1">
        <v>1</v>
      </c>
      <c r="H133" s="1">
        <f t="shared" si="5"/>
        <v>0</v>
      </c>
      <c r="I133" s="1">
        <v>45</v>
      </c>
      <c r="J133" s="61">
        <f t="shared" si="4"/>
        <v>0</v>
      </c>
      <c r="K133" s="68">
        <v>0</v>
      </c>
    </row>
    <row r="134" spans="1:11" x14ac:dyDescent="0.55000000000000004">
      <c r="A134" s="62" t="s">
        <v>511</v>
      </c>
      <c r="B134" s="62"/>
      <c r="C134" s="2" t="s">
        <v>163</v>
      </c>
      <c r="D134" s="1">
        <v>0</v>
      </c>
      <c r="E134" s="1">
        <v>0</v>
      </c>
      <c r="F134" s="1">
        <v>0</v>
      </c>
      <c r="G134" s="1">
        <v>0</v>
      </c>
      <c r="H134" s="1">
        <f t="shared" si="5"/>
        <v>0</v>
      </c>
      <c r="I134" s="1">
        <v>0</v>
      </c>
      <c r="J134" s="61">
        <f t="shared" si="4"/>
        <v>0</v>
      </c>
      <c r="K134" s="68">
        <v>0</v>
      </c>
    </row>
    <row r="135" spans="1:11" x14ac:dyDescent="0.55000000000000004">
      <c r="A135" s="62" t="s">
        <v>512</v>
      </c>
      <c r="B135" s="62"/>
      <c r="C135" s="2" t="s">
        <v>148</v>
      </c>
      <c r="D135" s="1">
        <v>1</v>
      </c>
      <c r="E135" s="1">
        <v>0</v>
      </c>
      <c r="F135" s="1">
        <v>0</v>
      </c>
      <c r="G135" s="1">
        <v>0</v>
      </c>
      <c r="H135" s="1">
        <f t="shared" si="5"/>
        <v>1</v>
      </c>
      <c r="I135" s="1">
        <v>51</v>
      </c>
      <c r="J135" s="61">
        <f t="shared" si="4"/>
        <v>1.9607843137254902E-2</v>
      </c>
      <c r="K135" s="68">
        <v>0</v>
      </c>
    </row>
    <row r="136" spans="1:11" x14ac:dyDescent="0.55000000000000004">
      <c r="A136" s="62" t="s">
        <v>513</v>
      </c>
      <c r="B136" s="62"/>
      <c r="C136" s="38" t="s">
        <v>99</v>
      </c>
      <c r="D136" s="39">
        <v>1</v>
      </c>
      <c r="E136" s="39">
        <v>0</v>
      </c>
      <c r="F136" s="39">
        <v>0</v>
      </c>
      <c r="G136" s="39">
        <v>0</v>
      </c>
      <c r="H136" s="1">
        <f t="shared" si="5"/>
        <v>1</v>
      </c>
      <c r="I136" s="39">
        <v>4</v>
      </c>
      <c r="J136" s="61">
        <f t="shared" si="4"/>
        <v>0.25</v>
      </c>
      <c r="K136" s="71">
        <v>0</v>
      </c>
    </row>
    <row r="137" spans="1:11" x14ac:dyDescent="0.55000000000000004">
      <c r="A137" s="62" t="s">
        <v>514</v>
      </c>
      <c r="B137" s="62"/>
      <c r="C137" s="2" t="s">
        <v>40</v>
      </c>
      <c r="D137" s="1">
        <v>0</v>
      </c>
      <c r="E137" s="1">
        <v>0</v>
      </c>
      <c r="F137" s="1">
        <v>0</v>
      </c>
      <c r="G137" s="1">
        <v>0</v>
      </c>
      <c r="H137" s="1">
        <f t="shared" si="5"/>
        <v>0</v>
      </c>
      <c r="I137" s="1">
        <v>13</v>
      </c>
      <c r="J137" s="61">
        <f t="shared" si="4"/>
        <v>0</v>
      </c>
      <c r="K137" s="68">
        <v>0</v>
      </c>
    </row>
    <row r="138" spans="1:11" x14ac:dyDescent="0.55000000000000004">
      <c r="A138" s="82" t="s">
        <v>515</v>
      </c>
      <c r="B138" s="82"/>
      <c r="C138" s="2" t="s">
        <v>147</v>
      </c>
      <c r="D138" s="1">
        <v>0</v>
      </c>
      <c r="E138" s="1">
        <v>0</v>
      </c>
      <c r="F138" s="1">
        <v>0</v>
      </c>
      <c r="G138" s="1">
        <v>0</v>
      </c>
      <c r="H138" s="1">
        <f t="shared" ref="H138:H160" si="6">SUM(D138,E138)</f>
        <v>0</v>
      </c>
      <c r="I138" s="1">
        <v>2</v>
      </c>
      <c r="J138" s="61">
        <f t="shared" si="4"/>
        <v>0</v>
      </c>
      <c r="K138" s="68">
        <v>0</v>
      </c>
    </row>
    <row r="139" spans="1:11" x14ac:dyDescent="0.55000000000000004">
      <c r="A139" s="80" t="s">
        <v>516</v>
      </c>
      <c r="B139" s="80"/>
      <c r="C139" s="65" t="s">
        <v>366</v>
      </c>
      <c r="D139" s="32">
        <v>0</v>
      </c>
      <c r="E139" s="32">
        <v>0</v>
      </c>
      <c r="F139" s="32">
        <v>0</v>
      </c>
      <c r="G139" s="32">
        <v>0</v>
      </c>
      <c r="H139" s="1">
        <f t="shared" si="6"/>
        <v>0</v>
      </c>
      <c r="I139" s="32">
        <v>15</v>
      </c>
      <c r="J139" s="61">
        <f t="shared" si="4"/>
        <v>0</v>
      </c>
      <c r="K139" s="81">
        <v>0</v>
      </c>
    </row>
    <row r="140" spans="1:11" x14ac:dyDescent="0.55000000000000004">
      <c r="A140" s="86" t="s">
        <v>525</v>
      </c>
      <c r="B140" s="86"/>
      <c r="C140" s="2" t="s">
        <v>163</v>
      </c>
      <c r="D140" s="1">
        <v>1</v>
      </c>
      <c r="E140" s="1">
        <v>0</v>
      </c>
      <c r="F140" s="1">
        <v>0</v>
      </c>
      <c r="G140" s="1">
        <v>0</v>
      </c>
      <c r="H140" s="1">
        <f t="shared" si="6"/>
        <v>1</v>
      </c>
      <c r="I140" s="1">
        <v>14</v>
      </c>
      <c r="J140" s="61">
        <f t="shared" si="4"/>
        <v>7.1428571428571425E-2</v>
      </c>
      <c r="K140" s="87">
        <v>0</v>
      </c>
    </row>
    <row r="141" spans="1:11" x14ac:dyDescent="0.55000000000000004">
      <c r="A141" s="86" t="s">
        <v>526</v>
      </c>
      <c r="B141" s="86"/>
      <c r="C141" s="2" t="s">
        <v>40</v>
      </c>
      <c r="D141" s="1">
        <v>0</v>
      </c>
      <c r="E141" s="1">
        <v>0</v>
      </c>
      <c r="F141" s="1">
        <v>0</v>
      </c>
      <c r="G141" s="1">
        <v>0</v>
      </c>
      <c r="H141" s="1">
        <f t="shared" si="6"/>
        <v>0</v>
      </c>
      <c r="I141" s="1">
        <v>43</v>
      </c>
      <c r="J141" s="61">
        <f t="shared" si="4"/>
        <v>0</v>
      </c>
      <c r="K141" s="87">
        <v>0</v>
      </c>
    </row>
    <row r="142" spans="1:11" x14ac:dyDescent="0.55000000000000004">
      <c r="A142" s="86" t="s">
        <v>527</v>
      </c>
      <c r="B142" s="86"/>
      <c r="C142" s="2" t="s">
        <v>99</v>
      </c>
      <c r="D142" s="1">
        <v>1</v>
      </c>
      <c r="E142" s="1">
        <v>1</v>
      </c>
      <c r="F142" s="1">
        <v>0</v>
      </c>
      <c r="G142" s="1">
        <v>0</v>
      </c>
      <c r="H142" s="1">
        <f t="shared" si="6"/>
        <v>2</v>
      </c>
      <c r="I142" s="1">
        <v>25</v>
      </c>
      <c r="J142" s="61">
        <f t="shared" si="4"/>
        <v>0.08</v>
      </c>
      <c r="K142" s="87">
        <v>0</v>
      </c>
    </row>
    <row r="143" spans="1:11" x14ac:dyDescent="0.55000000000000004">
      <c r="A143" s="86" t="s">
        <v>528</v>
      </c>
      <c r="B143" s="86"/>
      <c r="C143" s="2" t="s">
        <v>148</v>
      </c>
      <c r="D143" s="1">
        <v>0</v>
      </c>
      <c r="E143" s="1">
        <v>0</v>
      </c>
      <c r="F143" s="1">
        <v>0</v>
      </c>
      <c r="G143" s="1">
        <v>0</v>
      </c>
      <c r="H143" s="1">
        <f t="shared" si="6"/>
        <v>0</v>
      </c>
      <c r="I143" s="1">
        <v>12</v>
      </c>
      <c r="J143" s="61">
        <f t="shared" si="4"/>
        <v>0</v>
      </c>
      <c r="K143" s="87">
        <v>0</v>
      </c>
    </row>
    <row r="144" spans="1:11" x14ac:dyDescent="0.55000000000000004">
      <c r="A144" s="86" t="s">
        <v>529</v>
      </c>
      <c r="B144" s="86"/>
      <c r="C144" s="2" t="s">
        <v>147</v>
      </c>
      <c r="D144" s="1">
        <v>0</v>
      </c>
      <c r="E144" s="1">
        <v>0</v>
      </c>
      <c r="F144" s="1">
        <v>0</v>
      </c>
      <c r="G144" s="1">
        <v>0</v>
      </c>
      <c r="H144" s="1">
        <f t="shared" si="6"/>
        <v>0</v>
      </c>
      <c r="I144" s="1">
        <v>28</v>
      </c>
      <c r="J144" s="61">
        <f t="shared" si="4"/>
        <v>0</v>
      </c>
      <c r="K144" s="87">
        <v>0</v>
      </c>
    </row>
    <row r="145" spans="1:11" x14ac:dyDescent="0.55000000000000004">
      <c r="A145" s="86" t="s">
        <v>530</v>
      </c>
      <c r="B145" s="86"/>
      <c r="C145" s="2" t="s">
        <v>366</v>
      </c>
      <c r="D145" s="1">
        <v>0</v>
      </c>
      <c r="E145" s="1">
        <v>0</v>
      </c>
      <c r="F145" s="1">
        <v>0</v>
      </c>
      <c r="G145" s="1">
        <v>0</v>
      </c>
      <c r="H145" s="1">
        <f t="shared" si="6"/>
        <v>0</v>
      </c>
      <c r="I145" s="1">
        <v>20</v>
      </c>
      <c r="J145" s="61">
        <f t="shared" si="4"/>
        <v>0</v>
      </c>
      <c r="K145" s="87">
        <v>0</v>
      </c>
    </row>
    <row r="146" spans="1:11" x14ac:dyDescent="0.55000000000000004">
      <c r="A146" s="86" t="s">
        <v>531</v>
      </c>
      <c r="B146" s="86"/>
      <c r="C146" s="2" t="s">
        <v>163</v>
      </c>
      <c r="D146" s="1">
        <v>1</v>
      </c>
      <c r="E146" s="1">
        <v>0</v>
      </c>
      <c r="F146" s="1">
        <v>0</v>
      </c>
      <c r="G146" s="1">
        <v>0</v>
      </c>
      <c r="H146" s="1">
        <f t="shared" si="6"/>
        <v>1</v>
      </c>
      <c r="I146" s="1">
        <v>17</v>
      </c>
      <c r="J146" s="61">
        <f t="shared" si="4"/>
        <v>5.8823529411764705E-2</v>
      </c>
      <c r="K146" s="87">
        <v>0</v>
      </c>
    </row>
    <row r="147" spans="1:11" x14ac:dyDescent="0.55000000000000004">
      <c r="A147" s="86" t="s">
        <v>545</v>
      </c>
      <c r="B147" s="86"/>
      <c r="C147" s="2" t="s">
        <v>366</v>
      </c>
      <c r="D147" s="1">
        <v>0</v>
      </c>
      <c r="E147" s="1">
        <v>0</v>
      </c>
      <c r="F147" s="1">
        <v>0</v>
      </c>
      <c r="G147" s="1">
        <v>0</v>
      </c>
      <c r="H147" s="1">
        <f t="shared" si="6"/>
        <v>0</v>
      </c>
      <c r="I147" s="1">
        <v>73</v>
      </c>
      <c r="J147" s="61">
        <f t="shared" si="4"/>
        <v>0</v>
      </c>
      <c r="K147" s="87">
        <v>0</v>
      </c>
    </row>
    <row r="148" spans="1:11" x14ac:dyDescent="0.55000000000000004">
      <c r="A148" s="86" t="s">
        <v>546</v>
      </c>
      <c r="B148" s="86"/>
      <c r="C148" s="2" t="s">
        <v>99</v>
      </c>
      <c r="D148" s="1">
        <v>0</v>
      </c>
      <c r="E148" s="1">
        <v>0</v>
      </c>
      <c r="F148" s="1">
        <v>0</v>
      </c>
      <c r="G148" s="1">
        <v>0</v>
      </c>
      <c r="H148" s="1">
        <f t="shared" si="6"/>
        <v>0</v>
      </c>
      <c r="I148" s="1">
        <v>2</v>
      </c>
      <c r="J148" s="61">
        <f t="shared" si="4"/>
        <v>0</v>
      </c>
      <c r="K148" s="87">
        <v>0</v>
      </c>
    </row>
    <row r="149" spans="1:11" x14ac:dyDescent="0.55000000000000004">
      <c r="A149" s="86" t="s">
        <v>547</v>
      </c>
      <c r="B149" s="86"/>
      <c r="C149" s="2" t="s">
        <v>147</v>
      </c>
      <c r="D149" s="1">
        <v>0</v>
      </c>
      <c r="E149" s="1">
        <v>0</v>
      </c>
      <c r="F149" s="1">
        <v>0</v>
      </c>
      <c r="G149" s="1">
        <v>0</v>
      </c>
      <c r="H149" s="1">
        <f t="shared" si="6"/>
        <v>0</v>
      </c>
      <c r="I149" s="1">
        <v>16</v>
      </c>
      <c r="J149" s="61">
        <f t="shared" si="4"/>
        <v>0</v>
      </c>
      <c r="K149" s="87">
        <v>0</v>
      </c>
    </row>
    <row r="150" spans="1:11" x14ac:dyDescent="0.55000000000000004">
      <c r="A150" s="86" t="s">
        <v>548</v>
      </c>
      <c r="B150" s="86"/>
      <c r="C150" s="2" t="s">
        <v>147</v>
      </c>
      <c r="D150" s="1">
        <v>0</v>
      </c>
      <c r="E150" s="1">
        <v>0</v>
      </c>
      <c r="F150" s="1">
        <v>0</v>
      </c>
      <c r="G150" s="1">
        <v>0</v>
      </c>
      <c r="H150" s="1">
        <f t="shared" si="6"/>
        <v>0</v>
      </c>
      <c r="I150" s="1">
        <v>115</v>
      </c>
      <c r="J150" s="61">
        <f t="shared" si="4"/>
        <v>0</v>
      </c>
      <c r="K150" s="87">
        <v>0</v>
      </c>
    </row>
    <row r="151" spans="1:11" x14ac:dyDescent="0.55000000000000004">
      <c r="A151" s="86" t="s">
        <v>549</v>
      </c>
      <c r="B151" s="86"/>
      <c r="C151" s="2" t="s">
        <v>148</v>
      </c>
      <c r="D151" s="1">
        <v>0</v>
      </c>
      <c r="E151" s="1">
        <v>0</v>
      </c>
      <c r="F151" s="1">
        <v>0</v>
      </c>
      <c r="G151" s="1">
        <v>0</v>
      </c>
      <c r="H151" s="1">
        <f t="shared" si="6"/>
        <v>0</v>
      </c>
      <c r="I151" s="1">
        <v>53</v>
      </c>
      <c r="J151" s="61">
        <f t="shared" si="4"/>
        <v>0</v>
      </c>
      <c r="K151" s="87">
        <v>0</v>
      </c>
    </row>
    <row r="152" spans="1:11" x14ac:dyDescent="0.55000000000000004">
      <c r="A152" s="86" t="s">
        <v>550</v>
      </c>
      <c r="B152" s="86"/>
      <c r="C152" s="2" t="s">
        <v>40</v>
      </c>
      <c r="D152" s="1">
        <v>0</v>
      </c>
      <c r="E152" s="1">
        <v>0</v>
      </c>
      <c r="F152" s="1">
        <v>0</v>
      </c>
      <c r="G152" s="1">
        <v>0</v>
      </c>
      <c r="H152" s="1">
        <f t="shared" si="6"/>
        <v>0</v>
      </c>
      <c r="I152" s="1">
        <v>22</v>
      </c>
      <c r="J152" s="61">
        <f t="shared" si="4"/>
        <v>0</v>
      </c>
      <c r="K152" s="87">
        <v>0</v>
      </c>
    </row>
    <row r="153" spans="1:11" x14ac:dyDescent="0.55000000000000004">
      <c r="A153" s="86" t="s">
        <v>551</v>
      </c>
      <c r="B153" s="86"/>
      <c r="C153" s="2" t="s">
        <v>366</v>
      </c>
      <c r="D153" s="1">
        <v>0</v>
      </c>
      <c r="E153" s="1">
        <v>0</v>
      </c>
      <c r="F153" s="1">
        <v>0</v>
      </c>
      <c r="G153" s="1">
        <v>0</v>
      </c>
      <c r="H153" s="1">
        <f t="shared" si="6"/>
        <v>0</v>
      </c>
      <c r="I153" s="1">
        <v>43</v>
      </c>
      <c r="J153" s="61">
        <f t="shared" si="4"/>
        <v>0</v>
      </c>
      <c r="K153" s="87">
        <v>0</v>
      </c>
    </row>
    <row r="154" spans="1:11" x14ac:dyDescent="0.55000000000000004">
      <c r="A154" s="86" t="s">
        <v>557</v>
      </c>
      <c r="B154" s="86"/>
      <c r="C154" s="2" t="s">
        <v>148</v>
      </c>
      <c r="D154" s="1">
        <v>0</v>
      </c>
      <c r="E154" s="1">
        <v>0</v>
      </c>
      <c r="F154" s="1">
        <v>0</v>
      </c>
      <c r="G154" s="1">
        <v>0</v>
      </c>
      <c r="H154" s="1">
        <f t="shared" si="6"/>
        <v>0</v>
      </c>
      <c r="I154" s="1">
        <v>122</v>
      </c>
      <c r="J154" s="61">
        <f t="shared" si="4"/>
        <v>0</v>
      </c>
      <c r="K154" s="87">
        <v>0</v>
      </c>
    </row>
    <row r="155" spans="1:11" x14ac:dyDescent="0.55000000000000004">
      <c r="A155" s="86" t="s">
        <v>558</v>
      </c>
      <c r="B155" s="86"/>
      <c r="C155" s="2" t="s">
        <v>99</v>
      </c>
      <c r="D155" s="1">
        <v>1</v>
      </c>
      <c r="E155" s="1">
        <v>0</v>
      </c>
      <c r="F155" s="1">
        <v>0</v>
      </c>
      <c r="G155" s="1">
        <v>0</v>
      </c>
      <c r="H155" s="1">
        <f t="shared" si="6"/>
        <v>1</v>
      </c>
      <c r="I155" s="1">
        <v>12</v>
      </c>
      <c r="J155" s="61">
        <f t="shared" si="4"/>
        <v>8.3333333333333329E-2</v>
      </c>
      <c r="K155" s="87">
        <v>0</v>
      </c>
    </row>
    <row r="156" spans="1:11" x14ac:dyDescent="0.55000000000000004">
      <c r="A156" s="86" t="s">
        <v>559</v>
      </c>
      <c r="B156" s="86"/>
      <c r="C156" s="2" t="s">
        <v>40</v>
      </c>
      <c r="D156" s="1">
        <v>0</v>
      </c>
      <c r="E156" s="1">
        <v>0</v>
      </c>
      <c r="F156" s="1">
        <v>0</v>
      </c>
      <c r="G156" s="1">
        <v>0</v>
      </c>
      <c r="H156" s="1">
        <f t="shared" si="6"/>
        <v>0</v>
      </c>
      <c r="I156" s="1">
        <v>24</v>
      </c>
      <c r="J156" s="61">
        <f t="shared" si="4"/>
        <v>0</v>
      </c>
      <c r="K156" s="87">
        <v>0</v>
      </c>
    </row>
    <row r="157" spans="1:11" x14ac:dyDescent="0.55000000000000004">
      <c r="A157" s="86" t="s">
        <v>560</v>
      </c>
      <c r="B157" s="86"/>
      <c r="C157" s="2" t="s">
        <v>147</v>
      </c>
      <c r="D157" s="1">
        <v>1</v>
      </c>
      <c r="E157" s="1">
        <v>0</v>
      </c>
      <c r="F157" s="1">
        <v>0</v>
      </c>
      <c r="G157" s="1">
        <v>0</v>
      </c>
      <c r="H157" s="1">
        <f t="shared" si="6"/>
        <v>1</v>
      </c>
      <c r="I157" s="1">
        <v>10</v>
      </c>
      <c r="J157" s="61">
        <f t="shared" si="4"/>
        <v>0.1</v>
      </c>
      <c r="K157" s="87">
        <v>0</v>
      </c>
    </row>
    <row r="158" spans="1:11" x14ac:dyDescent="0.55000000000000004">
      <c r="A158" s="86" t="s">
        <v>561</v>
      </c>
      <c r="B158" s="86"/>
      <c r="C158" s="2" t="s">
        <v>522</v>
      </c>
      <c r="D158" s="1">
        <v>2</v>
      </c>
      <c r="E158" s="1">
        <v>0</v>
      </c>
      <c r="F158" s="1">
        <v>0</v>
      </c>
      <c r="G158" s="1">
        <v>0</v>
      </c>
      <c r="H158" s="1">
        <f t="shared" si="6"/>
        <v>2</v>
      </c>
      <c r="I158" s="1">
        <v>28</v>
      </c>
      <c r="J158" s="61">
        <f t="shared" si="4"/>
        <v>7.1428571428571425E-2</v>
      </c>
      <c r="K158" s="87">
        <v>0</v>
      </c>
    </row>
    <row r="159" spans="1:11" x14ac:dyDescent="0.55000000000000004">
      <c r="A159" s="86" t="s">
        <v>562</v>
      </c>
      <c r="B159" s="86"/>
      <c r="C159" s="2" t="s">
        <v>366</v>
      </c>
      <c r="D159" s="1">
        <v>0</v>
      </c>
      <c r="E159" s="1">
        <v>0</v>
      </c>
      <c r="F159" s="1">
        <v>0</v>
      </c>
      <c r="G159" s="1">
        <v>0</v>
      </c>
      <c r="H159" s="1">
        <f t="shared" si="6"/>
        <v>0</v>
      </c>
      <c r="I159" s="1">
        <v>14</v>
      </c>
      <c r="J159" s="61">
        <f t="shared" si="4"/>
        <v>0</v>
      </c>
      <c r="K159" s="87">
        <v>0</v>
      </c>
    </row>
    <row r="160" spans="1:11" x14ac:dyDescent="0.55000000000000004">
      <c r="A160" s="86" t="s">
        <v>563</v>
      </c>
      <c r="B160" s="86"/>
      <c r="C160" s="2" t="s">
        <v>2</v>
      </c>
      <c r="D160" s="1">
        <v>0</v>
      </c>
      <c r="E160" s="1">
        <v>0</v>
      </c>
      <c r="F160" s="1">
        <v>0</v>
      </c>
      <c r="G160" s="1">
        <v>0</v>
      </c>
      <c r="H160" s="1">
        <f t="shared" si="6"/>
        <v>0</v>
      </c>
      <c r="I160" s="1">
        <v>11</v>
      </c>
      <c r="J160" s="61">
        <f t="shared" si="4"/>
        <v>0</v>
      </c>
      <c r="K160" s="87">
        <v>0</v>
      </c>
    </row>
    <row r="161" spans="1:11" x14ac:dyDescent="0.55000000000000004">
      <c r="A161" s="86" t="s">
        <v>564</v>
      </c>
      <c r="B161" s="86"/>
      <c r="C161" s="2" t="s">
        <v>15</v>
      </c>
      <c r="D161" s="1">
        <v>0</v>
      </c>
      <c r="E161" s="1">
        <v>0</v>
      </c>
      <c r="F161" s="1">
        <v>0</v>
      </c>
      <c r="G161" s="1">
        <v>0</v>
      </c>
      <c r="H161" s="1">
        <f t="shared" ref="H161:H218" si="7">SUM(D161,E161)</f>
        <v>0</v>
      </c>
      <c r="I161" s="1">
        <v>16</v>
      </c>
      <c r="J161" s="61">
        <f t="shared" si="4"/>
        <v>0</v>
      </c>
      <c r="K161" s="87">
        <v>0</v>
      </c>
    </row>
    <row r="162" spans="1:11" x14ac:dyDescent="0.55000000000000004">
      <c r="A162" s="86" t="s">
        <v>565</v>
      </c>
      <c r="B162" s="86"/>
      <c r="C162" s="2" t="s">
        <v>147</v>
      </c>
      <c r="D162" s="1">
        <v>1</v>
      </c>
      <c r="E162" s="1">
        <v>0</v>
      </c>
      <c r="F162" s="1">
        <v>0</v>
      </c>
      <c r="G162" s="1">
        <v>0</v>
      </c>
      <c r="H162" s="1">
        <f t="shared" si="7"/>
        <v>1</v>
      </c>
      <c r="I162" s="1">
        <v>32</v>
      </c>
      <c r="J162" s="61">
        <f t="shared" si="4"/>
        <v>3.125E-2</v>
      </c>
      <c r="K162" s="87">
        <v>0</v>
      </c>
    </row>
    <row r="163" spans="1:11" x14ac:dyDescent="0.55000000000000004">
      <c r="A163" s="86" t="s">
        <v>566</v>
      </c>
      <c r="B163" s="86"/>
      <c r="C163" s="2" t="s">
        <v>99</v>
      </c>
      <c r="D163" s="1">
        <v>4</v>
      </c>
      <c r="E163" s="1">
        <v>2</v>
      </c>
      <c r="F163" s="1">
        <v>0</v>
      </c>
      <c r="G163" s="1">
        <v>0</v>
      </c>
      <c r="H163" s="1">
        <f t="shared" si="7"/>
        <v>6</v>
      </c>
      <c r="I163" s="1">
        <v>18</v>
      </c>
      <c r="J163" s="61">
        <f t="shared" si="4"/>
        <v>0.33333333333333331</v>
      </c>
      <c r="K163" s="87">
        <v>0</v>
      </c>
    </row>
    <row r="164" spans="1:11" x14ac:dyDescent="0.55000000000000004">
      <c r="A164" s="86" t="s">
        <v>567</v>
      </c>
      <c r="B164" s="86"/>
      <c r="C164" s="2" t="s">
        <v>40</v>
      </c>
      <c r="D164" s="1">
        <v>0</v>
      </c>
      <c r="E164" s="1">
        <v>0</v>
      </c>
      <c r="F164" s="1">
        <v>0</v>
      </c>
      <c r="G164" s="1">
        <v>0</v>
      </c>
      <c r="H164" s="1">
        <f t="shared" si="7"/>
        <v>0</v>
      </c>
      <c r="I164" s="1">
        <v>67</v>
      </c>
      <c r="J164" s="61">
        <f t="shared" si="4"/>
        <v>0</v>
      </c>
      <c r="K164" s="87">
        <v>0</v>
      </c>
    </row>
    <row r="165" spans="1:11" x14ac:dyDescent="0.55000000000000004">
      <c r="A165" s="86" t="s">
        <v>568</v>
      </c>
      <c r="B165" s="86"/>
      <c r="C165" s="2" t="s">
        <v>148</v>
      </c>
      <c r="D165" s="1">
        <v>0</v>
      </c>
      <c r="E165" s="1">
        <v>0</v>
      </c>
      <c r="F165" s="1">
        <v>0</v>
      </c>
      <c r="G165" s="1">
        <v>0</v>
      </c>
      <c r="H165" s="1">
        <f t="shared" si="7"/>
        <v>0</v>
      </c>
      <c r="I165" s="1">
        <v>49</v>
      </c>
      <c r="J165" s="61">
        <f t="shared" si="4"/>
        <v>0</v>
      </c>
      <c r="K165" s="87">
        <v>0</v>
      </c>
    </row>
    <row r="166" spans="1:11" x14ac:dyDescent="0.55000000000000004">
      <c r="A166" s="86" t="s">
        <v>569</v>
      </c>
      <c r="B166" s="86"/>
      <c r="C166" s="2" t="s">
        <v>522</v>
      </c>
      <c r="D166" s="1">
        <v>1</v>
      </c>
      <c r="E166" s="1">
        <v>0</v>
      </c>
      <c r="F166" s="1">
        <v>0</v>
      </c>
      <c r="G166" s="1">
        <v>0</v>
      </c>
      <c r="H166" s="1">
        <f t="shared" si="7"/>
        <v>1</v>
      </c>
      <c r="I166" s="1">
        <v>50</v>
      </c>
      <c r="J166" s="61">
        <f t="shared" si="4"/>
        <v>0.02</v>
      </c>
      <c r="K166" s="87">
        <v>0</v>
      </c>
    </row>
    <row r="167" spans="1:11" x14ac:dyDescent="0.55000000000000004">
      <c r="A167" s="86" t="s">
        <v>570</v>
      </c>
      <c r="B167" s="86"/>
      <c r="C167" s="2" t="s">
        <v>366</v>
      </c>
      <c r="D167" s="1">
        <v>0</v>
      </c>
      <c r="E167" s="1">
        <v>0</v>
      </c>
      <c r="F167" s="1">
        <v>0</v>
      </c>
      <c r="G167" s="1">
        <v>0</v>
      </c>
      <c r="H167" s="1">
        <f t="shared" si="7"/>
        <v>0</v>
      </c>
      <c r="I167" s="1">
        <v>42</v>
      </c>
      <c r="J167" s="61">
        <f t="shared" si="4"/>
        <v>0</v>
      </c>
      <c r="K167" s="87">
        <v>0</v>
      </c>
    </row>
    <row r="168" spans="1:11" x14ac:dyDescent="0.55000000000000004">
      <c r="A168" s="86" t="s">
        <v>571</v>
      </c>
      <c r="B168" s="86"/>
      <c r="C168" s="2" t="s">
        <v>2</v>
      </c>
      <c r="D168" s="1">
        <v>0</v>
      </c>
      <c r="E168" s="1">
        <v>0</v>
      </c>
      <c r="F168" s="1">
        <v>0</v>
      </c>
      <c r="G168" s="1">
        <v>0</v>
      </c>
      <c r="H168" s="1">
        <f t="shared" si="7"/>
        <v>0</v>
      </c>
      <c r="I168" s="1">
        <v>24</v>
      </c>
      <c r="J168" s="61">
        <f t="shared" si="4"/>
        <v>0</v>
      </c>
      <c r="K168" s="87">
        <v>0</v>
      </c>
    </row>
    <row r="169" spans="1:11" x14ac:dyDescent="0.55000000000000004">
      <c r="A169" s="86" t="s">
        <v>572</v>
      </c>
      <c r="B169" s="86"/>
      <c r="C169" s="2" t="s">
        <v>15</v>
      </c>
      <c r="D169" s="1">
        <v>1</v>
      </c>
      <c r="E169" s="1">
        <v>0</v>
      </c>
      <c r="F169" s="1">
        <v>0</v>
      </c>
      <c r="G169" s="1">
        <v>0</v>
      </c>
      <c r="H169" s="1">
        <f t="shared" si="7"/>
        <v>1</v>
      </c>
      <c r="I169" s="1">
        <v>23</v>
      </c>
      <c r="J169" s="61">
        <f t="shared" si="4"/>
        <v>4.3478260869565216E-2</v>
      </c>
      <c r="K169" s="87">
        <v>0</v>
      </c>
    </row>
    <row r="170" spans="1:11" x14ac:dyDescent="0.55000000000000004">
      <c r="A170" s="86" t="s">
        <v>573</v>
      </c>
      <c r="B170" s="86"/>
      <c r="C170" s="2" t="s">
        <v>367</v>
      </c>
      <c r="D170" s="1">
        <v>0</v>
      </c>
      <c r="E170" s="1">
        <v>0</v>
      </c>
      <c r="F170" s="1">
        <v>0</v>
      </c>
      <c r="G170" s="1">
        <v>0</v>
      </c>
      <c r="H170" s="1">
        <f t="shared" si="7"/>
        <v>0</v>
      </c>
      <c r="I170" s="1">
        <v>4</v>
      </c>
      <c r="J170" s="61">
        <f t="shared" si="4"/>
        <v>0</v>
      </c>
      <c r="K170" s="87">
        <v>0</v>
      </c>
    </row>
    <row r="171" spans="1:11" x14ac:dyDescent="0.55000000000000004">
      <c r="A171" s="86" t="s">
        <v>574</v>
      </c>
      <c r="B171" s="86"/>
      <c r="C171" s="2" t="s">
        <v>366</v>
      </c>
      <c r="D171" s="1">
        <v>0</v>
      </c>
      <c r="E171" s="1">
        <v>0</v>
      </c>
      <c r="F171" s="1">
        <v>0</v>
      </c>
      <c r="G171" s="1">
        <v>0</v>
      </c>
      <c r="H171" s="1">
        <f t="shared" si="7"/>
        <v>0</v>
      </c>
      <c r="I171" s="1">
        <v>98</v>
      </c>
      <c r="J171" s="61">
        <f t="shared" si="4"/>
        <v>0</v>
      </c>
      <c r="K171" s="87">
        <v>0</v>
      </c>
    </row>
    <row r="172" spans="1:11" x14ac:dyDescent="0.55000000000000004">
      <c r="A172" s="86" t="s">
        <v>575</v>
      </c>
      <c r="B172" s="86"/>
      <c r="C172" s="2" t="s">
        <v>99</v>
      </c>
      <c r="D172" s="1">
        <v>0</v>
      </c>
      <c r="E172" s="1">
        <v>1</v>
      </c>
      <c r="F172" s="1">
        <v>0</v>
      </c>
      <c r="G172" s="1">
        <v>0</v>
      </c>
      <c r="H172" s="1">
        <f t="shared" si="7"/>
        <v>1</v>
      </c>
      <c r="I172" s="1">
        <v>2</v>
      </c>
      <c r="J172" s="61">
        <f t="shared" si="4"/>
        <v>0.5</v>
      </c>
      <c r="K172" s="87">
        <v>0</v>
      </c>
    </row>
    <row r="173" spans="1:11" x14ac:dyDescent="0.55000000000000004">
      <c r="A173" s="86" t="s">
        <v>576</v>
      </c>
      <c r="B173" s="86"/>
      <c r="C173" s="2" t="s">
        <v>148</v>
      </c>
      <c r="D173" s="1">
        <v>1</v>
      </c>
      <c r="E173" s="1">
        <v>0</v>
      </c>
      <c r="F173" s="1">
        <v>0</v>
      </c>
      <c r="G173" s="1">
        <v>0</v>
      </c>
      <c r="H173" s="1">
        <f t="shared" si="7"/>
        <v>1</v>
      </c>
      <c r="I173" s="1">
        <v>21</v>
      </c>
      <c r="J173" s="61">
        <f t="shared" si="4"/>
        <v>4.7619047619047616E-2</v>
      </c>
      <c r="K173" s="87">
        <v>0</v>
      </c>
    </row>
    <row r="174" spans="1:11" x14ac:dyDescent="0.55000000000000004">
      <c r="A174" s="86" t="s">
        <v>577</v>
      </c>
      <c r="B174" s="86"/>
      <c r="C174" s="2" t="s">
        <v>522</v>
      </c>
      <c r="D174" s="1">
        <v>0</v>
      </c>
      <c r="E174" s="1">
        <v>0</v>
      </c>
      <c r="F174" s="1">
        <v>0</v>
      </c>
      <c r="G174" s="1">
        <v>0</v>
      </c>
      <c r="H174" s="1">
        <f t="shared" si="7"/>
        <v>0</v>
      </c>
      <c r="I174" s="1">
        <v>21</v>
      </c>
      <c r="J174" s="61">
        <f t="shared" si="4"/>
        <v>0</v>
      </c>
      <c r="K174" s="87">
        <v>0</v>
      </c>
    </row>
    <row r="175" spans="1:11" x14ac:dyDescent="0.55000000000000004">
      <c r="A175" s="86" t="s">
        <v>578</v>
      </c>
      <c r="B175" s="86"/>
      <c r="C175" s="2" t="s">
        <v>40</v>
      </c>
      <c r="D175" s="1">
        <v>0</v>
      </c>
      <c r="E175" s="1">
        <v>0</v>
      </c>
      <c r="F175" s="1">
        <v>0</v>
      </c>
      <c r="G175" s="1">
        <v>0</v>
      </c>
      <c r="H175" s="1">
        <f t="shared" si="7"/>
        <v>0</v>
      </c>
      <c r="I175" s="1">
        <v>19</v>
      </c>
      <c r="J175" s="61">
        <f t="shared" si="4"/>
        <v>0</v>
      </c>
      <c r="K175" s="87">
        <v>0</v>
      </c>
    </row>
    <row r="176" spans="1:11" x14ac:dyDescent="0.55000000000000004">
      <c r="A176" s="86" t="s">
        <v>579</v>
      </c>
      <c r="B176" s="86"/>
      <c r="C176" s="2" t="s">
        <v>366</v>
      </c>
      <c r="D176" s="1">
        <v>0</v>
      </c>
      <c r="E176" s="1">
        <v>0</v>
      </c>
      <c r="F176" s="1">
        <v>0</v>
      </c>
      <c r="G176" s="1">
        <v>0</v>
      </c>
      <c r="H176" s="1">
        <f t="shared" si="7"/>
        <v>0</v>
      </c>
      <c r="I176" s="1">
        <v>2</v>
      </c>
      <c r="J176" s="61">
        <f t="shared" si="4"/>
        <v>0</v>
      </c>
      <c r="K176" s="87">
        <v>0</v>
      </c>
    </row>
    <row r="177" spans="1:11" x14ac:dyDescent="0.55000000000000004">
      <c r="A177" s="86" t="s">
        <v>591</v>
      </c>
      <c r="B177" s="86"/>
      <c r="C177" s="2" t="s">
        <v>148</v>
      </c>
      <c r="D177" s="1">
        <v>0</v>
      </c>
      <c r="E177" s="1">
        <v>0</v>
      </c>
      <c r="F177" s="1">
        <v>0</v>
      </c>
      <c r="G177" s="1">
        <v>0</v>
      </c>
      <c r="H177" s="1">
        <f t="shared" si="7"/>
        <v>0</v>
      </c>
      <c r="I177" s="1">
        <v>22</v>
      </c>
      <c r="J177" s="61">
        <f t="shared" si="4"/>
        <v>0</v>
      </c>
      <c r="K177" s="87">
        <v>0</v>
      </c>
    </row>
    <row r="178" spans="1:11" x14ac:dyDescent="0.55000000000000004">
      <c r="A178" s="86" t="s">
        <v>592</v>
      </c>
      <c r="B178" s="86"/>
      <c r="C178" s="2" t="s">
        <v>40</v>
      </c>
      <c r="D178" s="1">
        <v>0</v>
      </c>
      <c r="E178" s="1">
        <v>0</v>
      </c>
      <c r="F178" s="1">
        <v>0</v>
      </c>
      <c r="G178" s="1">
        <v>0</v>
      </c>
      <c r="H178" s="1">
        <f t="shared" si="7"/>
        <v>0</v>
      </c>
      <c r="I178" s="1">
        <v>7</v>
      </c>
      <c r="J178" s="61">
        <f t="shared" si="4"/>
        <v>0</v>
      </c>
      <c r="K178" s="87">
        <v>0</v>
      </c>
    </row>
    <row r="179" spans="1:11" x14ac:dyDescent="0.55000000000000004">
      <c r="A179" s="86" t="s">
        <v>593</v>
      </c>
      <c r="B179" s="86"/>
      <c r="C179" s="2" t="s">
        <v>522</v>
      </c>
      <c r="D179" s="1">
        <v>0</v>
      </c>
      <c r="E179" s="1">
        <v>0</v>
      </c>
      <c r="F179" s="1">
        <v>0</v>
      </c>
      <c r="G179" s="1">
        <v>0</v>
      </c>
      <c r="H179" s="1">
        <f t="shared" si="7"/>
        <v>0</v>
      </c>
      <c r="I179" s="1">
        <v>6</v>
      </c>
      <c r="J179" s="61">
        <f t="shared" si="4"/>
        <v>0</v>
      </c>
      <c r="K179" s="87">
        <v>0</v>
      </c>
    </row>
    <row r="180" spans="1:11" x14ac:dyDescent="0.55000000000000004">
      <c r="A180" s="86" t="s">
        <v>613</v>
      </c>
      <c r="B180" s="86"/>
      <c r="C180" s="2" t="s">
        <v>522</v>
      </c>
      <c r="D180" s="1">
        <v>0</v>
      </c>
      <c r="E180" s="1">
        <v>0</v>
      </c>
      <c r="F180" s="1">
        <v>0</v>
      </c>
      <c r="G180" s="1">
        <v>0</v>
      </c>
      <c r="H180" s="1">
        <f t="shared" si="7"/>
        <v>0</v>
      </c>
      <c r="I180" s="1">
        <v>50</v>
      </c>
      <c r="J180" s="61">
        <f t="shared" si="4"/>
        <v>0</v>
      </c>
      <c r="K180" s="87">
        <v>0</v>
      </c>
    </row>
    <row r="181" spans="1:11" x14ac:dyDescent="0.55000000000000004">
      <c r="A181" s="86" t="s">
        <v>614</v>
      </c>
      <c r="B181" s="86"/>
      <c r="C181" s="2" t="s">
        <v>366</v>
      </c>
      <c r="D181" s="1">
        <v>0</v>
      </c>
      <c r="E181" s="1">
        <v>0</v>
      </c>
      <c r="F181" s="1">
        <v>0</v>
      </c>
      <c r="G181" s="1">
        <v>0</v>
      </c>
      <c r="H181" s="1">
        <f t="shared" si="7"/>
        <v>0</v>
      </c>
      <c r="I181" s="1">
        <v>28</v>
      </c>
      <c r="J181" s="61">
        <f t="shared" si="4"/>
        <v>0</v>
      </c>
      <c r="K181" s="87">
        <v>0</v>
      </c>
    </row>
    <row r="182" spans="1:11" x14ac:dyDescent="0.55000000000000004">
      <c r="A182" s="86" t="s">
        <v>615</v>
      </c>
      <c r="B182" s="86"/>
      <c r="C182" s="2" t="s">
        <v>40</v>
      </c>
      <c r="D182" s="1">
        <v>0</v>
      </c>
      <c r="E182" s="1">
        <v>0</v>
      </c>
      <c r="F182" s="1">
        <v>0</v>
      </c>
      <c r="G182" s="1">
        <v>0</v>
      </c>
      <c r="H182" s="1">
        <f t="shared" si="7"/>
        <v>0</v>
      </c>
      <c r="I182" s="1">
        <v>43</v>
      </c>
      <c r="J182" s="61">
        <f t="shared" si="4"/>
        <v>0</v>
      </c>
      <c r="K182" s="87">
        <v>0</v>
      </c>
    </row>
    <row r="183" spans="1:11" x14ac:dyDescent="0.55000000000000004">
      <c r="A183" s="86" t="s">
        <v>616</v>
      </c>
      <c r="B183" s="86"/>
      <c r="C183" s="2" t="s">
        <v>148</v>
      </c>
      <c r="D183" s="1">
        <v>0</v>
      </c>
      <c r="E183" s="1">
        <v>0</v>
      </c>
      <c r="F183" s="1">
        <v>0</v>
      </c>
      <c r="G183" s="1">
        <v>0</v>
      </c>
      <c r="H183" s="1">
        <f t="shared" si="7"/>
        <v>0</v>
      </c>
      <c r="I183" s="1">
        <v>49</v>
      </c>
      <c r="J183" s="61">
        <f t="shared" si="4"/>
        <v>0</v>
      </c>
      <c r="K183" s="87">
        <v>0</v>
      </c>
    </row>
    <row r="184" spans="1:11" x14ac:dyDescent="0.55000000000000004">
      <c r="A184" s="86" t="s">
        <v>617</v>
      </c>
      <c r="B184" s="86"/>
      <c r="C184" s="2" t="s">
        <v>147</v>
      </c>
      <c r="D184" s="1">
        <v>0</v>
      </c>
      <c r="E184" s="1">
        <v>0</v>
      </c>
      <c r="F184" s="1">
        <v>0</v>
      </c>
      <c r="G184" s="1">
        <v>0</v>
      </c>
      <c r="H184" s="1">
        <f t="shared" si="7"/>
        <v>0</v>
      </c>
      <c r="I184" s="1">
        <v>30</v>
      </c>
      <c r="J184" s="61">
        <f t="shared" si="4"/>
        <v>0</v>
      </c>
      <c r="K184" s="87">
        <v>0</v>
      </c>
    </row>
    <row r="185" spans="1:11" x14ac:dyDescent="0.55000000000000004">
      <c r="A185" s="86" t="s">
        <v>618</v>
      </c>
      <c r="B185" s="86"/>
      <c r="C185" s="2" t="s">
        <v>40</v>
      </c>
      <c r="D185" s="1">
        <v>0</v>
      </c>
      <c r="E185" s="1">
        <v>0</v>
      </c>
      <c r="F185" s="1">
        <v>0</v>
      </c>
      <c r="G185" s="1">
        <v>0</v>
      </c>
      <c r="H185" s="1">
        <f t="shared" si="7"/>
        <v>0</v>
      </c>
      <c r="I185" s="1">
        <v>30</v>
      </c>
      <c r="J185" s="61">
        <f t="shared" si="4"/>
        <v>0</v>
      </c>
      <c r="K185" s="87">
        <v>0</v>
      </c>
    </row>
    <row r="186" spans="1:11" x14ac:dyDescent="0.55000000000000004">
      <c r="A186" s="86" t="s">
        <v>619</v>
      </c>
      <c r="B186" s="86"/>
      <c r="C186" s="2" t="s">
        <v>522</v>
      </c>
      <c r="D186" s="1">
        <v>0</v>
      </c>
      <c r="E186" s="1">
        <v>0</v>
      </c>
      <c r="F186" s="1">
        <v>0</v>
      </c>
      <c r="G186" s="1">
        <v>0</v>
      </c>
      <c r="H186" s="1">
        <f t="shared" si="7"/>
        <v>0</v>
      </c>
      <c r="I186" s="1">
        <v>4</v>
      </c>
      <c r="J186" s="61">
        <f t="shared" si="4"/>
        <v>0</v>
      </c>
      <c r="K186" s="87">
        <v>0</v>
      </c>
    </row>
    <row r="187" spans="1:11" x14ac:dyDescent="0.55000000000000004">
      <c r="A187" s="86" t="s">
        <v>620</v>
      </c>
      <c r="B187" s="86"/>
      <c r="C187" s="2" t="s">
        <v>147</v>
      </c>
      <c r="D187" s="1">
        <v>0</v>
      </c>
      <c r="E187" s="1">
        <v>0</v>
      </c>
      <c r="F187" s="1">
        <v>0</v>
      </c>
      <c r="G187" s="1">
        <v>0</v>
      </c>
      <c r="H187" s="1">
        <f t="shared" si="7"/>
        <v>0</v>
      </c>
      <c r="I187" s="1">
        <v>8</v>
      </c>
      <c r="J187" s="61">
        <f t="shared" si="4"/>
        <v>0</v>
      </c>
      <c r="K187" s="87">
        <v>0</v>
      </c>
    </row>
    <row r="188" spans="1:11" x14ac:dyDescent="0.55000000000000004">
      <c r="A188" s="86" t="s">
        <v>621</v>
      </c>
      <c r="B188" s="86"/>
      <c r="C188" s="2" t="s">
        <v>366</v>
      </c>
      <c r="D188" s="1">
        <v>0</v>
      </c>
      <c r="E188" s="1">
        <v>0</v>
      </c>
      <c r="F188" s="1">
        <v>0</v>
      </c>
      <c r="G188" s="1">
        <v>0</v>
      </c>
      <c r="H188" s="1">
        <f t="shared" si="7"/>
        <v>0</v>
      </c>
      <c r="I188" s="1">
        <v>5</v>
      </c>
      <c r="J188" s="61">
        <f t="shared" si="4"/>
        <v>0</v>
      </c>
      <c r="K188" s="87">
        <v>0</v>
      </c>
    </row>
    <row r="189" spans="1:11" x14ac:dyDescent="0.55000000000000004">
      <c r="A189" s="86" t="s">
        <v>622</v>
      </c>
      <c r="B189" s="86"/>
      <c r="C189" s="2" t="s">
        <v>147</v>
      </c>
      <c r="D189" s="1">
        <v>1</v>
      </c>
      <c r="E189" s="1">
        <v>0</v>
      </c>
      <c r="F189" s="1">
        <v>0</v>
      </c>
      <c r="G189" s="1">
        <v>0</v>
      </c>
      <c r="H189" s="1">
        <f t="shared" si="7"/>
        <v>1</v>
      </c>
      <c r="I189" s="1">
        <v>17</v>
      </c>
      <c r="J189" s="61">
        <f t="shared" si="4"/>
        <v>5.8823529411764705E-2</v>
      </c>
      <c r="K189" s="87">
        <v>0</v>
      </c>
    </row>
    <row r="190" spans="1:11" x14ac:dyDescent="0.55000000000000004">
      <c r="A190" s="86" t="s">
        <v>623</v>
      </c>
      <c r="B190" s="86"/>
      <c r="C190" s="2" t="s">
        <v>148</v>
      </c>
      <c r="D190" s="1">
        <v>0</v>
      </c>
      <c r="E190" s="1">
        <v>0</v>
      </c>
      <c r="F190" s="1">
        <v>0</v>
      </c>
      <c r="G190" s="1">
        <v>0</v>
      </c>
      <c r="H190" s="1">
        <f t="shared" si="7"/>
        <v>0</v>
      </c>
      <c r="I190" s="1">
        <v>14</v>
      </c>
      <c r="J190" s="61">
        <f t="shared" si="4"/>
        <v>0</v>
      </c>
      <c r="K190" s="87">
        <v>0</v>
      </c>
    </row>
    <row r="191" spans="1:11" x14ac:dyDescent="0.55000000000000004">
      <c r="A191" s="86" t="s">
        <v>624</v>
      </c>
      <c r="B191" s="86"/>
      <c r="C191" s="2" t="s">
        <v>40</v>
      </c>
      <c r="D191" s="1">
        <v>0</v>
      </c>
      <c r="E191" s="1">
        <v>0</v>
      </c>
      <c r="F191" s="1">
        <v>0</v>
      </c>
      <c r="G191" s="1">
        <v>0</v>
      </c>
      <c r="H191" s="1">
        <f t="shared" si="7"/>
        <v>0</v>
      </c>
      <c r="I191" s="1">
        <v>5</v>
      </c>
      <c r="J191" s="61">
        <f t="shared" si="4"/>
        <v>0</v>
      </c>
      <c r="K191" s="87">
        <v>0</v>
      </c>
    </row>
    <row r="192" spans="1:11" x14ac:dyDescent="0.55000000000000004">
      <c r="A192" s="86" t="s">
        <v>625</v>
      </c>
      <c r="B192" s="86"/>
      <c r="C192" s="2" t="s">
        <v>366</v>
      </c>
      <c r="D192" s="1">
        <v>0</v>
      </c>
      <c r="E192" s="1">
        <v>0</v>
      </c>
      <c r="F192" s="1">
        <v>0</v>
      </c>
      <c r="G192" s="1">
        <v>0</v>
      </c>
      <c r="H192" s="1">
        <f t="shared" si="7"/>
        <v>0</v>
      </c>
      <c r="I192" s="1">
        <v>20</v>
      </c>
      <c r="J192" s="61">
        <f t="shared" si="4"/>
        <v>0</v>
      </c>
      <c r="K192" s="87">
        <v>0</v>
      </c>
    </row>
    <row r="193" spans="1:11" x14ac:dyDescent="0.55000000000000004">
      <c r="A193" s="86" t="s">
        <v>626</v>
      </c>
      <c r="B193" s="86"/>
      <c r="C193" s="2" t="s">
        <v>522</v>
      </c>
      <c r="D193" s="1">
        <v>1</v>
      </c>
      <c r="E193" s="1">
        <v>0</v>
      </c>
      <c r="F193" s="1">
        <v>0</v>
      </c>
      <c r="G193" s="1">
        <v>0</v>
      </c>
      <c r="H193" s="1">
        <f t="shared" si="7"/>
        <v>1</v>
      </c>
      <c r="I193" s="1">
        <v>1</v>
      </c>
      <c r="J193" s="61">
        <f t="shared" si="4"/>
        <v>1</v>
      </c>
      <c r="K193" s="87">
        <v>0</v>
      </c>
    </row>
    <row r="194" spans="1:11" x14ac:dyDescent="0.55000000000000004">
      <c r="A194" s="86" t="s">
        <v>627</v>
      </c>
      <c r="B194" s="86"/>
      <c r="C194" s="2" t="s">
        <v>522</v>
      </c>
      <c r="D194" s="1">
        <v>2</v>
      </c>
      <c r="E194" s="1">
        <v>0</v>
      </c>
      <c r="F194" s="1">
        <v>0</v>
      </c>
      <c r="G194" s="1">
        <v>0</v>
      </c>
      <c r="H194" s="1">
        <f t="shared" si="7"/>
        <v>2</v>
      </c>
      <c r="I194" s="1">
        <v>53</v>
      </c>
      <c r="J194" s="61">
        <f t="shared" si="4"/>
        <v>3.7735849056603772E-2</v>
      </c>
      <c r="K194" s="87">
        <v>0</v>
      </c>
    </row>
    <row r="195" spans="1:11" x14ac:dyDescent="0.55000000000000004">
      <c r="A195" s="86" t="s">
        <v>628</v>
      </c>
      <c r="B195" s="86"/>
      <c r="C195" s="2" t="s">
        <v>99</v>
      </c>
      <c r="D195" s="1">
        <v>1</v>
      </c>
      <c r="E195" s="1">
        <v>0</v>
      </c>
      <c r="F195" s="1">
        <v>0</v>
      </c>
      <c r="G195" s="1">
        <v>0</v>
      </c>
      <c r="H195" s="1">
        <f t="shared" si="7"/>
        <v>1</v>
      </c>
      <c r="I195" s="1">
        <v>1</v>
      </c>
      <c r="J195" s="61">
        <f t="shared" si="4"/>
        <v>1</v>
      </c>
      <c r="K195" s="87">
        <v>0</v>
      </c>
    </row>
    <row r="196" spans="1:11" x14ac:dyDescent="0.55000000000000004">
      <c r="A196" s="86" t="s">
        <v>629</v>
      </c>
      <c r="B196" s="86"/>
      <c r="C196" s="2" t="s">
        <v>366</v>
      </c>
      <c r="D196" s="1">
        <v>0</v>
      </c>
      <c r="E196" s="1">
        <v>0</v>
      </c>
      <c r="F196" s="1">
        <v>0</v>
      </c>
      <c r="G196" s="1">
        <v>0</v>
      </c>
      <c r="H196" s="1">
        <f t="shared" si="7"/>
        <v>0</v>
      </c>
      <c r="I196" s="1">
        <v>3</v>
      </c>
      <c r="J196" s="61">
        <f t="shared" si="4"/>
        <v>0</v>
      </c>
      <c r="K196" s="87">
        <v>0</v>
      </c>
    </row>
    <row r="197" spans="1:11" x14ac:dyDescent="0.55000000000000004">
      <c r="A197" s="86" t="s">
        <v>630</v>
      </c>
      <c r="B197" s="86"/>
      <c r="C197" s="2" t="s">
        <v>40</v>
      </c>
      <c r="D197" s="1">
        <v>0</v>
      </c>
      <c r="E197" s="1">
        <v>0</v>
      </c>
      <c r="F197" s="1">
        <v>0</v>
      </c>
      <c r="G197" s="1">
        <v>0</v>
      </c>
      <c r="H197" s="1">
        <f t="shared" si="7"/>
        <v>0</v>
      </c>
      <c r="I197" s="1">
        <v>5</v>
      </c>
      <c r="J197" s="61">
        <f t="shared" si="4"/>
        <v>0</v>
      </c>
      <c r="K197" s="87">
        <v>0</v>
      </c>
    </row>
    <row r="198" spans="1:11" x14ac:dyDescent="0.55000000000000004">
      <c r="A198" s="86" t="s">
        <v>631</v>
      </c>
      <c r="B198" s="86"/>
      <c r="C198" s="2" t="s">
        <v>147</v>
      </c>
      <c r="D198" s="1">
        <v>0</v>
      </c>
      <c r="E198" s="1">
        <v>0</v>
      </c>
      <c r="F198" s="1">
        <v>0</v>
      </c>
      <c r="G198" s="1">
        <v>0</v>
      </c>
      <c r="H198" s="1">
        <f t="shared" si="7"/>
        <v>0</v>
      </c>
      <c r="I198" s="1">
        <v>22</v>
      </c>
      <c r="J198" s="61">
        <f t="shared" si="4"/>
        <v>0</v>
      </c>
      <c r="K198" s="87">
        <v>0</v>
      </c>
    </row>
    <row r="199" spans="1:11" x14ac:dyDescent="0.55000000000000004">
      <c r="A199" s="86" t="s">
        <v>657</v>
      </c>
      <c r="B199" s="118">
        <v>45544</v>
      </c>
      <c r="C199" s="2" t="s">
        <v>147</v>
      </c>
      <c r="D199" s="1">
        <v>0</v>
      </c>
      <c r="E199" s="1">
        <v>0</v>
      </c>
      <c r="F199" s="1">
        <v>0</v>
      </c>
      <c r="G199" s="1">
        <v>0</v>
      </c>
      <c r="H199" s="1">
        <f t="shared" si="7"/>
        <v>0</v>
      </c>
      <c r="I199" s="1">
        <v>68</v>
      </c>
      <c r="J199" s="61">
        <f t="shared" si="4"/>
        <v>0</v>
      </c>
      <c r="K199" s="87">
        <v>0</v>
      </c>
    </row>
    <row r="200" spans="1:11" x14ac:dyDescent="0.55000000000000004">
      <c r="A200" s="86" t="s">
        <v>658</v>
      </c>
      <c r="B200" s="118">
        <v>45544</v>
      </c>
      <c r="C200" s="2" t="s">
        <v>99</v>
      </c>
      <c r="D200" s="1">
        <v>0</v>
      </c>
      <c r="E200" s="1">
        <v>0</v>
      </c>
      <c r="F200" s="1">
        <v>0</v>
      </c>
      <c r="G200" s="1">
        <v>0</v>
      </c>
      <c r="H200" s="1">
        <f t="shared" si="7"/>
        <v>0</v>
      </c>
      <c r="I200" s="1">
        <v>0</v>
      </c>
      <c r="J200" s="61">
        <f t="shared" si="4"/>
        <v>0</v>
      </c>
      <c r="K200" s="87">
        <v>0</v>
      </c>
    </row>
    <row r="201" spans="1:11" x14ac:dyDescent="0.55000000000000004">
      <c r="A201" s="86" t="s">
        <v>659</v>
      </c>
      <c r="B201" s="118">
        <v>45544</v>
      </c>
      <c r="C201" s="2" t="s">
        <v>366</v>
      </c>
      <c r="D201" s="1">
        <v>0</v>
      </c>
      <c r="E201" s="1">
        <v>0</v>
      </c>
      <c r="F201" s="1">
        <v>0</v>
      </c>
      <c r="G201" s="1">
        <v>0</v>
      </c>
      <c r="H201" s="1">
        <f t="shared" si="7"/>
        <v>0</v>
      </c>
      <c r="I201" s="1">
        <v>27</v>
      </c>
      <c r="J201" s="61">
        <f t="shared" si="4"/>
        <v>0</v>
      </c>
      <c r="K201" s="87">
        <v>0</v>
      </c>
    </row>
    <row r="202" spans="1:11" x14ac:dyDescent="0.55000000000000004">
      <c r="A202" s="86" t="s">
        <v>660</v>
      </c>
      <c r="B202" s="118">
        <v>45544</v>
      </c>
      <c r="C202" s="2" t="s">
        <v>40</v>
      </c>
      <c r="D202" s="1">
        <v>0</v>
      </c>
      <c r="E202" s="1">
        <v>0</v>
      </c>
      <c r="F202" s="1">
        <v>0</v>
      </c>
      <c r="G202" s="1">
        <v>0</v>
      </c>
      <c r="H202" s="1">
        <f t="shared" si="7"/>
        <v>0</v>
      </c>
      <c r="I202" s="1">
        <v>30</v>
      </c>
      <c r="J202" s="61">
        <f t="shared" si="4"/>
        <v>0</v>
      </c>
      <c r="K202" s="87">
        <v>0</v>
      </c>
    </row>
    <row r="203" spans="1:11" x14ac:dyDescent="0.55000000000000004">
      <c r="A203" s="86" t="s">
        <v>661</v>
      </c>
      <c r="B203" s="118">
        <v>45544</v>
      </c>
      <c r="C203" s="2" t="s">
        <v>148</v>
      </c>
      <c r="D203" s="1">
        <v>0</v>
      </c>
      <c r="E203" s="1">
        <v>0</v>
      </c>
      <c r="F203" s="1">
        <v>0</v>
      </c>
      <c r="G203" s="1">
        <v>0</v>
      </c>
      <c r="H203" s="1">
        <f t="shared" si="7"/>
        <v>0</v>
      </c>
      <c r="I203" s="1">
        <v>24</v>
      </c>
      <c r="J203" s="61">
        <f t="shared" si="4"/>
        <v>0</v>
      </c>
      <c r="K203" s="87">
        <v>0</v>
      </c>
    </row>
    <row r="204" spans="1:11" x14ac:dyDescent="0.55000000000000004">
      <c r="A204" s="86" t="s">
        <v>662</v>
      </c>
      <c r="B204" s="118">
        <v>45544</v>
      </c>
      <c r="C204" s="2" t="s">
        <v>522</v>
      </c>
      <c r="D204" s="1">
        <v>1</v>
      </c>
      <c r="E204" s="1">
        <v>0</v>
      </c>
      <c r="F204" s="1">
        <v>0</v>
      </c>
      <c r="G204" s="1">
        <v>0</v>
      </c>
      <c r="H204" s="1">
        <f t="shared" si="7"/>
        <v>1</v>
      </c>
      <c r="I204" s="1">
        <v>18</v>
      </c>
      <c r="J204" s="61">
        <f t="shared" si="4"/>
        <v>5.5555555555555552E-2</v>
      </c>
      <c r="K204" s="87">
        <v>0</v>
      </c>
    </row>
    <row r="205" spans="1:11" x14ac:dyDescent="0.55000000000000004">
      <c r="A205" s="86" t="s">
        <v>663</v>
      </c>
      <c r="B205" s="118">
        <v>45552</v>
      </c>
      <c r="C205" s="2" t="s">
        <v>522</v>
      </c>
      <c r="D205" s="1">
        <v>0</v>
      </c>
      <c r="E205" s="1">
        <v>0</v>
      </c>
      <c r="F205" s="1">
        <v>0</v>
      </c>
      <c r="G205" s="1">
        <v>0</v>
      </c>
      <c r="H205" s="1">
        <f t="shared" si="7"/>
        <v>0</v>
      </c>
      <c r="I205" s="1">
        <v>31</v>
      </c>
      <c r="J205" s="61">
        <f t="shared" si="4"/>
        <v>0</v>
      </c>
      <c r="K205" s="87">
        <v>0</v>
      </c>
    </row>
    <row r="206" spans="1:11" x14ac:dyDescent="0.55000000000000004">
      <c r="A206" s="86" t="s">
        <v>664</v>
      </c>
      <c r="B206" s="118">
        <v>45552</v>
      </c>
      <c r="C206" s="2" t="s">
        <v>366</v>
      </c>
      <c r="D206" s="1">
        <v>0</v>
      </c>
      <c r="E206" s="1">
        <v>0</v>
      </c>
      <c r="F206" s="1">
        <v>0</v>
      </c>
      <c r="G206" s="1">
        <v>0</v>
      </c>
      <c r="H206" s="1">
        <f t="shared" si="7"/>
        <v>0</v>
      </c>
      <c r="I206" s="1">
        <v>5</v>
      </c>
      <c r="J206" s="61">
        <f t="shared" si="4"/>
        <v>0</v>
      </c>
      <c r="K206" s="87">
        <v>0</v>
      </c>
    </row>
    <row r="207" spans="1:11" x14ac:dyDescent="0.55000000000000004">
      <c r="A207" s="86" t="s">
        <v>665</v>
      </c>
      <c r="B207" s="118">
        <v>45552</v>
      </c>
      <c r="C207" s="2" t="s">
        <v>40</v>
      </c>
      <c r="D207" s="1">
        <v>0</v>
      </c>
      <c r="E207" s="1">
        <v>0</v>
      </c>
      <c r="F207" s="1">
        <v>0</v>
      </c>
      <c r="G207" s="1">
        <v>0</v>
      </c>
      <c r="H207" s="1">
        <f t="shared" si="7"/>
        <v>0</v>
      </c>
      <c r="I207" s="1">
        <v>13</v>
      </c>
      <c r="J207" s="61">
        <f t="shared" si="4"/>
        <v>0</v>
      </c>
      <c r="K207" s="87">
        <v>0</v>
      </c>
    </row>
    <row r="208" spans="1:11" x14ac:dyDescent="0.55000000000000004">
      <c r="A208" s="86" t="s">
        <v>666</v>
      </c>
      <c r="B208" s="118">
        <v>45552</v>
      </c>
      <c r="C208" s="2" t="s">
        <v>148</v>
      </c>
      <c r="D208" s="1">
        <v>1</v>
      </c>
      <c r="E208" s="1">
        <v>0</v>
      </c>
      <c r="F208" s="1">
        <v>0</v>
      </c>
      <c r="G208" s="1">
        <v>0</v>
      </c>
      <c r="H208" s="1">
        <f t="shared" si="7"/>
        <v>1</v>
      </c>
      <c r="I208" s="1">
        <v>31</v>
      </c>
      <c r="J208" s="61">
        <f t="shared" si="4"/>
        <v>3.2258064516129031E-2</v>
      </c>
      <c r="K208" s="87">
        <v>0</v>
      </c>
    </row>
    <row r="209" spans="1:11" x14ac:dyDescent="0.55000000000000004">
      <c r="A209" s="108" t="s">
        <v>667</v>
      </c>
      <c r="B209" s="118">
        <v>45552</v>
      </c>
      <c r="C209" s="65" t="s">
        <v>147</v>
      </c>
      <c r="D209" s="32">
        <v>0</v>
      </c>
      <c r="E209" s="32">
        <v>0</v>
      </c>
      <c r="F209" s="32">
        <v>0</v>
      </c>
      <c r="G209" s="32">
        <v>0</v>
      </c>
      <c r="H209" s="1">
        <f t="shared" si="7"/>
        <v>0</v>
      </c>
      <c r="I209" s="32">
        <v>14</v>
      </c>
      <c r="J209" s="61">
        <f t="shared" si="4"/>
        <v>0</v>
      </c>
      <c r="K209" s="81">
        <v>0</v>
      </c>
    </row>
    <row r="210" spans="1:11" x14ac:dyDescent="0.55000000000000004">
      <c r="A210" s="86" t="s">
        <v>668</v>
      </c>
      <c r="B210" s="118">
        <v>45559</v>
      </c>
      <c r="C210" s="2" t="s">
        <v>148</v>
      </c>
      <c r="D210" s="1">
        <v>0</v>
      </c>
      <c r="E210" s="1">
        <v>0</v>
      </c>
      <c r="F210" s="1">
        <v>0</v>
      </c>
      <c r="G210" s="1">
        <v>0</v>
      </c>
      <c r="H210" s="1">
        <f t="shared" si="7"/>
        <v>0</v>
      </c>
      <c r="I210" s="1">
        <v>39</v>
      </c>
      <c r="J210" s="61">
        <f t="shared" si="4"/>
        <v>0</v>
      </c>
      <c r="K210" s="87">
        <v>0</v>
      </c>
    </row>
    <row r="211" spans="1:11" x14ac:dyDescent="0.55000000000000004">
      <c r="A211" s="86" t="s">
        <v>669</v>
      </c>
      <c r="B211" s="118">
        <v>45559</v>
      </c>
      <c r="C211" s="2" t="s">
        <v>99</v>
      </c>
      <c r="D211" s="1">
        <v>0</v>
      </c>
      <c r="E211" s="1">
        <v>0</v>
      </c>
      <c r="F211" s="1">
        <v>0</v>
      </c>
      <c r="G211" s="1">
        <v>0</v>
      </c>
      <c r="H211" s="1">
        <f t="shared" si="7"/>
        <v>0</v>
      </c>
      <c r="I211" s="1">
        <v>8</v>
      </c>
      <c r="J211" s="61">
        <f t="shared" si="4"/>
        <v>0</v>
      </c>
      <c r="K211" s="87">
        <v>0</v>
      </c>
    </row>
    <row r="212" spans="1:11" x14ac:dyDescent="0.55000000000000004">
      <c r="A212" s="86" t="s">
        <v>670</v>
      </c>
      <c r="B212" s="118">
        <v>45559</v>
      </c>
      <c r="C212" s="2" t="s">
        <v>40</v>
      </c>
      <c r="D212" s="1">
        <v>0</v>
      </c>
      <c r="E212" s="1">
        <v>0</v>
      </c>
      <c r="F212" s="1">
        <v>0</v>
      </c>
      <c r="G212" s="1">
        <v>0</v>
      </c>
      <c r="H212" s="1">
        <f t="shared" si="7"/>
        <v>0</v>
      </c>
      <c r="I212" s="1">
        <v>14</v>
      </c>
      <c r="J212" s="61">
        <f t="shared" ref="J212:J215" si="8">IF(I212=0,0,H212/I212)</f>
        <v>0</v>
      </c>
      <c r="K212" s="87">
        <v>0</v>
      </c>
    </row>
    <row r="213" spans="1:11" x14ac:dyDescent="0.55000000000000004">
      <c r="A213" s="108" t="s">
        <v>671</v>
      </c>
      <c r="B213" s="118">
        <v>45559</v>
      </c>
      <c r="C213" s="65" t="s">
        <v>522</v>
      </c>
      <c r="D213" s="32">
        <v>0</v>
      </c>
      <c r="E213" s="32">
        <v>0</v>
      </c>
      <c r="F213" s="32">
        <v>0</v>
      </c>
      <c r="G213" s="32">
        <v>0</v>
      </c>
      <c r="H213" s="39">
        <f t="shared" si="7"/>
        <v>0</v>
      </c>
      <c r="I213" s="32">
        <v>9</v>
      </c>
      <c r="J213" s="92">
        <f t="shared" si="8"/>
        <v>0</v>
      </c>
      <c r="K213" s="81">
        <v>0</v>
      </c>
    </row>
    <row r="214" spans="1:11" x14ac:dyDescent="0.55000000000000004">
      <c r="A214" s="86" t="s">
        <v>672</v>
      </c>
      <c r="B214" s="118">
        <v>45565</v>
      </c>
      <c r="C214" s="2" t="s">
        <v>40</v>
      </c>
      <c r="D214" s="1">
        <v>2</v>
      </c>
      <c r="E214" s="1">
        <v>0</v>
      </c>
      <c r="F214" s="1">
        <v>0</v>
      </c>
      <c r="G214" s="1">
        <v>0</v>
      </c>
      <c r="H214" s="1">
        <f t="shared" si="7"/>
        <v>2</v>
      </c>
      <c r="I214" s="1">
        <v>28</v>
      </c>
      <c r="J214" s="61">
        <f t="shared" si="8"/>
        <v>7.1428571428571425E-2</v>
      </c>
      <c r="K214" s="87">
        <v>0</v>
      </c>
    </row>
    <row r="215" spans="1:11" x14ac:dyDescent="0.55000000000000004">
      <c r="A215" s="86" t="s">
        <v>673</v>
      </c>
      <c r="B215" s="118">
        <v>45565</v>
      </c>
      <c r="C215" s="2" t="s">
        <v>366</v>
      </c>
      <c r="D215" s="1">
        <v>0</v>
      </c>
      <c r="E215" s="1">
        <v>0</v>
      </c>
      <c r="F215" s="1">
        <v>0</v>
      </c>
      <c r="G215" s="1">
        <v>0</v>
      </c>
      <c r="H215" s="1">
        <f t="shared" si="7"/>
        <v>0</v>
      </c>
      <c r="I215" s="1">
        <v>16</v>
      </c>
      <c r="J215" s="61">
        <f t="shared" si="8"/>
        <v>0</v>
      </c>
      <c r="K215" s="87">
        <v>0</v>
      </c>
    </row>
    <row r="216" spans="1:11" x14ac:dyDescent="0.55000000000000004">
      <c r="A216" s="86" t="s">
        <v>674</v>
      </c>
      <c r="B216" s="118">
        <v>45565</v>
      </c>
      <c r="C216" s="2" t="s">
        <v>522</v>
      </c>
      <c r="D216" s="1">
        <v>0</v>
      </c>
      <c r="E216" s="1">
        <v>0</v>
      </c>
      <c r="F216" s="1">
        <v>0</v>
      </c>
      <c r="G216" s="1">
        <v>0</v>
      </c>
      <c r="H216" s="1">
        <f t="shared" si="7"/>
        <v>0</v>
      </c>
      <c r="I216" s="1">
        <v>24</v>
      </c>
      <c r="J216" s="61">
        <f t="shared" ref="J216" si="9">IF(I216=0,0,H216/I216)</f>
        <v>0</v>
      </c>
      <c r="K216" s="87">
        <v>0</v>
      </c>
    </row>
    <row r="217" spans="1:11" x14ac:dyDescent="0.55000000000000004">
      <c r="A217" s="86" t="s">
        <v>675</v>
      </c>
      <c r="B217" s="118">
        <v>45565</v>
      </c>
      <c r="C217" s="2" t="s">
        <v>148</v>
      </c>
      <c r="D217" s="1">
        <v>0</v>
      </c>
      <c r="E217" s="1">
        <v>0</v>
      </c>
      <c r="F217" s="1">
        <v>0</v>
      </c>
      <c r="G217" s="1">
        <v>0</v>
      </c>
      <c r="H217" s="1">
        <f t="shared" si="7"/>
        <v>0</v>
      </c>
      <c r="I217" s="1">
        <v>14</v>
      </c>
      <c r="J217" s="61">
        <f t="shared" ref="J217:J218" si="10">IF(I217=0,0,H217/I217)</f>
        <v>0</v>
      </c>
      <c r="K217" s="87">
        <v>0</v>
      </c>
    </row>
    <row r="218" spans="1:11" x14ac:dyDescent="0.55000000000000004">
      <c r="A218" s="86" t="s">
        <v>676</v>
      </c>
      <c r="B218" s="118">
        <v>45565</v>
      </c>
      <c r="C218" s="2" t="s">
        <v>147</v>
      </c>
      <c r="D218" s="1">
        <v>1</v>
      </c>
      <c r="E218" s="1">
        <v>0</v>
      </c>
      <c r="F218" s="1">
        <v>0</v>
      </c>
      <c r="G218" s="1">
        <v>0</v>
      </c>
      <c r="H218" s="1">
        <f t="shared" si="7"/>
        <v>1</v>
      </c>
      <c r="I218" s="1">
        <v>27</v>
      </c>
      <c r="J218" s="61">
        <f t="shared" si="10"/>
        <v>3.7037037037037035E-2</v>
      </c>
      <c r="K218" s="87">
        <v>0</v>
      </c>
    </row>
    <row r="219" spans="1:11" x14ac:dyDescent="0.55000000000000004">
      <c r="A219" s="80"/>
      <c r="B219" s="80"/>
      <c r="C219" s="65"/>
      <c r="D219" s="32"/>
      <c r="E219" s="32"/>
      <c r="F219" s="32"/>
      <c r="G219" s="32"/>
      <c r="H219" s="32"/>
      <c r="I219" s="32"/>
      <c r="J219" s="93"/>
      <c r="K219" s="81"/>
    </row>
    <row r="220" spans="1:11" x14ac:dyDescent="0.55000000000000004">
      <c r="A220" s="80"/>
      <c r="B220" s="80"/>
      <c r="C220" s="65"/>
      <c r="D220" s="32"/>
      <c r="E220" s="32"/>
      <c r="F220" s="32"/>
      <c r="G220" s="32"/>
      <c r="H220" s="32"/>
      <c r="I220" s="32"/>
      <c r="J220" s="93"/>
      <c r="K220" s="81"/>
    </row>
    <row r="221" spans="1:11" x14ac:dyDescent="0.55000000000000004">
      <c r="A221" s="80"/>
      <c r="B221" s="80"/>
      <c r="C221" s="65"/>
      <c r="D221" s="32"/>
      <c r="E221" s="32"/>
      <c r="F221" s="32"/>
      <c r="G221" s="32"/>
      <c r="H221" s="32"/>
      <c r="I221" s="32"/>
      <c r="J221" s="93"/>
      <c r="K221" s="81"/>
    </row>
    <row r="222" spans="1:11" x14ac:dyDescent="0.55000000000000004">
      <c r="A222" s="80"/>
      <c r="B222" s="80"/>
      <c r="C222" s="65"/>
      <c r="D222" s="32"/>
      <c r="E222" s="32"/>
      <c r="F222" s="32"/>
      <c r="G222" s="32"/>
      <c r="H222" s="32"/>
      <c r="I222" s="32"/>
      <c r="J222" s="93"/>
      <c r="K222" s="81"/>
    </row>
    <row r="223" spans="1:11" x14ac:dyDescent="0.55000000000000004">
      <c r="A223" s="80"/>
      <c r="B223" s="80"/>
      <c r="C223" s="65"/>
      <c r="D223" s="32"/>
      <c r="E223" s="32"/>
      <c r="F223" s="32"/>
      <c r="G223" s="32"/>
      <c r="H223" s="32"/>
      <c r="I223" s="32"/>
      <c r="J223" s="93"/>
      <c r="K223" s="81"/>
    </row>
    <row r="224" spans="1:11" x14ac:dyDescent="0.55000000000000004">
      <c r="A224" s="80"/>
      <c r="B224" s="80"/>
      <c r="C224" s="65"/>
      <c r="D224" s="32"/>
      <c r="E224" s="32"/>
      <c r="F224" s="32"/>
      <c r="G224" s="32"/>
      <c r="H224" s="32"/>
      <c r="I224" s="32"/>
      <c r="J224" s="93"/>
      <c r="K224" s="81"/>
    </row>
    <row r="225" spans="1:11" x14ac:dyDescent="0.55000000000000004">
      <c r="A225" s="80"/>
      <c r="B225" s="80"/>
      <c r="C225" s="65"/>
      <c r="D225" s="32"/>
      <c r="E225" s="32"/>
      <c r="F225" s="32"/>
      <c r="G225" s="32"/>
      <c r="H225" s="32"/>
      <c r="I225" s="32"/>
      <c r="J225" s="93"/>
      <c r="K225" s="81"/>
    </row>
    <row r="226" spans="1:11" x14ac:dyDescent="0.55000000000000004">
      <c r="A226" s="80"/>
      <c r="B226" s="80"/>
      <c r="C226" s="65"/>
      <c r="D226" s="32"/>
      <c r="E226" s="32"/>
      <c r="F226" s="32"/>
      <c r="G226" s="32"/>
      <c r="H226" s="32"/>
      <c r="I226" s="32"/>
      <c r="J226" s="93"/>
      <c r="K226" s="81"/>
    </row>
    <row r="227" spans="1:11" x14ac:dyDescent="0.55000000000000004">
      <c r="A227" s="80"/>
      <c r="B227" s="80"/>
      <c r="C227" s="65"/>
      <c r="D227" s="32"/>
      <c r="E227" s="32"/>
      <c r="F227" s="32"/>
      <c r="G227" s="32"/>
      <c r="H227" s="32"/>
      <c r="I227" s="32"/>
      <c r="J227" s="93"/>
      <c r="K227" s="81"/>
    </row>
    <row r="228" spans="1:11" x14ac:dyDescent="0.55000000000000004">
      <c r="A228" s="80"/>
      <c r="B228" s="80"/>
      <c r="C228" s="65"/>
      <c r="D228" s="32"/>
      <c r="E228" s="32"/>
      <c r="F228" s="32"/>
      <c r="G228" s="32"/>
      <c r="H228" s="32"/>
      <c r="I228" s="32"/>
      <c r="J228" s="93"/>
      <c r="K228" s="81"/>
    </row>
    <row r="229" spans="1:11" x14ac:dyDescent="0.55000000000000004">
      <c r="A229" s="80"/>
      <c r="B229" s="80"/>
      <c r="C229" s="65"/>
      <c r="D229" s="32"/>
      <c r="E229" s="32"/>
      <c r="F229" s="32"/>
      <c r="G229" s="32"/>
      <c r="H229" s="32"/>
      <c r="I229" s="32"/>
      <c r="J229" s="93"/>
      <c r="K229" s="81"/>
    </row>
    <row r="230" spans="1:11" x14ac:dyDescent="0.55000000000000004">
      <c r="A230" s="80"/>
      <c r="B230" s="80"/>
      <c r="C230" s="65"/>
      <c r="D230" s="32"/>
      <c r="E230" s="32"/>
      <c r="F230" s="32"/>
      <c r="G230" s="32"/>
      <c r="H230" s="32"/>
      <c r="I230" s="32"/>
      <c r="J230" s="93"/>
      <c r="K230" s="81"/>
    </row>
    <row r="231" spans="1:11" x14ac:dyDescent="0.55000000000000004">
      <c r="A231" s="80"/>
      <c r="B231" s="80"/>
      <c r="C231" s="65"/>
      <c r="D231" s="32"/>
      <c r="E231" s="32"/>
      <c r="F231" s="32"/>
      <c r="G231" s="32"/>
      <c r="H231" s="32"/>
      <c r="I231" s="32"/>
      <c r="J231" s="93"/>
      <c r="K231" s="81"/>
    </row>
    <row r="232" spans="1:11" x14ac:dyDescent="0.55000000000000004">
      <c r="A232" s="80"/>
      <c r="B232" s="80"/>
      <c r="C232" s="65"/>
      <c r="D232" s="32"/>
      <c r="E232" s="32"/>
      <c r="F232" s="32"/>
      <c r="G232" s="32"/>
      <c r="H232" s="32"/>
      <c r="I232" s="32"/>
      <c r="J232" s="93"/>
      <c r="K232" s="81"/>
    </row>
    <row r="233" spans="1:11" x14ac:dyDescent="0.55000000000000004">
      <c r="A233" s="80"/>
      <c r="B233" s="80"/>
      <c r="C233" s="65"/>
      <c r="D233" s="32"/>
      <c r="E233" s="32"/>
      <c r="F233" s="32"/>
      <c r="G233" s="32"/>
      <c r="H233" s="32"/>
      <c r="I233" s="32"/>
      <c r="J233" s="93"/>
      <c r="K233" s="81"/>
    </row>
    <row r="234" spans="1:11" x14ac:dyDescent="0.55000000000000004">
      <c r="A234" s="80"/>
      <c r="B234" s="80"/>
      <c r="C234" s="65"/>
      <c r="D234" s="32"/>
      <c r="E234" s="32"/>
      <c r="F234" s="32"/>
      <c r="G234" s="32"/>
      <c r="H234" s="32"/>
      <c r="I234" s="32"/>
      <c r="J234" s="93"/>
      <c r="K234" s="81"/>
    </row>
    <row r="235" spans="1:11" x14ac:dyDescent="0.55000000000000004">
      <c r="A235" s="80"/>
      <c r="B235" s="80"/>
      <c r="C235" s="65"/>
      <c r="D235" s="32"/>
      <c r="E235" s="32"/>
      <c r="F235" s="32"/>
      <c r="G235" s="32"/>
      <c r="H235" s="32"/>
      <c r="I235" s="32"/>
      <c r="J235" s="93"/>
      <c r="K235" s="81"/>
    </row>
    <row r="236" spans="1:11" x14ac:dyDescent="0.55000000000000004">
      <c r="A236" s="80"/>
      <c r="B236" s="80"/>
      <c r="C236" s="65"/>
      <c r="D236" s="32"/>
      <c r="E236" s="32"/>
      <c r="F236" s="32"/>
      <c r="G236" s="32"/>
      <c r="H236" s="32"/>
      <c r="I236" s="32"/>
      <c r="J236" s="93"/>
      <c r="K236" s="81"/>
    </row>
    <row r="237" spans="1:11" x14ac:dyDescent="0.55000000000000004">
      <c r="A237" s="80"/>
      <c r="B237" s="80"/>
      <c r="C237" s="65"/>
      <c r="D237" s="32"/>
      <c r="E237" s="32"/>
      <c r="F237" s="32"/>
      <c r="G237" s="32"/>
      <c r="H237" s="32"/>
      <c r="I237" s="32"/>
      <c r="J237" s="93"/>
      <c r="K237" s="81"/>
    </row>
    <row r="238" spans="1:11" x14ac:dyDescent="0.55000000000000004">
      <c r="A238" s="80"/>
      <c r="B238" s="80"/>
      <c r="C238" s="65"/>
      <c r="D238" s="32"/>
      <c r="E238" s="32"/>
      <c r="F238" s="32"/>
      <c r="G238" s="32"/>
      <c r="H238" s="32"/>
      <c r="I238" s="32"/>
      <c r="J238" s="93"/>
      <c r="K238" s="81"/>
    </row>
    <row r="239" spans="1:11" x14ac:dyDescent="0.55000000000000004">
      <c r="A239" s="80"/>
      <c r="B239" s="80"/>
      <c r="C239" s="65"/>
      <c r="D239" s="32"/>
      <c r="E239" s="32"/>
      <c r="F239" s="32"/>
      <c r="G239" s="32"/>
      <c r="H239" s="32"/>
      <c r="I239" s="32"/>
      <c r="J239" s="93"/>
      <c r="K239" s="81"/>
    </row>
    <row r="240" spans="1:11" x14ac:dyDescent="0.55000000000000004">
      <c r="A240" s="80"/>
      <c r="B240" s="80"/>
      <c r="C240" s="65"/>
      <c r="D240" s="32"/>
      <c r="E240" s="32"/>
      <c r="F240" s="32"/>
      <c r="G240" s="32"/>
      <c r="H240" s="32"/>
      <c r="I240" s="32"/>
      <c r="J240" s="93"/>
      <c r="K240" s="81"/>
    </row>
    <row r="241" spans="1:11" x14ac:dyDescent="0.55000000000000004">
      <c r="A241" s="80"/>
      <c r="B241" s="80"/>
      <c r="C241" s="65"/>
      <c r="D241" s="32"/>
      <c r="E241" s="32"/>
      <c r="F241" s="32"/>
      <c r="G241" s="32"/>
      <c r="H241" s="32"/>
      <c r="I241" s="32"/>
      <c r="J241" s="93"/>
      <c r="K241" s="81"/>
    </row>
    <row r="242" spans="1:11" x14ac:dyDescent="0.55000000000000004">
      <c r="A242" s="80"/>
      <c r="B242" s="80"/>
      <c r="C242" s="65"/>
      <c r="D242" s="32"/>
      <c r="E242" s="32"/>
      <c r="F242" s="32"/>
      <c r="G242" s="32"/>
      <c r="H242" s="32"/>
      <c r="I242" s="32"/>
      <c r="J242" s="93"/>
      <c r="K242" s="81"/>
    </row>
    <row r="243" spans="1:11" x14ac:dyDescent="0.55000000000000004">
      <c r="A243" s="80"/>
      <c r="B243" s="80"/>
      <c r="C243" s="65"/>
      <c r="D243" s="32"/>
      <c r="E243" s="32"/>
      <c r="F243" s="32"/>
      <c r="G243" s="32"/>
      <c r="H243" s="32"/>
      <c r="I243" s="32"/>
      <c r="J243" s="93"/>
      <c r="K243" s="81"/>
    </row>
    <row r="244" spans="1:11" x14ac:dyDescent="0.55000000000000004">
      <c r="A244" s="80"/>
      <c r="B244" s="80"/>
      <c r="C244" s="65"/>
      <c r="D244" s="32"/>
      <c r="E244" s="32"/>
      <c r="F244" s="32"/>
      <c r="G244" s="32"/>
      <c r="H244" s="32"/>
      <c r="I244" s="32"/>
      <c r="J244" s="93"/>
      <c r="K244" s="81"/>
    </row>
    <row r="245" spans="1:11" x14ac:dyDescent="0.55000000000000004">
      <c r="A245" s="80"/>
      <c r="B245" s="80"/>
      <c r="C245" s="65"/>
      <c r="D245" s="32"/>
      <c r="E245" s="32"/>
      <c r="F245" s="32"/>
      <c r="G245" s="32"/>
      <c r="H245" s="32"/>
      <c r="I245" s="32"/>
      <c r="J245" s="93"/>
      <c r="K245" s="81"/>
    </row>
    <row r="246" spans="1:11" x14ac:dyDescent="0.55000000000000004">
      <c r="A246" s="80"/>
      <c r="B246" s="80"/>
      <c r="C246" s="65"/>
      <c r="D246" s="32"/>
      <c r="E246" s="32"/>
      <c r="F246" s="32"/>
      <c r="G246" s="32"/>
      <c r="H246" s="32"/>
      <c r="I246" s="32"/>
      <c r="J246" s="93"/>
      <c r="K246" s="81"/>
    </row>
    <row r="247" spans="1:11" x14ac:dyDescent="0.55000000000000004">
      <c r="A247" s="80"/>
      <c r="B247" s="80"/>
      <c r="C247" s="65"/>
      <c r="D247" s="32"/>
      <c r="E247" s="32"/>
      <c r="F247" s="32"/>
      <c r="G247" s="32"/>
      <c r="H247" s="32"/>
      <c r="I247" s="32"/>
      <c r="J247" s="93"/>
      <c r="K247" s="81"/>
    </row>
    <row r="248" spans="1:11" x14ac:dyDescent="0.55000000000000004">
      <c r="A248" s="80"/>
      <c r="B248" s="80"/>
      <c r="C248" s="65"/>
      <c r="D248" s="32"/>
      <c r="E248" s="32"/>
      <c r="F248" s="32"/>
      <c r="G248" s="32"/>
      <c r="H248" s="32"/>
      <c r="I248" s="32"/>
      <c r="J248" s="93"/>
      <c r="K248" s="81"/>
    </row>
    <row r="249" spans="1:11" x14ac:dyDescent="0.55000000000000004">
      <c r="A249" s="80"/>
      <c r="B249" s="80"/>
      <c r="C249" s="65"/>
      <c r="D249" s="32"/>
      <c r="E249" s="32"/>
      <c r="F249" s="32"/>
      <c r="G249" s="32"/>
      <c r="H249" s="32"/>
      <c r="I249" s="32"/>
      <c r="J249" s="93"/>
      <c r="K249" s="81"/>
    </row>
    <row r="250" spans="1:11" x14ac:dyDescent="0.55000000000000004">
      <c r="A250" s="41" t="s">
        <v>86</v>
      </c>
      <c r="B250" s="41"/>
      <c r="C250" s="38"/>
      <c r="D250" s="39">
        <f>SUBTOTAL(109,テーブル134[ケアレスミス])</f>
        <v>78</v>
      </c>
      <c r="E250" s="39">
        <f>SUBTOTAL(109,テーブル134[解釈])</f>
        <v>20</v>
      </c>
      <c r="F250" s="39">
        <f>SUBTOTAL(109,テーブル134[マニュアル])</f>
        <v>5</v>
      </c>
      <c r="G250" s="39">
        <f>SUBTOTAL(109,テーブル134[その他])</f>
        <v>1</v>
      </c>
      <c r="H250" s="39">
        <f>SUBTOTAL(109,テーブル134[FB数合計])</f>
        <v>98</v>
      </c>
      <c r="I250" s="39">
        <f>SUBTOTAL(109,テーブル134[件数])</f>
        <v>13574</v>
      </c>
      <c r="J250" s="67">
        <f>(H250/I250)</f>
        <v>7.2196846913216445E-3</v>
      </c>
      <c r="K250" s="69">
        <f>SUBTOTAL(109,テーブル134[インシデント])</f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95BE-73F9-4F8B-AC5A-BEDD2F7751EA}">
  <sheetPr codeName="Sheet28">
    <tabColor theme="7" tint="-0.249977111117893"/>
  </sheetPr>
  <dimension ref="B3:R173"/>
  <sheetViews>
    <sheetView topLeftCell="A9" workbookViewId="0">
      <selection activeCell="A12" sqref="A12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  <col min="19" max="20" width="10.25" bestFit="1" customWidth="1"/>
    <col min="21" max="23" width="11.3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451</v>
      </c>
    </row>
    <row r="22" spans="2:18" x14ac:dyDescent="0.55000000000000004">
      <c r="C22" s="28"/>
    </row>
    <row r="27" spans="2:18" x14ac:dyDescent="0.55000000000000004">
      <c r="B27" s="1" t="s">
        <v>67</v>
      </c>
      <c r="C27" s="44">
        <v>45383</v>
      </c>
      <c r="D27" s="44">
        <v>45413</v>
      </c>
      <c r="E27" s="44">
        <v>45444</v>
      </c>
      <c r="F27" s="44">
        <v>45474</v>
      </c>
      <c r="G27" s="44">
        <v>45505</v>
      </c>
      <c r="H27" s="44">
        <v>45536</v>
      </c>
      <c r="I27" s="44">
        <v>45566</v>
      </c>
      <c r="J27" s="44">
        <v>45597</v>
      </c>
      <c r="K27" s="44">
        <v>45627</v>
      </c>
      <c r="L27" s="44">
        <v>45658</v>
      </c>
      <c r="M27" s="44">
        <v>45689</v>
      </c>
      <c r="N27" s="44">
        <v>45717</v>
      </c>
      <c r="O27" s="44">
        <v>45748</v>
      </c>
      <c r="P27" s="44">
        <v>45778</v>
      </c>
      <c r="Q27" s="44">
        <v>45809</v>
      </c>
      <c r="R27" s="44">
        <v>45839</v>
      </c>
    </row>
    <row r="28" spans="2:18" x14ac:dyDescent="0.55000000000000004">
      <c r="B28" s="1" t="s">
        <v>40</v>
      </c>
      <c r="C28" s="1">
        <v>3</v>
      </c>
      <c r="D28" s="1">
        <v>0</v>
      </c>
      <c r="E28" s="1">
        <v>0</v>
      </c>
      <c r="F28" s="1">
        <v>0</v>
      </c>
      <c r="G28" s="1">
        <v>0</v>
      </c>
      <c r="H28" s="1">
        <v>2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2:18" x14ac:dyDescent="0.55000000000000004">
      <c r="B29" s="1" t="s">
        <v>147</v>
      </c>
      <c r="C29" s="1">
        <v>2</v>
      </c>
      <c r="D29" s="1">
        <v>2</v>
      </c>
      <c r="E29" s="1">
        <v>0</v>
      </c>
      <c r="F29" s="1">
        <v>2</v>
      </c>
      <c r="G29" s="1">
        <v>1</v>
      </c>
      <c r="H29" s="1">
        <v>1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2:18" x14ac:dyDescent="0.55000000000000004">
      <c r="B30" s="1" t="s">
        <v>148</v>
      </c>
      <c r="C30" s="1">
        <v>0</v>
      </c>
      <c r="D30" s="1">
        <v>5</v>
      </c>
      <c r="E30" s="1">
        <v>1</v>
      </c>
      <c r="F30" s="1">
        <v>1</v>
      </c>
      <c r="G30" s="1">
        <v>0</v>
      </c>
      <c r="H30" s="1">
        <v>1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2:18" x14ac:dyDescent="0.55000000000000004">
      <c r="B31" s="1" t="s">
        <v>99</v>
      </c>
      <c r="C31" s="1">
        <v>0</v>
      </c>
      <c r="D31" s="1">
        <v>5</v>
      </c>
      <c r="E31" s="1">
        <v>2</v>
      </c>
      <c r="F31" s="1">
        <v>5</v>
      </c>
      <c r="G31" s="1">
        <v>0</v>
      </c>
      <c r="H31" s="1">
        <v>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2:18" x14ac:dyDescent="0.55000000000000004">
      <c r="B32" s="1" t="s">
        <v>366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2:18" x14ac:dyDescent="0.55000000000000004">
      <c r="B33" s="1" t="s">
        <v>2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2:18" x14ac:dyDescent="0.55000000000000004">
      <c r="B34" s="1" t="s">
        <v>15</v>
      </c>
      <c r="C34" s="1">
        <v>0</v>
      </c>
      <c r="D34" s="1">
        <v>1</v>
      </c>
      <c r="E34" s="1">
        <v>0</v>
      </c>
      <c r="F34" s="1">
        <v>1</v>
      </c>
      <c r="G34" s="1">
        <v>0</v>
      </c>
      <c r="H34" s="1">
        <v>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spans="2:18" x14ac:dyDescent="0.55000000000000004">
      <c r="B35" s="1" t="s">
        <v>367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spans="2:18" x14ac:dyDescent="0.55000000000000004">
      <c r="B36" s="1" t="s">
        <v>163</v>
      </c>
      <c r="C36" s="1">
        <v>0</v>
      </c>
      <c r="D36" s="1">
        <v>1</v>
      </c>
      <c r="E36" s="1">
        <v>2</v>
      </c>
      <c r="F36" s="1">
        <v>0</v>
      </c>
      <c r="G36" s="1">
        <v>0</v>
      </c>
      <c r="H36" s="1">
        <v>0</v>
      </c>
      <c r="I36" s="1"/>
      <c r="J36" s="1"/>
      <c r="K36" s="1"/>
      <c r="L36" s="1"/>
      <c r="M36" s="1"/>
      <c r="N36" s="1"/>
      <c r="O36" s="1"/>
      <c r="P36" s="1"/>
      <c r="Q36" s="1"/>
      <c r="R36" s="1"/>
    </row>
    <row r="37" spans="2:18" x14ac:dyDescent="0.55000000000000004">
      <c r="B37" s="1" t="s">
        <v>522</v>
      </c>
      <c r="C37" s="1">
        <v>0</v>
      </c>
      <c r="D37" s="1">
        <v>0</v>
      </c>
      <c r="E37" s="1">
        <v>0</v>
      </c>
      <c r="F37" s="1">
        <v>3</v>
      </c>
      <c r="G37" s="1">
        <v>1</v>
      </c>
      <c r="H37" s="1">
        <v>1</v>
      </c>
      <c r="I37" s="1"/>
      <c r="J37" s="1"/>
      <c r="K37" s="1"/>
      <c r="L37" s="1"/>
      <c r="M37" s="1"/>
      <c r="N37" s="1"/>
      <c r="O37" s="1"/>
      <c r="P37" s="1"/>
      <c r="Q37" s="1"/>
      <c r="R37" s="1"/>
    </row>
    <row r="38" spans="2:18" x14ac:dyDescent="0.55000000000000004">
      <c r="B38" s="1" t="s">
        <v>647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/>
      <c r="J38" s="1"/>
      <c r="K38" s="1"/>
      <c r="L38" s="1"/>
      <c r="M38" s="1"/>
      <c r="N38" s="1"/>
      <c r="O38" s="1"/>
      <c r="P38" s="1"/>
      <c r="Q38" s="1"/>
      <c r="R38" s="1"/>
    </row>
    <row r="40" spans="2:18" x14ac:dyDescent="0.55000000000000004">
      <c r="B40" s="43" t="s">
        <v>452</v>
      </c>
    </row>
    <row r="60" spans="2:18" x14ac:dyDescent="0.55000000000000004">
      <c r="B60" s="1" t="s">
        <v>67</v>
      </c>
      <c r="C60" s="44">
        <v>45383</v>
      </c>
      <c r="D60" s="44">
        <v>45413</v>
      </c>
      <c r="E60" s="44">
        <v>45444</v>
      </c>
      <c r="F60" s="44">
        <v>45474</v>
      </c>
      <c r="G60" s="44">
        <v>45505</v>
      </c>
      <c r="H60" s="44">
        <v>45536</v>
      </c>
      <c r="I60" s="44">
        <v>45566</v>
      </c>
      <c r="J60" s="44">
        <v>45597</v>
      </c>
      <c r="K60" s="44">
        <v>45627</v>
      </c>
      <c r="L60" s="44">
        <v>45658</v>
      </c>
      <c r="M60" s="44">
        <v>45689</v>
      </c>
      <c r="N60" s="44">
        <v>45717</v>
      </c>
      <c r="O60" s="44">
        <v>45748</v>
      </c>
      <c r="P60" s="44">
        <v>45778</v>
      </c>
      <c r="Q60" s="44">
        <v>45809</v>
      </c>
      <c r="R60" s="44">
        <v>45839</v>
      </c>
    </row>
    <row r="61" spans="2:18" x14ac:dyDescent="0.55000000000000004">
      <c r="B61" s="1" t="s">
        <v>40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2:18" x14ac:dyDescent="0.55000000000000004">
      <c r="B62" s="1" t="s">
        <v>147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2:18" x14ac:dyDescent="0.55000000000000004">
      <c r="B63" s="1" t="s">
        <v>148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2:18" x14ac:dyDescent="0.55000000000000004">
      <c r="B64" s="1" t="s">
        <v>99</v>
      </c>
      <c r="C64" s="1">
        <v>0</v>
      </c>
      <c r="D64" s="1">
        <v>0</v>
      </c>
      <c r="E64" s="1">
        <v>1</v>
      </c>
      <c r="F64" s="1">
        <v>3</v>
      </c>
      <c r="G64" s="1">
        <v>0</v>
      </c>
      <c r="H64" s="1">
        <v>0</v>
      </c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2:18" x14ac:dyDescent="0.55000000000000004">
      <c r="B65" s="1" t="s">
        <v>366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2:18" x14ac:dyDescent="0.55000000000000004">
      <c r="B66" s="1" t="s">
        <v>2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2:18" x14ac:dyDescent="0.55000000000000004">
      <c r="B67" s="1" t="s">
        <v>15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2:18" x14ac:dyDescent="0.55000000000000004">
      <c r="B68" s="1" t="s">
        <v>367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2:18" x14ac:dyDescent="0.55000000000000004">
      <c r="B69" s="1" t="s">
        <v>163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2:18" x14ac:dyDescent="0.55000000000000004">
      <c r="B70" s="1" t="s">
        <v>522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/>
      <c r="J70" s="1"/>
      <c r="K70" s="1"/>
      <c r="L70" s="1"/>
      <c r="M70" s="1"/>
      <c r="N70" s="1"/>
      <c r="O70" s="1"/>
      <c r="P70" s="1"/>
      <c r="Q70" s="1"/>
    </row>
    <row r="71" spans="2:18" x14ac:dyDescent="0.55000000000000004">
      <c r="B71" s="1" t="s">
        <v>647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2:18" x14ac:dyDescent="0.55000000000000004">
      <c r="B72" s="43" t="s">
        <v>453</v>
      </c>
    </row>
    <row r="73" spans="2:18" x14ac:dyDescent="0.55000000000000004">
      <c r="B73" s="43"/>
    </row>
    <row r="74" spans="2:18" x14ac:dyDescent="0.55000000000000004">
      <c r="B74" s="43"/>
    </row>
    <row r="75" spans="2:18" x14ac:dyDescent="0.55000000000000004">
      <c r="B75" s="43"/>
    </row>
    <row r="76" spans="2:18" x14ac:dyDescent="0.55000000000000004">
      <c r="B76" s="43"/>
    </row>
    <row r="77" spans="2:18" x14ac:dyDescent="0.55000000000000004">
      <c r="B77" s="43"/>
    </row>
    <row r="78" spans="2:18" x14ac:dyDescent="0.55000000000000004">
      <c r="B78" s="43"/>
    </row>
    <row r="79" spans="2:18" x14ac:dyDescent="0.55000000000000004">
      <c r="B79" s="43"/>
    </row>
    <row r="80" spans="2:18" x14ac:dyDescent="0.55000000000000004">
      <c r="B80" s="43"/>
    </row>
    <row r="81" spans="2:18" x14ac:dyDescent="0.55000000000000004">
      <c r="B81" s="43"/>
    </row>
    <row r="82" spans="2:18" x14ac:dyDescent="0.55000000000000004">
      <c r="B82" s="43"/>
    </row>
    <row r="83" spans="2:18" x14ac:dyDescent="0.55000000000000004">
      <c r="B83" s="43"/>
    </row>
    <row r="84" spans="2:18" x14ac:dyDescent="0.55000000000000004">
      <c r="B84" s="43"/>
    </row>
    <row r="94" spans="2:18" x14ac:dyDescent="0.55000000000000004">
      <c r="B94" s="1" t="s">
        <v>67</v>
      </c>
      <c r="C94" s="44">
        <v>45383</v>
      </c>
      <c r="D94" s="44">
        <v>45413</v>
      </c>
      <c r="E94" s="44">
        <v>45444</v>
      </c>
      <c r="F94" s="44">
        <v>45474</v>
      </c>
      <c r="G94" s="44">
        <v>45505</v>
      </c>
      <c r="H94" s="44">
        <v>45536</v>
      </c>
      <c r="I94" s="44">
        <v>45566</v>
      </c>
      <c r="J94" s="44">
        <v>45597</v>
      </c>
      <c r="K94" s="44">
        <v>45627</v>
      </c>
      <c r="L94" s="44">
        <v>45658</v>
      </c>
      <c r="M94" s="44">
        <v>45689</v>
      </c>
      <c r="N94" s="44">
        <v>45717</v>
      </c>
      <c r="O94" s="44">
        <v>45748</v>
      </c>
      <c r="P94" s="44">
        <v>45778</v>
      </c>
      <c r="Q94" s="44">
        <v>45809</v>
      </c>
      <c r="R94" s="44">
        <v>45839</v>
      </c>
    </row>
    <row r="95" spans="2:18" x14ac:dyDescent="0.55000000000000004">
      <c r="B95" s="1" t="s">
        <v>40</v>
      </c>
      <c r="C95" s="1">
        <v>1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2:18" x14ac:dyDescent="0.55000000000000004">
      <c r="B96" s="1" t="s">
        <v>147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2:18" x14ac:dyDescent="0.55000000000000004">
      <c r="B97" s="1" t="s">
        <v>148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2:18" x14ac:dyDescent="0.55000000000000004">
      <c r="B98" s="1" t="s">
        <v>99</v>
      </c>
      <c r="C98" s="1">
        <v>1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2:18" x14ac:dyDescent="0.55000000000000004">
      <c r="B99" s="1" t="s">
        <v>366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2:18" x14ac:dyDescent="0.55000000000000004">
      <c r="B100" s="1" t="s">
        <v>2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2:18" x14ac:dyDescent="0.55000000000000004">
      <c r="B101" s="1" t="s">
        <v>15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2" spans="2:18" x14ac:dyDescent="0.55000000000000004">
      <c r="B102" s="1" t="s">
        <v>367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</row>
    <row r="103" spans="2:18" x14ac:dyDescent="0.55000000000000004">
      <c r="B103" s="1" t="s">
        <v>163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/>
      <c r="J103" s="1"/>
      <c r="K103" s="1"/>
      <c r="L103" s="1"/>
      <c r="M103" s="1"/>
      <c r="N103" s="1"/>
      <c r="O103" s="1"/>
      <c r="P103" s="1"/>
      <c r="Q103" s="1"/>
      <c r="R103" s="1"/>
    </row>
    <row r="104" spans="2:18" x14ac:dyDescent="0.55000000000000004">
      <c r="B104" s="1" t="s">
        <v>522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/>
      <c r="J104" s="1"/>
      <c r="K104" s="1"/>
      <c r="L104" s="1"/>
      <c r="M104" s="1"/>
      <c r="N104" s="1"/>
      <c r="O104" s="1"/>
      <c r="P104" s="1"/>
      <c r="Q104" s="1"/>
    </row>
    <row r="105" spans="2:18" x14ac:dyDescent="0.55000000000000004">
      <c r="B105" s="1" t="s">
        <v>647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</row>
    <row r="106" spans="2:18" x14ac:dyDescent="0.55000000000000004">
      <c r="B106" s="43" t="s">
        <v>454</v>
      </c>
    </row>
    <row r="107" spans="2:18" x14ac:dyDescent="0.55000000000000004">
      <c r="B107" s="43"/>
    </row>
    <row r="108" spans="2:18" x14ac:dyDescent="0.55000000000000004">
      <c r="B108" s="43"/>
    </row>
    <row r="109" spans="2:18" x14ac:dyDescent="0.55000000000000004">
      <c r="B109" s="43"/>
    </row>
    <row r="110" spans="2:18" x14ac:dyDescent="0.55000000000000004">
      <c r="B110" s="43"/>
    </row>
    <row r="111" spans="2:18" x14ac:dyDescent="0.55000000000000004">
      <c r="B111" s="43"/>
    </row>
    <row r="112" spans="2:18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45383</v>
      </c>
      <c r="D128" s="44">
        <v>45413</v>
      </c>
      <c r="E128" s="44">
        <v>45444</v>
      </c>
      <c r="F128" s="44">
        <v>45474</v>
      </c>
      <c r="G128" s="44">
        <v>45505</v>
      </c>
      <c r="H128" s="44">
        <v>45536</v>
      </c>
      <c r="I128" s="44">
        <v>45566</v>
      </c>
      <c r="J128" s="44">
        <v>45597</v>
      </c>
      <c r="K128" s="44">
        <v>45627</v>
      </c>
      <c r="L128" s="44">
        <v>45658</v>
      </c>
      <c r="M128" s="44">
        <v>45689</v>
      </c>
      <c r="N128" s="44">
        <v>45717</v>
      </c>
      <c r="O128" s="44">
        <v>45748</v>
      </c>
      <c r="P128" s="44">
        <v>45778</v>
      </c>
      <c r="Q128" s="44">
        <v>45809</v>
      </c>
      <c r="R128" s="44">
        <v>45839</v>
      </c>
    </row>
    <row r="129" spans="2:18" x14ac:dyDescent="0.55000000000000004">
      <c r="B129" s="1" t="s">
        <v>40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2:18" x14ac:dyDescent="0.55000000000000004">
      <c r="B130" s="1" t="s">
        <v>147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55000000000000004">
      <c r="B131" s="1" t="s">
        <v>148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2:18" x14ac:dyDescent="0.55000000000000004">
      <c r="B132" s="1" t="s">
        <v>99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2:18" x14ac:dyDescent="0.55000000000000004">
      <c r="B133" s="1" t="s">
        <v>366</v>
      </c>
      <c r="C133" s="1">
        <v>0</v>
      </c>
      <c r="D133" s="1">
        <v>1</v>
      </c>
      <c r="E133" s="1">
        <v>0</v>
      </c>
      <c r="F133" s="1">
        <v>0</v>
      </c>
      <c r="G133" s="1">
        <v>0</v>
      </c>
      <c r="H133" s="1">
        <v>0</v>
      </c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2:18" x14ac:dyDescent="0.55000000000000004">
      <c r="B134" s="1" t="s">
        <v>2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2:18" x14ac:dyDescent="0.55000000000000004">
      <c r="B135" s="1" t="s">
        <v>15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36" spans="2:18" x14ac:dyDescent="0.55000000000000004">
      <c r="B136" s="1" t="s">
        <v>367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2:18" x14ac:dyDescent="0.55000000000000004">
      <c r="B137" s="1" t="s">
        <v>163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2:18" x14ac:dyDescent="0.55000000000000004">
      <c r="B138" s="1" t="s">
        <v>522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2:18" x14ac:dyDescent="0.55000000000000004">
      <c r="B139" s="1" t="s">
        <v>647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2:18" x14ac:dyDescent="0.55000000000000004">
      <c r="B140" s="43" t="s">
        <v>455</v>
      </c>
    </row>
    <row r="141" spans="2:18" x14ac:dyDescent="0.55000000000000004">
      <c r="B141" s="43"/>
    </row>
    <row r="142" spans="2:18" x14ac:dyDescent="0.55000000000000004">
      <c r="B142" s="43"/>
    </row>
    <row r="143" spans="2:18" x14ac:dyDescent="0.55000000000000004">
      <c r="B143" s="43"/>
    </row>
    <row r="144" spans="2:18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18" x14ac:dyDescent="0.55000000000000004">
      <c r="B162" s="1" t="s">
        <v>67</v>
      </c>
      <c r="C162" s="44">
        <v>45383</v>
      </c>
      <c r="D162" s="44">
        <v>45413</v>
      </c>
      <c r="E162" s="44">
        <v>45444</v>
      </c>
      <c r="F162" s="44">
        <v>45474</v>
      </c>
      <c r="G162" s="44">
        <v>45505</v>
      </c>
      <c r="H162" s="44">
        <v>45536</v>
      </c>
      <c r="I162" s="44">
        <v>45566</v>
      </c>
      <c r="J162" s="44">
        <v>45597</v>
      </c>
      <c r="K162" s="44">
        <v>45627</v>
      </c>
      <c r="L162" s="44">
        <v>45658</v>
      </c>
      <c r="M162" s="44">
        <v>45689</v>
      </c>
      <c r="N162" s="44">
        <v>45717</v>
      </c>
      <c r="O162" s="44">
        <v>45748</v>
      </c>
      <c r="P162" s="44">
        <v>45778</v>
      </c>
      <c r="Q162" s="44">
        <v>45809</v>
      </c>
      <c r="R162" s="44">
        <v>45839</v>
      </c>
    </row>
    <row r="163" spans="2:18" x14ac:dyDescent="0.55000000000000004">
      <c r="B163" s="1" t="s">
        <v>40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2:18" x14ac:dyDescent="0.55000000000000004">
      <c r="B164" s="1" t="s">
        <v>147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2:18" x14ac:dyDescent="0.55000000000000004">
      <c r="B165" s="1" t="s">
        <v>148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2:18" x14ac:dyDescent="0.55000000000000004">
      <c r="B166" s="1" t="s">
        <v>99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2:18" x14ac:dyDescent="0.55000000000000004">
      <c r="B167" s="1" t="s">
        <v>366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2:18" x14ac:dyDescent="0.55000000000000004">
      <c r="B168" s="1" t="s">
        <v>2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2:18" x14ac:dyDescent="0.55000000000000004">
      <c r="B169" s="1" t="s">
        <v>15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2:18" x14ac:dyDescent="0.55000000000000004">
      <c r="B170" s="1" t="s">
        <v>367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2:18" x14ac:dyDescent="0.55000000000000004">
      <c r="B171" s="1" t="s">
        <v>163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1">
        <v>0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2:18" x14ac:dyDescent="0.55000000000000004">
      <c r="B172" s="1" t="s">
        <v>522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2:18" x14ac:dyDescent="0.55000000000000004">
      <c r="B173" s="1" t="s">
        <v>647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/>
      <c r="J173" s="1"/>
      <c r="K173" s="1"/>
      <c r="L173" s="1"/>
      <c r="M173" s="1"/>
      <c r="N173" s="1"/>
      <c r="O173" s="1"/>
      <c r="P173" s="1"/>
      <c r="Q173" s="1"/>
      <c r="R173" s="1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37858-1CAB-47D0-8D70-6DAC394A7B51}">
  <sheetPr codeName="Sheet7">
    <tabColor rgb="FF0070C0"/>
  </sheetPr>
  <dimension ref="A1:K58"/>
  <sheetViews>
    <sheetView workbookViewId="0">
      <pane ySplit="3" topLeftCell="A4" activePane="bottomLeft" state="frozen"/>
      <selection pane="bottomLeft" activeCell="B5" sqref="B5"/>
    </sheetView>
  </sheetViews>
  <sheetFormatPr defaultRowHeight="18" x14ac:dyDescent="0.55000000000000004"/>
  <cols>
    <col min="1" max="2" width="11.1640625" customWidth="1"/>
    <col min="3" max="3" width="10.58203125" customWidth="1"/>
    <col min="4" max="4" width="13.58203125" customWidth="1"/>
    <col min="5" max="5" width="12.33203125" customWidth="1"/>
    <col min="6" max="6" width="9.5" bestFit="1" customWidth="1"/>
    <col min="7" max="7" width="10.58203125" customWidth="1"/>
    <col min="8" max="8" width="8.83203125" bestFit="1" customWidth="1"/>
    <col min="9" max="14" width="9.5" bestFit="1" customWidth="1"/>
  </cols>
  <sheetData>
    <row r="1" spans="1:11" x14ac:dyDescent="0.55000000000000004">
      <c r="A1" s="12" t="s">
        <v>394</v>
      </c>
      <c r="B1" s="12"/>
      <c r="C1" s="8"/>
      <c r="D1" s="5"/>
      <c r="E1" s="5"/>
      <c r="F1" s="5"/>
      <c r="G1" s="5"/>
      <c r="H1" s="5"/>
      <c r="I1" s="5"/>
      <c r="J1" s="5"/>
      <c r="K1" s="5"/>
    </row>
    <row r="3" spans="1:11" x14ac:dyDescent="0.55000000000000004">
      <c r="A3" s="49" t="s">
        <v>396</v>
      </c>
      <c r="B3" s="49" t="s">
        <v>686</v>
      </c>
      <c r="C3" s="46" t="s">
        <v>1</v>
      </c>
      <c r="D3" s="35" t="s">
        <v>10</v>
      </c>
      <c r="E3" s="35" t="s">
        <v>49</v>
      </c>
      <c r="F3" s="46" t="s">
        <v>50</v>
      </c>
      <c r="G3" s="47" t="s">
        <v>51</v>
      </c>
    </row>
    <row r="4" spans="1:11" x14ac:dyDescent="0.55000000000000004">
      <c r="A4" s="48" t="s">
        <v>397</v>
      </c>
      <c r="B4" s="48" t="s">
        <v>401</v>
      </c>
      <c r="C4" s="2" t="s">
        <v>29</v>
      </c>
      <c r="D4" s="36">
        <v>1</v>
      </c>
      <c r="E4" s="36">
        <v>0</v>
      </c>
      <c r="F4" s="36">
        <v>0</v>
      </c>
      <c r="G4" s="39">
        <f>SUM(テーブル135[[#This Row],[ケアレスミス]:[解釈]])</f>
        <v>1</v>
      </c>
      <c r="H4" t="s">
        <v>398</v>
      </c>
    </row>
    <row r="5" spans="1:11" x14ac:dyDescent="0.55000000000000004">
      <c r="A5" s="48" t="s">
        <v>395</v>
      </c>
      <c r="B5" s="48" t="s">
        <v>417</v>
      </c>
      <c r="C5" s="2" t="s">
        <v>320</v>
      </c>
      <c r="D5" s="36">
        <v>1</v>
      </c>
      <c r="E5" s="36">
        <v>0</v>
      </c>
      <c r="F5" s="36">
        <v>0</v>
      </c>
      <c r="G5" s="39">
        <f>SUM(テーブル135[[#This Row],[ケアレスミス]:[解釈]])</f>
        <v>1</v>
      </c>
    </row>
    <row r="6" spans="1:11" x14ac:dyDescent="0.55000000000000004">
      <c r="A6" s="48" t="s">
        <v>510</v>
      </c>
      <c r="B6" s="48" t="s">
        <v>691</v>
      </c>
      <c r="C6" s="2" t="s">
        <v>320</v>
      </c>
      <c r="D6" s="36">
        <v>3</v>
      </c>
      <c r="E6" s="36">
        <v>0</v>
      </c>
      <c r="F6" s="36">
        <v>0</v>
      </c>
      <c r="G6" s="39">
        <f>SUM(テーブル135[[#This Row],[ケアレスミス]:[解釈]])</f>
        <v>3</v>
      </c>
    </row>
    <row r="7" spans="1:11" x14ac:dyDescent="0.55000000000000004">
      <c r="A7" s="88" t="s">
        <v>532</v>
      </c>
      <c r="B7" s="88" t="s">
        <v>690</v>
      </c>
      <c r="C7" s="2" t="s">
        <v>28</v>
      </c>
      <c r="D7" s="36">
        <v>2</v>
      </c>
      <c r="E7" s="36">
        <v>0</v>
      </c>
      <c r="F7" s="36">
        <v>0</v>
      </c>
      <c r="G7" s="39">
        <f>SUM(テーブル135[[#This Row],[ケアレスミス]:[解釈]])</f>
        <v>2</v>
      </c>
    </row>
    <row r="8" spans="1:11" x14ac:dyDescent="0.55000000000000004">
      <c r="A8" s="88" t="s">
        <v>580</v>
      </c>
      <c r="B8" s="88" t="s">
        <v>689</v>
      </c>
      <c r="C8" s="2" t="s">
        <v>68</v>
      </c>
      <c r="D8" s="36">
        <v>0</v>
      </c>
      <c r="E8" s="36">
        <v>0</v>
      </c>
      <c r="F8" s="36">
        <v>0</v>
      </c>
      <c r="G8" s="39">
        <f>SUM(テーブル135[[#This Row],[ケアレスミス]:[解釈]])</f>
        <v>0</v>
      </c>
    </row>
    <row r="9" spans="1:11" x14ac:dyDescent="0.55000000000000004">
      <c r="A9" s="88" t="s">
        <v>632</v>
      </c>
      <c r="B9" s="88" t="s">
        <v>688</v>
      </c>
      <c r="C9" s="2" t="s">
        <v>36</v>
      </c>
      <c r="D9" s="1">
        <v>3</v>
      </c>
      <c r="E9" s="1">
        <v>0</v>
      </c>
      <c r="F9" s="1">
        <v>0</v>
      </c>
      <c r="G9" s="39">
        <f>SUM(テーブル135[[#This Row],[ケアレスミス]:[解釈]])</f>
        <v>3</v>
      </c>
    </row>
    <row r="10" spans="1:11" x14ac:dyDescent="0.55000000000000004">
      <c r="A10" s="88" t="s">
        <v>645</v>
      </c>
      <c r="B10" s="88" t="s">
        <v>685</v>
      </c>
      <c r="C10" s="2" t="s">
        <v>68</v>
      </c>
      <c r="D10" s="1">
        <v>0</v>
      </c>
      <c r="E10" s="1">
        <v>0</v>
      </c>
      <c r="F10" s="1">
        <v>0</v>
      </c>
      <c r="G10" s="39">
        <f>SUM(テーブル135[[#This Row],[ケアレスミス]:[解釈]])</f>
        <v>0</v>
      </c>
    </row>
    <row r="11" spans="1:11" x14ac:dyDescent="0.55000000000000004">
      <c r="A11" s="48"/>
      <c r="B11" s="48"/>
      <c r="C11" s="2"/>
      <c r="D11" s="1"/>
      <c r="E11" s="1"/>
      <c r="F11" s="1"/>
      <c r="G11" s="39">
        <f>SUM(テーブル135[[#This Row],[ケアレスミス]:[解釈]])</f>
        <v>0</v>
      </c>
    </row>
    <row r="12" spans="1:11" x14ac:dyDescent="0.55000000000000004">
      <c r="A12" s="48"/>
      <c r="B12" s="48"/>
      <c r="C12" s="2"/>
      <c r="D12" s="1"/>
      <c r="E12" s="1"/>
      <c r="F12" s="1"/>
      <c r="G12" s="39">
        <f>SUM(テーブル135[[#This Row],[ケアレスミス]:[解釈]])</f>
        <v>0</v>
      </c>
    </row>
    <row r="13" spans="1:11" x14ac:dyDescent="0.55000000000000004">
      <c r="A13" s="48"/>
      <c r="B13" s="48"/>
      <c r="C13" s="2"/>
      <c r="D13" s="1"/>
      <c r="E13" s="1"/>
      <c r="F13" s="1"/>
      <c r="G13" s="39">
        <f>SUM(テーブル135[[#This Row],[ケアレスミス]:[解釈]])</f>
        <v>0</v>
      </c>
    </row>
    <row r="14" spans="1:11" x14ac:dyDescent="0.55000000000000004">
      <c r="A14" s="48"/>
      <c r="B14" s="48"/>
      <c r="C14" s="2"/>
      <c r="D14" s="1"/>
      <c r="E14" s="1"/>
      <c r="F14" s="1"/>
      <c r="G14" s="39">
        <f>SUM(テーブル135[[#This Row],[ケアレスミス]:[解釈]])</f>
        <v>0</v>
      </c>
    </row>
    <row r="15" spans="1:11" x14ac:dyDescent="0.55000000000000004">
      <c r="A15" s="48"/>
      <c r="B15" s="48"/>
      <c r="C15" s="2"/>
      <c r="D15" s="36"/>
      <c r="E15" s="36"/>
      <c r="F15" s="36"/>
      <c r="G15" s="39">
        <f>SUM(テーブル135[[#This Row],[ケアレスミス]:[解釈]])</f>
        <v>0</v>
      </c>
    </row>
    <row r="16" spans="1:11" x14ac:dyDescent="0.55000000000000004">
      <c r="A16" s="48"/>
      <c r="B16" s="48"/>
      <c r="C16" s="2"/>
      <c r="D16" s="36"/>
      <c r="E16" s="36"/>
      <c r="F16" s="36"/>
      <c r="G16" s="39">
        <f>SUM(テーブル135[[#This Row],[ケアレスミス]:[解釈]])</f>
        <v>0</v>
      </c>
    </row>
    <row r="17" spans="1:7" x14ac:dyDescent="0.55000000000000004">
      <c r="A17" s="48"/>
      <c r="B17" s="48"/>
      <c r="C17" s="2"/>
      <c r="D17" s="36"/>
      <c r="E17" s="36"/>
      <c r="F17" s="36"/>
      <c r="G17" s="39">
        <f>SUM(テーブル135[[#This Row],[ケアレスミス]:[解釈]])</f>
        <v>0</v>
      </c>
    </row>
    <row r="18" spans="1:7" x14ac:dyDescent="0.55000000000000004">
      <c r="A18" s="48"/>
      <c r="B18" s="48"/>
      <c r="C18" s="2"/>
      <c r="D18" s="36"/>
      <c r="E18" s="36"/>
      <c r="F18" s="36"/>
      <c r="G18" s="39">
        <f>SUM(テーブル135[[#This Row],[ケアレスミス]:[解釈]])</f>
        <v>0</v>
      </c>
    </row>
    <row r="19" spans="1:7" x14ac:dyDescent="0.55000000000000004">
      <c r="A19" s="48"/>
      <c r="B19" s="48"/>
      <c r="C19" s="2"/>
      <c r="D19" s="36"/>
      <c r="E19" s="36"/>
      <c r="F19" s="36"/>
      <c r="G19" s="39">
        <f>SUM(テーブル135[[#This Row],[ケアレスミス]:[解釈]])</f>
        <v>0</v>
      </c>
    </row>
    <row r="20" spans="1:7" x14ac:dyDescent="0.55000000000000004">
      <c r="A20" s="48"/>
      <c r="B20" s="48"/>
      <c r="C20" s="2"/>
      <c r="D20" s="36"/>
      <c r="E20" s="36"/>
      <c r="F20" s="36"/>
      <c r="G20" s="39">
        <f>SUM(テーブル135[[#This Row],[ケアレスミス]:[解釈]])</f>
        <v>0</v>
      </c>
    </row>
    <row r="21" spans="1:7" x14ac:dyDescent="0.55000000000000004">
      <c r="A21" s="48"/>
      <c r="B21" s="48"/>
      <c r="C21" s="2"/>
      <c r="D21" s="1"/>
      <c r="E21" s="1"/>
      <c r="F21" s="1"/>
      <c r="G21" s="39">
        <f>SUM(テーブル135[[#This Row],[ケアレスミス]:[解釈]])</f>
        <v>0</v>
      </c>
    </row>
    <row r="22" spans="1:7" x14ac:dyDescent="0.55000000000000004">
      <c r="A22" s="48"/>
      <c r="B22" s="48"/>
      <c r="C22" s="2"/>
      <c r="D22" s="1"/>
      <c r="E22" s="1"/>
      <c r="F22" s="1"/>
      <c r="G22" s="39">
        <f>SUM(テーブル135[[#This Row],[ケアレスミス]:[解釈]])</f>
        <v>0</v>
      </c>
    </row>
    <row r="23" spans="1:7" x14ac:dyDescent="0.55000000000000004">
      <c r="A23" s="48"/>
      <c r="B23" s="48"/>
      <c r="C23" s="2"/>
      <c r="D23" s="1"/>
      <c r="E23" s="1"/>
      <c r="F23" s="1"/>
      <c r="G23" s="39">
        <f>SUM(テーブル135[[#This Row],[ケアレスミス]:[解釈]])</f>
        <v>0</v>
      </c>
    </row>
    <row r="24" spans="1:7" x14ac:dyDescent="0.55000000000000004">
      <c r="A24" s="48"/>
      <c r="B24" s="48"/>
      <c r="C24" s="2"/>
      <c r="D24" s="1"/>
      <c r="E24" s="1"/>
      <c r="F24" s="1"/>
      <c r="G24" s="39">
        <f>SUM(テーブル135[[#This Row],[ケアレスミス]:[解釈]])</f>
        <v>0</v>
      </c>
    </row>
    <row r="25" spans="1:7" x14ac:dyDescent="0.55000000000000004">
      <c r="A25" s="48"/>
      <c r="B25" s="48"/>
      <c r="C25" s="2"/>
      <c r="D25" s="1"/>
      <c r="E25" s="1"/>
      <c r="F25" s="1"/>
      <c r="G25" s="39">
        <f>SUM(テーブル135[[#This Row],[ケアレスミス]:[解釈]])</f>
        <v>0</v>
      </c>
    </row>
    <row r="26" spans="1:7" x14ac:dyDescent="0.55000000000000004">
      <c r="A26" s="48"/>
      <c r="B26" s="62"/>
      <c r="C26" s="38"/>
      <c r="D26" s="39"/>
      <c r="E26" s="39"/>
      <c r="F26" s="39"/>
      <c r="G26" s="39">
        <f>SUM(テーブル135[[#This Row],[ケアレスミス]:[解釈]])</f>
        <v>0</v>
      </c>
    </row>
    <row r="27" spans="1:7" x14ac:dyDescent="0.55000000000000004">
      <c r="A27" s="48"/>
      <c r="B27" s="62"/>
      <c r="C27" s="38"/>
      <c r="D27" s="39"/>
      <c r="E27" s="39"/>
      <c r="F27" s="39"/>
      <c r="G27" s="39">
        <f>SUM(テーブル135[[#This Row],[ケアレスミス]:[解釈]])</f>
        <v>0</v>
      </c>
    </row>
    <row r="28" spans="1:7" x14ac:dyDescent="0.55000000000000004">
      <c r="A28" s="48"/>
      <c r="B28" s="62"/>
      <c r="C28" s="38"/>
      <c r="D28" s="39"/>
      <c r="E28" s="39"/>
      <c r="F28" s="39"/>
      <c r="G28" s="39">
        <f>SUM(テーブル135[[#This Row],[ケアレスミス]:[解釈]])</f>
        <v>0</v>
      </c>
    </row>
    <row r="29" spans="1:7" x14ac:dyDescent="0.55000000000000004">
      <c r="A29" s="48"/>
      <c r="B29" s="62"/>
      <c r="C29" s="38"/>
      <c r="D29" s="39"/>
      <c r="E29" s="39"/>
      <c r="F29" s="39"/>
      <c r="G29" s="39">
        <f>SUM(テーブル135[[#This Row],[ケアレスミス]:[解釈]])</f>
        <v>0</v>
      </c>
    </row>
    <row r="30" spans="1:7" x14ac:dyDescent="0.55000000000000004">
      <c r="A30" s="48"/>
      <c r="B30" s="62"/>
      <c r="C30" s="38"/>
      <c r="D30" s="39"/>
      <c r="E30" s="39"/>
      <c r="F30" s="39"/>
      <c r="G30" s="39">
        <f>SUM(テーブル135[[#This Row],[ケアレスミス]:[解釈]])</f>
        <v>0</v>
      </c>
    </row>
    <row r="31" spans="1:7" x14ac:dyDescent="0.55000000000000004">
      <c r="A31" s="48"/>
      <c r="B31" s="62"/>
      <c r="C31" s="38"/>
      <c r="D31" s="39"/>
      <c r="E31" s="39"/>
      <c r="F31" s="39"/>
      <c r="G31" s="39">
        <f>SUM(テーブル135[[#This Row],[ケアレスミス]:[解釈]])</f>
        <v>0</v>
      </c>
    </row>
    <row r="32" spans="1:7" x14ac:dyDescent="0.55000000000000004">
      <c r="A32" s="48"/>
      <c r="B32" s="62"/>
      <c r="C32" s="38"/>
      <c r="D32" s="39"/>
      <c r="E32" s="39"/>
      <c r="F32" s="39"/>
      <c r="G32" s="39">
        <f>SUM(テーブル135[[#This Row],[ケアレスミス]:[解釈]])</f>
        <v>0</v>
      </c>
    </row>
    <row r="33" spans="1:7" x14ac:dyDescent="0.55000000000000004">
      <c r="A33" s="48"/>
      <c r="B33" s="48"/>
      <c r="C33" s="2"/>
      <c r="D33" s="1"/>
      <c r="E33" s="1"/>
      <c r="F33" s="1"/>
      <c r="G33" s="39">
        <f>SUM(テーブル135[[#This Row],[ケアレスミス]:[解釈]])</f>
        <v>0</v>
      </c>
    </row>
    <row r="34" spans="1:7" x14ac:dyDescent="0.55000000000000004">
      <c r="A34" s="48"/>
      <c r="B34" s="48"/>
      <c r="C34" s="2"/>
      <c r="D34" s="1"/>
      <c r="E34" s="1"/>
      <c r="F34" s="1"/>
      <c r="G34" s="39">
        <f>SUM(テーブル135[[#This Row],[ケアレスミス]:[解釈]])</f>
        <v>0</v>
      </c>
    </row>
    <row r="35" spans="1:7" x14ac:dyDescent="0.55000000000000004">
      <c r="A35" s="48"/>
      <c r="B35" s="48"/>
      <c r="C35" s="2"/>
      <c r="D35" s="1"/>
      <c r="E35" s="1"/>
      <c r="F35" s="1"/>
      <c r="G35" s="39">
        <f>SUM(テーブル135[[#This Row],[ケアレスミス]:[解釈]])</f>
        <v>0</v>
      </c>
    </row>
    <row r="36" spans="1:7" x14ac:dyDescent="0.55000000000000004">
      <c r="A36" s="48"/>
      <c r="B36" s="48"/>
      <c r="C36" s="2"/>
      <c r="D36" s="1"/>
      <c r="E36" s="1"/>
      <c r="F36" s="1"/>
      <c r="G36" s="39">
        <f>SUM(テーブル135[[#This Row],[ケアレスミス]:[解釈]])</f>
        <v>0</v>
      </c>
    </row>
    <row r="37" spans="1:7" x14ac:dyDescent="0.55000000000000004">
      <c r="A37" s="48"/>
      <c r="B37" s="48"/>
      <c r="C37" s="2"/>
      <c r="D37" s="1"/>
      <c r="E37" s="1"/>
      <c r="F37" s="1"/>
      <c r="G37" s="39">
        <f>SUM(テーブル135[[#This Row],[ケアレスミス]:[解釈]])</f>
        <v>0</v>
      </c>
    </row>
    <row r="38" spans="1:7" x14ac:dyDescent="0.55000000000000004">
      <c r="A38" s="48"/>
      <c r="B38" s="48"/>
      <c r="C38" s="2"/>
      <c r="D38" s="1"/>
      <c r="E38" s="1"/>
      <c r="F38" s="1"/>
      <c r="G38" s="39">
        <f>SUM(テーブル135[[#This Row],[ケアレスミス]:[解釈]])</f>
        <v>0</v>
      </c>
    </row>
    <row r="39" spans="1:7" x14ac:dyDescent="0.55000000000000004">
      <c r="A39" s="48"/>
      <c r="B39" s="48"/>
      <c r="C39" s="2"/>
      <c r="D39" s="1"/>
      <c r="E39" s="1"/>
      <c r="F39" s="1"/>
      <c r="G39" s="39">
        <f>SUM(テーブル135[[#This Row],[ケアレスミス]:[解釈]])</f>
        <v>0</v>
      </c>
    </row>
    <row r="40" spans="1:7" x14ac:dyDescent="0.55000000000000004">
      <c r="A40" s="48"/>
      <c r="B40" s="48"/>
      <c r="C40" s="2"/>
      <c r="D40" s="1"/>
      <c r="E40" s="1"/>
      <c r="F40" s="1"/>
      <c r="G40" s="39">
        <f>SUM(テーブル135[[#This Row],[ケアレスミス]:[解釈]])</f>
        <v>0</v>
      </c>
    </row>
    <row r="41" spans="1:7" x14ac:dyDescent="0.55000000000000004">
      <c r="A41" s="48"/>
      <c r="B41" s="48"/>
      <c r="C41" s="2"/>
      <c r="D41" s="1"/>
      <c r="E41" s="1"/>
      <c r="F41" s="1"/>
      <c r="G41" s="39">
        <f>SUM(テーブル135[[#This Row],[ケアレスミス]:[解釈]])</f>
        <v>0</v>
      </c>
    </row>
    <row r="42" spans="1:7" x14ac:dyDescent="0.55000000000000004">
      <c r="A42" s="48"/>
      <c r="B42" s="48"/>
      <c r="C42" s="2"/>
      <c r="D42" s="1"/>
      <c r="E42" s="1"/>
      <c r="F42" s="1"/>
      <c r="G42" s="39">
        <f>SUM(テーブル135[[#This Row],[ケアレスミス]:[解釈]])</f>
        <v>0</v>
      </c>
    </row>
    <row r="43" spans="1:7" x14ac:dyDescent="0.55000000000000004">
      <c r="A43" s="48"/>
      <c r="B43" s="48"/>
      <c r="C43" s="2"/>
      <c r="D43" s="1"/>
      <c r="E43" s="1"/>
      <c r="F43" s="1"/>
      <c r="G43" s="39">
        <f>SUM(テーブル135[[#This Row],[ケアレスミス]:[解釈]])</f>
        <v>0</v>
      </c>
    </row>
    <row r="44" spans="1:7" x14ac:dyDescent="0.55000000000000004">
      <c r="A44" s="48"/>
      <c r="B44" s="48"/>
      <c r="C44" s="2"/>
      <c r="D44" s="1"/>
      <c r="E44" s="1"/>
      <c r="F44" s="1"/>
      <c r="G44" s="39">
        <f>SUM(テーブル135[[#This Row],[ケアレスミス]:[解釈]])</f>
        <v>0</v>
      </c>
    </row>
    <row r="45" spans="1:7" x14ac:dyDescent="0.55000000000000004">
      <c r="A45" s="48"/>
      <c r="B45" s="48"/>
      <c r="C45" s="2"/>
      <c r="D45" s="1"/>
      <c r="E45" s="1"/>
      <c r="F45" s="1"/>
      <c r="G45" s="39">
        <f>SUM(テーブル135[[#This Row],[ケアレスミス]:[解釈]])</f>
        <v>0</v>
      </c>
    </row>
    <row r="46" spans="1:7" x14ac:dyDescent="0.55000000000000004">
      <c r="A46" s="48"/>
      <c r="B46" s="62"/>
      <c r="C46" s="38"/>
      <c r="D46" s="39"/>
      <c r="E46" s="39"/>
      <c r="F46" s="39"/>
      <c r="G46" s="39">
        <f>SUM(テーブル135[[#This Row],[ケアレスミス]:[解釈]])</f>
        <v>0</v>
      </c>
    </row>
    <row r="47" spans="1:7" x14ac:dyDescent="0.55000000000000004">
      <c r="A47" s="48"/>
      <c r="B47" s="62"/>
      <c r="C47" s="38"/>
      <c r="D47" s="39"/>
      <c r="E47" s="39"/>
      <c r="F47" s="39"/>
      <c r="G47" s="39">
        <f>SUM(テーブル135[[#This Row],[ケアレスミス]:[解釈]])</f>
        <v>0</v>
      </c>
    </row>
    <row r="48" spans="1:7" x14ac:dyDescent="0.55000000000000004">
      <c r="A48" s="48"/>
      <c r="B48" s="62"/>
      <c r="C48" s="38"/>
      <c r="D48" s="39"/>
      <c r="E48" s="39"/>
      <c r="F48" s="39"/>
      <c r="G48" s="39">
        <f>SUM(テーブル135[[#This Row],[ケアレスミス]:[解釈]])</f>
        <v>0</v>
      </c>
    </row>
    <row r="49" spans="1:7" x14ac:dyDescent="0.55000000000000004">
      <c r="A49" s="48"/>
      <c r="B49" s="48"/>
      <c r="C49" s="2"/>
      <c r="D49" s="1"/>
      <c r="E49" s="1"/>
      <c r="F49" s="1"/>
      <c r="G49" s="39">
        <f>SUM(テーブル135[[#This Row],[ケアレスミス]:[解釈]])</f>
        <v>0</v>
      </c>
    </row>
    <row r="50" spans="1:7" x14ac:dyDescent="0.55000000000000004">
      <c r="A50" s="48"/>
      <c r="B50" s="48"/>
      <c r="C50" s="2"/>
      <c r="D50" s="1"/>
      <c r="E50" s="1"/>
      <c r="F50" s="1"/>
      <c r="G50" s="39">
        <f>SUM(テーブル135[[#This Row],[ケアレスミス]:[解釈]])</f>
        <v>0</v>
      </c>
    </row>
    <row r="51" spans="1:7" x14ac:dyDescent="0.55000000000000004">
      <c r="A51" s="48"/>
      <c r="B51" s="48"/>
      <c r="C51" s="2"/>
      <c r="D51" s="1"/>
      <c r="E51" s="1"/>
      <c r="F51" s="1"/>
      <c r="G51" s="39">
        <f>SUM(テーブル135[[#This Row],[ケアレスミス]:[解釈]])</f>
        <v>0</v>
      </c>
    </row>
    <row r="52" spans="1:7" x14ac:dyDescent="0.55000000000000004">
      <c r="A52" s="48"/>
      <c r="B52" s="48"/>
      <c r="C52" s="2"/>
      <c r="D52" s="1"/>
      <c r="E52" s="1"/>
      <c r="F52" s="1"/>
      <c r="G52" s="37">
        <f>SUM(テーブル135[[#This Row],[ケアレスミス]:[解釈]])</f>
        <v>0</v>
      </c>
    </row>
    <row r="53" spans="1:7" x14ac:dyDescent="0.55000000000000004">
      <c r="A53" s="48"/>
      <c r="B53" s="48"/>
      <c r="C53" s="2"/>
      <c r="D53" s="1"/>
      <c r="E53" s="1"/>
      <c r="F53" s="1"/>
      <c r="G53" s="37">
        <f>SUM(テーブル135[[#This Row],[ケアレスミス]:[解釈]])</f>
        <v>0</v>
      </c>
    </row>
    <row r="54" spans="1:7" x14ac:dyDescent="0.55000000000000004">
      <c r="A54" s="48"/>
      <c r="B54" s="48"/>
      <c r="C54" s="2"/>
      <c r="D54" s="1"/>
      <c r="E54" s="1"/>
      <c r="F54" s="1"/>
      <c r="G54" s="37">
        <f>SUM(テーブル135[[#This Row],[ケアレスミス]:[解釈]])</f>
        <v>0</v>
      </c>
    </row>
    <row r="55" spans="1:7" x14ac:dyDescent="0.55000000000000004">
      <c r="A55" s="34"/>
      <c r="B55" s="34"/>
      <c r="C55" s="2"/>
      <c r="D55" s="1"/>
      <c r="E55" s="1"/>
      <c r="F55" s="1"/>
      <c r="G55" s="37">
        <f>SUM(テーブル135[[#This Row],[ケアレスミス]:[解釈]])</f>
        <v>0</v>
      </c>
    </row>
    <row r="56" spans="1:7" x14ac:dyDescent="0.55000000000000004">
      <c r="A56" s="34"/>
      <c r="B56" s="34"/>
      <c r="C56" s="2"/>
      <c r="D56" s="1"/>
      <c r="E56" s="1"/>
      <c r="F56" s="1"/>
      <c r="G56" s="37">
        <f>SUM(テーブル135[[#This Row],[ケアレスミス]:[解釈]])</f>
        <v>0</v>
      </c>
    </row>
    <row r="57" spans="1:7" x14ac:dyDescent="0.55000000000000004">
      <c r="A57" s="34"/>
      <c r="B57" s="34"/>
      <c r="C57" s="2"/>
      <c r="D57" s="1"/>
      <c r="E57" s="1"/>
      <c r="F57" s="1"/>
      <c r="G57" s="37">
        <f>SUM(テーブル135[[#This Row],[ケアレスミス]:[解釈]])</f>
        <v>0</v>
      </c>
    </row>
    <row r="58" spans="1:7" x14ac:dyDescent="0.55000000000000004">
      <c r="A58" s="41" t="s">
        <v>86</v>
      </c>
      <c r="B58" s="41"/>
      <c r="C58" s="38"/>
      <c r="D58" s="39">
        <f>SUBTOTAL(109,テーブル135[ケアレスミス])</f>
        <v>10</v>
      </c>
      <c r="E58" s="39">
        <f>SUBTOTAL(109,テーブル135[インシデント])</f>
        <v>0</v>
      </c>
      <c r="F58" s="39">
        <f>SUBTOTAL(109,テーブル135[解釈])</f>
        <v>0</v>
      </c>
      <c r="G58" s="40">
        <f>SUBTOTAL(109,テーブル135[FB数合計])</f>
        <v>10</v>
      </c>
    </row>
  </sheetData>
  <phoneticPr fontId="1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E059C18-363D-4AEE-BCAB-A92EDA2FD1C3}">
          <x14:formula1>
            <xm:f>メンバー!$B$3:$B$20</xm:f>
          </x14:formula1>
          <xm:sqref>C4:C57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34555-EB1E-45A3-81DB-C3C18C8442B0}">
  <sheetPr codeName="Sheet8">
    <tabColor theme="7" tint="-0.249977111117893"/>
  </sheetPr>
  <dimension ref="B3:P157"/>
  <sheetViews>
    <sheetView topLeftCell="B84" workbookViewId="0">
      <selection activeCell="B1" sqref="B1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9" width="9.83203125" bestFit="1" customWidth="1"/>
    <col min="10" max="12" width="10.9140625" bestFit="1" customWidth="1"/>
    <col min="13" max="15" width="9.83203125" bestFit="1" customWidth="1"/>
  </cols>
  <sheetData>
    <row r="3" spans="2:2" ht="22.5" x14ac:dyDescent="0.55000000000000004">
      <c r="B3" s="45" t="s">
        <v>410</v>
      </c>
    </row>
    <row r="6" spans="2:2" x14ac:dyDescent="0.55000000000000004">
      <c r="B6" s="43" t="s">
        <v>317</v>
      </c>
    </row>
    <row r="22" spans="2:16" x14ac:dyDescent="0.55000000000000004">
      <c r="C22" s="28"/>
    </row>
    <row r="27" spans="2:16" x14ac:dyDescent="0.55000000000000004">
      <c r="B27" s="1" t="s">
        <v>67</v>
      </c>
      <c r="C27" s="44">
        <v>45352</v>
      </c>
      <c r="D27" s="44">
        <v>45383</v>
      </c>
      <c r="E27" s="44">
        <v>45413</v>
      </c>
      <c r="F27" s="44">
        <v>45444</v>
      </c>
      <c r="G27" s="44">
        <v>45474</v>
      </c>
      <c r="H27" s="44">
        <v>45505</v>
      </c>
      <c r="I27" s="44">
        <v>45536</v>
      </c>
      <c r="J27" s="44">
        <v>45566</v>
      </c>
      <c r="K27" s="44">
        <v>45597</v>
      </c>
      <c r="L27" s="44">
        <v>45627</v>
      </c>
      <c r="M27" s="44">
        <v>45658</v>
      </c>
      <c r="N27" s="44">
        <v>45689</v>
      </c>
      <c r="O27" s="44">
        <v>45717</v>
      </c>
      <c r="P27" s="1"/>
    </row>
    <row r="28" spans="2:16" x14ac:dyDescent="0.55000000000000004">
      <c r="B28" s="1" t="s">
        <v>29</v>
      </c>
      <c r="C28" s="1">
        <v>1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/>
      <c r="K28" s="1"/>
      <c r="L28" s="1"/>
      <c r="M28" s="1"/>
      <c r="N28" s="1"/>
      <c r="O28" s="1"/>
      <c r="P28" s="1"/>
    </row>
    <row r="29" spans="2:16" x14ac:dyDescent="0.55000000000000004">
      <c r="B29" s="1" t="s">
        <v>68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/>
      <c r="K29" s="1"/>
      <c r="L29" s="1"/>
      <c r="M29" s="1"/>
      <c r="N29" s="1"/>
      <c r="O29" s="1"/>
      <c r="P29" s="1"/>
    </row>
    <row r="30" spans="2:16" x14ac:dyDescent="0.55000000000000004">
      <c r="B30" s="1" t="s">
        <v>28</v>
      </c>
      <c r="C30" s="1">
        <v>0</v>
      </c>
      <c r="D30" s="1">
        <v>0</v>
      </c>
      <c r="E30" s="1">
        <v>0</v>
      </c>
      <c r="F30" s="1">
        <v>2</v>
      </c>
      <c r="G30" s="1">
        <v>0</v>
      </c>
      <c r="H30" s="1">
        <v>0</v>
      </c>
      <c r="I30" s="1">
        <v>0</v>
      </c>
      <c r="J30" s="1"/>
      <c r="K30" s="1"/>
      <c r="L30" s="1"/>
      <c r="M30" s="1"/>
      <c r="N30" s="1"/>
      <c r="O30" s="1"/>
      <c r="P30" s="1"/>
    </row>
    <row r="31" spans="2:16" x14ac:dyDescent="0.55000000000000004">
      <c r="B31" s="1" t="s">
        <v>36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3</v>
      </c>
      <c r="I31" s="1">
        <v>0</v>
      </c>
      <c r="J31" s="1"/>
      <c r="K31" s="1"/>
      <c r="L31" s="1"/>
      <c r="M31" s="1"/>
      <c r="N31" s="1"/>
      <c r="O31" s="1"/>
      <c r="P31" s="1"/>
    </row>
    <row r="32" spans="2:16" x14ac:dyDescent="0.55000000000000004">
      <c r="B32" s="1" t="s">
        <v>320</v>
      </c>
      <c r="C32" s="1">
        <v>0</v>
      </c>
      <c r="D32" s="1">
        <v>1</v>
      </c>
      <c r="E32" s="1">
        <v>3</v>
      </c>
      <c r="F32" s="1">
        <v>0</v>
      </c>
      <c r="G32" s="1">
        <v>0</v>
      </c>
      <c r="H32" s="1">
        <v>0</v>
      </c>
      <c r="I32" s="1">
        <v>0</v>
      </c>
      <c r="J32" s="1"/>
      <c r="K32" s="1"/>
      <c r="L32" s="1"/>
      <c r="M32" s="1"/>
      <c r="N32" s="1"/>
      <c r="O32" s="1"/>
      <c r="P32" s="1"/>
    </row>
    <row r="33" spans="2:16" x14ac:dyDescent="0.55000000000000004">
      <c r="B33" s="1" t="s">
        <v>27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/>
      <c r="K33" s="1"/>
      <c r="L33" s="1"/>
      <c r="M33" s="1"/>
      <c r="N33" s="1"/>
      <c r="O33" s="1"/>
      <c r="P33" s="1"/>
    </row>
    <row r="34" spans="2:16" x14ac:dyDescent="0.55000000000000004">
      <c r="B34" s="1" t="s">
        <v>321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/>
      <c r="K34" s="1"/>
      <c r="L34" s="1"/>
      <c r="M34" s="1"/>
      <c r="N34" s="1"/>
      <c r="O34" s="1"/>
      <c r="P34" s="1"/>
    </row>
    <row r="35" spans="2:16" x14ac:dyDescent="0.55000000000000004">
      <c r="B35" s="1" t="s">
        <v>646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8" spans="2:16" x14ac:dyDescent="0.55000000000000004">
      <c r="B38" s="43" t="s">
        <v>318</v>
      </c>
    </row>
    <row r="58" spans="2:15" x14ac:dyDescent="0.55000000000000004">
      <c r="B58" s="1" t="s">
        <v>67</v>
      </c>
      <c r="C58" s="44">
        <v>45352</v>
      </c>
      <c r="D58" s="44">
        <v>45383</v>
      </c>
      <c r="E58" s="44">
        <v>45413</v>
      </c>
      <c r="F58" s="44">
        <v>45444</v>
      </c>
      <c r="G58" s="44">
        <v>45474</v>
      </c>
      <c r="H58" s="44">
        <v>45505</v>
      </c>
      <c r="I58" s="44">
        <v>45536</v>
      </c>
      <c r="J58" s="44">
        <v>45566</v>
      </c>
      <c r="K58" s="44">
        <v>45597</v>
      </c>
      <c r="L58" s="44">
        <v>45627</v>
      </c>
      <c r="M58" s="44">
        <v>45658</v>
      </c>
      <c r="N58" s="44">
        <v>45689</v>
      </c>
      <c r="O58" s="44">
        <v>45717</v>
      </c>
    </row>
    <row r="59" spans="2:15" x14ac:dyDescent="0.55000000000000004">
      <c r="B59" s="1" t="s">
        <v>29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/>
      <c r="K59" s="1"/>
      <c r="L59" s="1"/>
      <c r="M59" s="1"/>
      <c r="N59" s="1"/>
      <c r="O59" s="1"/>
    </row>
    <row r="60" spans="2:15" x14ac:dyDescent="0.55000000000000004">
      <c r="B60" s="1" t="s">
        <v>68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/>
      <c r="K60" s="1"/>
      <c r="L60" s="1"/>
      <c r="M60" s="1"/>
      <c r="N60" s="1"/>
      <c r="O60" s="1"/>
    </row>
    <row r="61" spans="2:15" x14ac:dyDescent="0.55000000000000004">
      <c r="B61" s="1" t="s">
        <v>28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/>
      <c r="K61" s="1"/>
      <c r="L61" s="1"/>
      <c r="M61" s="1"/>
      <c r="N61" s="1"/>
      <c r="O61" s="1"/>
    </row>
    <row r="62" spans="2:15" x14ac:dyDescent="0.55000000000000004">
      <c r="B62" s="1" t="s">
        <v>36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/>
      <c r="K62" s="1"/>
      <c r="L62" s="1"/>
      <c r="M62" s="1"/>
      <c r="N62" s="1"/>
      <c r="O62" s="1"/>
    </row>
    <row r="63" spans="2:15" x14ac:dyDescent="0.55000000000000004">
      <c r="B63" s="1" t="s">
        <v>320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/>
      <c r="K63" s="1"/>
      <c r="L63" s="1"/>
      <c r="M63" s="1"/>
      <c r="N63" s="1"/>
      <c r="O63" s="1"/>
    </row>
    <row r="64" spans="2:15" x14ac:dyDescent="0.55000000000000004">
      <c r="B64" s="1" t="s">
        <v>27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/>
      <c r="K64" s="1"/>
      <c r="L64" s="1"/>
      <c r="M64" s="1"/>
      <c r="N64" s="1"/>
      <c r="O64" s="1"/>
    </row>
    <row r="65" spans="2:15" x14ac:dyDescent="0.55000000000000004">
      <c r="B65" s="1" t="s">
        <v>321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/>
      <c r="K65" s="1"/>
      <c r="L65" s="1"/>
      <c r="M65" s="1"/>
      <c r="N65" s="1"/>
      <c r="O65" s="1"/>
    </row>
    <row r="66" spans="2:15" x14ac:dyDescent="0.55000000000000004">
      <c r="B66" s="1" t="s">
        <v>646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70" spans="2:15" x14ac:dyDescent="0.55000000000000004">
      <c r="B70" s="43" t="s">
        <v>319</v>
      </c>
    </row>
    <row r="71" spans="2:15" x14ac:dyDescent="0.55000000000000004">
      <c r="B71" s="43"/>
    </row>
    <row r="72" spans="2:15" x14ac:dyDescent="0.55000000000000004">
      <c r="B72" s="43"/>
    </row>
    <row r="73" spans="2:15" x14ac:dyDescent="0.55000000000000004">
      <c r="B73" s="43"/>
    </row>
    <row r="74" spans="2:15" x14ac:dyDescent="0.55000000000000004">
      <c r="B74" s="43"/>
    </row>
    <row r="75" spans="2:15" x14ac:dyDescent="0.55000000000000004">
      <c r="B75" s="43"/>
    </row>
    <row r="76" spans="2:15" x14ac:dyDescent="0.55000000000000004">
      <c r="B76" s="43"/>
    </row>
    <row r="77" spans="2:15" x14ac:dyDescent="0.55000000000000004">
      <c r="B77" s="43"/>
    </row>
    <row r="78" spans="2:15" x14ac:dyDescent="0.55000000000000004">
      <c r="B78" s="43"/>
    </row>
    <row r="79" spans="2:15" x14ac:dyDescent="0.55000000000000004">
      <c r="B79" s="43"/>
    </row>
    <row r="80" spans="2:15" x14ac:dyDescent="0.55000000000000004">
      <c r="B80" s="43"/>
    </row>
    <row r="81" spans="2:15" x14ac:dyDescent="0.55000000000000004">
      <c r="B81" s="43"/>
    </row>
    <row r="82" spans="2:15" x14ac:dyDescent="0.55000000000000004">
      <c r="B82" s="43"/>
    </row>
    <row r="90" spans="2:15" x14ac:dyDescent="0.55000000000000004">
      <c r="B90" s="1" t="s">
        <v>67</v>
      </c>
      <c r="C90" s="44">
        <v>45352</v>
      </c>
      <c r="D90" s="44">
        <v>45383</v>
      </c>
      <c r="E90" s="44">
        <v>45413</v>
      </c>
      <c r="F90" s="44">
        <v>45444</v>
      </c>
      <c r="G90" s="44">
        <v>45474</v>
      </c>
      <c r="H90" s="44">
        <v>45505</v>
      </c>
      <c r="I90" s="44">
        <v>45536</v>
      </c>
      <c r="J90" s="44">
        <v>45566</v>
      </c>
      <c r="K90" s="44">
        <v>45597</v>
      </c>
      <c r="L90" s="44">
        <v>45627</v>
      </c>
      <c r="M90" s="44">
        <v>45658</v>
      </c>
      <c r="N90" s="44">
        <v>45689</v>
      </c>
      <c r="O90" s="44">
        <v>45717</v>
      </c>
    </row>
    <row r="91" spans="2:15" x14ac:dyDescent="0.55000000000000004">
      <c r="B91" s="1" t="s">
        <v>29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/>
      <c r="K91" s="1"/>
      <c r="L91" s="1"/>
      <c r="M91" s="1"/>
      <c r="N91" s="1"/>
      <c r="O91" s="1"/>
    </row>
    <row r="92" spans="2:15" x14ac:dyDescent="0.55000000000000004">
      <c r="B92" s="1" t="s">
        <v>68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/>
      <c r="K92" s="1"/>
      <c r="L92" s="1"/>
      <c r="M92" s="1"/>
      <c r="N92" s="1"/>
      <c r="O92" s="1"/>
    </row>
    <row r="93" spans="2:15" x14ac:dyDescent="0.55000000000000004">
      <c r="B93" s="1" t="s">
        <v>28</v>
      </c>
      <c r="C93" s="1">
        <v>0</v>
      </c>
      <c r="D93" s="1">
        <v>0</v>
      </c>
      <c r="E93" s="1">
        <v>0</v>
      </c>
      <c r="F93" s="1">
        <v>0</v>
      </c>
      <c r="G93" s="1">
        <v>0</v>
      </c>
      <c r="H93" s="1">
        <v>0</v>
      </c>
      <c r="I93" s="1">
        <v>0</v>
      </c>
      <c r="J93" s="1"/>
      <c r="K93" s="1"/>
      <c r="L93" s="1"/>
      <c r="M93" s="1"/>
      <c r="N93" s="1"/>
      <c r="O93" s="1"/>
    </row>
    <row r="94" spans="2:15" x14ac:dyDescent="0.55000000000000004">
      <c r="B94" s="1" t="s">
        <v>36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/>
      <c r="K94" s="1"/>
      <c r="L94" s="1"/>
      <c r="M94" s="1"/>
      <c r="N94" s="1"/>
      <c r="O94" s="1"/>
    </row>
    <row r="95" spans="2:15" x14ac:dyDescent="0.55000000000000004">
      <c r="B95" s="1" t="s">
        <v>320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/>
      <c r="K95" s="1"/>
      <c r="L95" s="1"/>
      <c r="M95" s="1"/>
      <c r="N95" s="1"/>
      <c r="O95" s="1"/>
    </row>
    <row r="96" spans="2:15" x14ac:dyDescent="0.55000000000000004">
      <c r="B96" s="1" t="s">
        <v>27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/>
      <c r="K96" s="1"/>
      <c r="L96" s="1"/>
      <c r="M96" s="1"/>
      <c r="N96" s="1"/>
      <c r="O96" s="1"/>
    </row>
    <row r="97" spans="2:15" x14ac:dyDescent="0.55000000000000004">
      <c r="B97" s="1" t="s">
        <v>321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/>
      <c r="K97" s="1"/>
      <c r="L97" s="1"/>
      <c r="M97" s="1"/>
      <c r="N97" s="1"/>
      <c r="O97" s="1"/>
    </row>
    <row r="98" spans="2:15" x14ac:dyDescent="0.55000000000000004">
      <c r="B98" s="1" t="s">
        <v>646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102" spans="2:15" x14ac:dyDescent="0.55000000000000004">
      <c r="B102" s="43" t="s">
        <v>408</v>
      </c>
    </row>
    <row r="120" spans="2:15" x14ac:dyDescent="0.55000000000000004">
      <c r="B120" s="1" t="s">
        <v>67</v>
      </c>
      <c r="C120" s="44">
        <v>45352</v>
      </c>
      <c r="D120" s="44">
        <v>45383</v>
      </c>
      <c r="E120" s="44">
        <v>45413</v>
      </c>
      <c r="F120" s="44">
        <v>45444</v>
      </c>
      <c r="G120" s="44">
        <v>45474</v>
      </c>
      <c r="H120" s="44">
        <v>45505</v>
      </c>
      <c r="I120" s="44">
        <v>45536</v>
      </c>
      <c r="J120" s="44">
        <v>45566</v>
      </c>
      <c r="K120" s="44">
        <v>45597</v>
      </c>
      <c r="L120" s="44">
        <v>45627</v>
      </c>
      <c r="M120" s="44">
        <v>45658</v>
      </c>
      <c r="N120" s="44">
        <v>45689</v>
      </c>
      <c r="O120" s="44">
        <v>45717</v>
      </c>
    </row>
    <row r="121" spans="2:15" x14ac:dyDescent="0.55000000000000004">
      <c r="B121" s="1" t="s">
        <v>29</v>
      </c>
      <c r="C121" s="1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/>
      <c r="K121" s="1"/>
      <c r="L121" s="1"/>
      <c r="M121" s="1"/>
      <c r="N121" s="1"/>
      <c r="O121" s="1"/>
    </row>
    <row r="122" spans="2:15" x14ac:dyDescent="0.55000000000000004">
      <c r="B122" s="1" t="s">
        <v>68</v>
      </c>
      <c r="C122" s="1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/>
      <c r="K122" s="1"/>
      <c r="L122" s="1"/>
      <c r="M122" s="1"/>
      <c r="N122" s="1"/>
      <c r="O122" s="1"/>
    </row>
    <row r="123" spans="2:15" x14ac:dyDescent="0.55000000000000004">
      <c r="B123" s="1" t="s">
        <v>28</v>
      </c>
      <c r="C123" s="1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/>
      <c r="K123" s="1"/>
      <c r="L123" s="1"/>
      <c r="M123" s="1"/>
      <c r="N123" s="1"/>
      <c r="O123" s="1"/>
    </row>
    <row r="124" spans="2:15" x14ac:dyDescent="0.55000000000000004">
      <c r="B124" s="1" t="s">
        <v>36</v>
      </c>
      <c r="C124" s="1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/>
      <c r="K124" s="1"/>
      <c r="L124" s="1"/>
      <c r="M124" s="1"/>
      <c r="N124" s="1"/>
      <c r="O124" s="1"/>
    </row>
    <row r="125" spans="2:15" x14ac:dyDescent="0.55000000000000004">
      <c r="B125" s="1" t="s">
        <v>320</v>
      </c>
      <c r="C125" s="1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/>
      <c r="K125" s="1"/>
      <c r="L125" s="1"/>
      <c r="M125" s="1"/>
      <c r="N125" s="1"/>
      <c r="O125" s="1"/>
    </row>
    <row r="126" spans="2:15" x14ac:dyDescent="0.55000000000000004">
      <c r="B126" s="1" t="s">
        <v>27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1"/>
      <c r="K126" s="1"/>
      <c r="L126" s="1"/>
      <c r="M126" s="1"/>
      <c r="N126" s="1"/>
      <c r="O126" s="1"/>
    </row>
    <row r="127" spans="2:15" x14ac:dyDescent="0.55000000000000004">
      <c r="B127" s="1" t="s">
        <v>321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1"/>
      <c r="K127" s="1"/>
      <c r="L127" s="1"/>
      <c r="M127" s="1"/>
      <c r="N127" s="1"/>
      <c r="O127" s="1"/>
    </row>
    <row r="128" spans="2:15" x14ac:dyDescent="0.55000000000000004">
      <c r="B128" s="1" t="s">
        <v>646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31" spans="2:2" x14ac:dyDescent="0.55000000000000004">
      <c r="B131" s="43" t="s">
        <v>409</v>
      </c>
    </row>
    <row r="149" spans="2:15" x14ac:dyDescent="0.55000000000000004">
      <c r="B149" s="1" t="s">
        <v>67</v>
      </c>
      <c r="C149" s="44">
        <v>45352</v>
      </c>
      <c r="D149" s="44">
        <v>45383</v>
      </c>
      <c r="E149" s="44">
        <v>45413</v>
      </c>
      <c r="F149" s="44">
        <v>45444</v>
      </c>
      <c r="G149" s="44">
        <v>45474</v>
      </c>
      <c r="H149" s="44">
        <v>45505</v>
      </c>
      <c r="I149" s="44">
        <v>45536</v>
      </c>
      <c r="J149" s="44">
        <v>45566</v>
      </c>
      <c r="K149" s="44">
        <v>45597</v>
      </c>
      <c r="L149" s="44">
        <v>45627</v>
      </c>
      <c r="M149" s="44">
        <v>45658</v>
      </c>
      <c r="N149" s="44">
        <v>45689</v>
      </c>
      <c r="O149" s="44">
        <v>45717</v>
      </c>
    </row>
    <row r="150" spans="2:15" x14ac:dyDescent="0.55000000000000004">
      <c r="B150" s="1" t="s">
        <v>29</v>
      </c>
      <c r="C150" s="1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/>
      <c r="K150" s="1"/>
      <c r="L150" s="1"/>
      <c r="M150" s="1"/>
      <c r="N150" s="1"/>
      <c r="O150" s="1"/>
    </row>
    <row r="151" spans="2:15" x14ac:dyDescent="0.55000000000000004">
      <c r="B151" s="1" t="s">
        <v>68</v>
      </c>
      <c r="C151" s="1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/>
      <c r="K151" s="1"/>
      <c r="L151" s="1"/>
      <c r="M151" s="1"/>
      <c r="N151" s="1"/>
      <c r="O151" s="1"/>
    </row>
    <row r="152" spans="2:15" x14ac:dyDescent="0.55000000000000004">
      <c r="B152" s="1" t="s">
        <v>28</v>
      </c>
      <c r="C152" s="1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/>
      <c r="K152" s="1"/>
      <c r="L152" s="1"/>
      <c r="M152" s="1"/>
      <c r="N152" s="1"/>
      <c r="O152" s="1"/>
    </row>
    <row r="153" spans="2:15" x14ac:dyDescent="0.55000000000000004">
      <c r="B153" s="1" t="s">
        <v>36</v>
      </c>
      <c r="C153" s="1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/>
      <c r="K153" s="1"/>
      <c r="L153" s="1"/>
      <c r="M153" s="1"/>
      <c r="N153" s="1"/>
      <c r="O153" s="1"/>
    </row>
    <row r="154" spans="2:15" x14ac:dyDescent="0.55000000000000004">
      <c r="B154" s="1" t="s">
        <v>320</v>
      </c>
      <c r="C154" s="1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/>
      <c r="K154" s="1"/>
      <c r="L154" s="1"/>
      <c r="M154" s="1"/>
      <c r="N154" s="1"/>
      <c r="O154" s="1"/>
    </row>
    <row r="155" spans="2:15" x14ac:dyDescent="0.55000000000000004">
      <c r="B155" s="1" t="s">
        <v>27</v>
      </c>
      <c r="C155" s="1">
        <v>0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/>
      <c r="K155" s="1"/>
      <c r="L155" s="1"/>
      <c r="M155" s="1"/>
      <c r="N155" s="1"/>
      <c r="O155" s="1"/>
    </row>
    <row r="156" spans="2:15" x14ac:dyDescent="0.55000000000000004">
      <c r="B156" s="1" t="s">
        <v>321</v>
      </c>
      <c r="C156" s="1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/>
      <c r="K156" s="1"/>
      <c r="L156" s="1"/>
      <c r="M156" s="1"/>
      <c r="N156" s="1"/>
      <c r="O156" s="1"/>
    </row>
    <row r="157" spans="2:15" x14ac:dyDescent="0.55000000000000004">
      <c r="B157" s="1" t="s">
        <v>646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F134F-03ED-42E7-8D6D-3AEC5758AA3A}">
  <sheetPr codeName="Sheet33">
    <tabColor rgb="FF0070C0"/>
  </sheetPr>
  <dimension ref="A1:K91"/>
  <sheetViews>
    <sheetView workbookViewId="0">
      <pane ySplit="3" topLeftCell="A4" activePane="bottomLeft" state="frozen"/>
      <selection pane="bottomLeft" activeCell="B12" sqref="B12"/>
    </sheetView>
  </sheetViews>
  <sheetFormatPr defaultRowHeight="18" x14ac:dyDescent="0.55000000000000004"/>
  <cols>
    <col min="1" max="2" width="9" customWidth="1"/>
    <col min="3" max="3" width="11" bestFit="1" customWidth="1"/>
    <col min="4" max="4" width="13.58203125" customWidth="1"/>
    <col min="5" max="5" width="9.5" bestFit="1" customWidth="1"/>
    <col min="6" max="6" width="12.6640625" customWidth="1"/>
    <col min="7" max="7" width="9.5" customWidth="1"/>
    <col min="8" max="8" width="10.58203125" customWidth="1"/>
    <col min="9" max="9" width="12.25" bestFit="1" customWidth="1"/>
    <col min="10" max="14" width="9.5" bestFit="1" customWidth="1"/>
  </cols>
  <sheetData>
    <row r="1" spans="1:11" x14ac:dyDescent="0.55000000000000004">
      <c r="A1" s="12" t="s">
        <v>595</v>
      </c>
      <c r="B1" s="12"/>
      <c r="C1" s="8"/>
      <c r="D1" s="5"/>
      <c r="E1" s="5"/>
      <c r="F1" s="5"/>
      <c r="G1" s="5"/>
      <c r="H1" s="5"/>
      <c r="I1" s="5"/>
      <c r="J1" s="5"/>
      <c r="K1" s="5"/>
    </row>
    <row r="3" spans="1:11" x14ac:dyDescent="0.55000000000000004">
      <c r="A3" s="49" t="s">
        <v>322</v>
      </c>
      <c r="B3" s="49" t="s">
        <v>686</v>
      </c>
      <c r="C3" s="46" t="s">
        <v>96</v>
      </c>
      <c r="D3" s="46" t="s">
        <v>10</v>
      </c>
      <c r="E3" s="46" t="s">
        <v>50</v>
      </c>
      <c r="F3" s="46" t="s">
        <v>354</v>
      </c>
      <c r="G3" s="46" t="s">
        <v>347</v>
      </c>
      <c r="H3" s="46" t="s">
        <v>51</v>
      </c>
      <c r="I3" s="47" t="s">
        <v>53</v>
      </c>
    </row>
    <row r="4" spans="1:11" x14ac:dyDescent="0.55000000000000004">
      <c r="A4" s="88" t="s">
        <v>677</v>
      </c>
      <c r="B4" s="88" t="s">
        <v>685</v>
      </c>
      <c r="C4" s="2" t="s">
        <v>366</v>
      </c>
      <c r="D4" s="36">
        <v>0</v>
      </c>
      <c r="E4" s="36">
        <v>0</v>
      </c>
      <c r="F4" s="36">
        <v>0</v>
      </c>
      <c r="G4" s="36">
        <v>0</v>
      </c>
      <c r="H4" s="1">
        <f t="shared" ref="H4:H35" si="0">SUM(D4,E4)</f>
        <v>0</v>
      </c>
      <c r="I4" s="68">
        <v>0</v>
      </c>
    </row>
    <row r="5" spans="1:11" x14ac:dyDescent="0.55000000000000004">
      <c r="A5" s="88" t="s">
        <v>679</v>
      </c>
      <c r="B5" s="88" t="s">
        <v>685</v>
      </c>
      <c r="C5" s="2" t="s">
        <v>522</v>
      </c>
      <c r="D5" s="36">
        <v>0</v>
      </c>
      <c r="E5" s="36">
        <v>0</v>
      </c>
      <c r="F5" s="36">
        <v>0</v>
      </c>
      <c r="G5" s="36">
        <v>0</v>
      </c>
      <c r="H5" s="1">
        <f t="shared" si="0"/>
        <v>0</v>
      </c>
      <c r="I5" s="68">
        <v>0</v>
      </c>
    </row>
    <row r="6" spans="1:11" x14ac:dyDescent="0.55000000000000004">
      <c r="A6" s="88" t="s">
        <v>678</v>
      </c>
      <c r="B6" s="88" t="s">
        <v>685</v>
      </c>
      <c r="C6" s="2" t="s">
        <v>147</v>
      </c>
      <c r="D6" s="36">
        <v>0</v>
      </c>
      <c r="E6" s="36">
        <v>1</v>
      </c>
      <c r="F6" s="36">
        <v>0</v>
      </c>
      <c r="G6" s="36">
        <v>0</v>
      </c>
      <c r="H6" s="1">
        <f t="shared" si="0"/>
        <v>1</v>
      </c>
      <c r="I6" s="68">
        <v>0</v>
      </c>
    </row>
    <row r="7" spans="1:11" x14ac:dyDescent="0.55000000000000004">
      <c r="A7" s="88" t="s">
        <v>680</v>
      </c>
      <c r="B7" s="88" t="s">
        <v>685</v>
      </c>
      <c r="C7" s="2" t="s">
        <v>366</v>
      </c>
      <c r="D7" s="36">
        <v>0</v>
      </c>
      <c r="E7" s="36">
        <v>0</v>
      </c>
      <c r="F7" s="36">
        <v>0</v>
      </c>
      <c r="G7" s="36">
        <v>0</v>
      </c>
      <c r="H7" s="1">
        <f t="shared" si="0"/>
        <v>0</v>
      </c>
      <c r="I7" s="68">
        <v>0</v>
      </c>
    </row>
    <row r="8" spans="1:11" x14ac:dyDescent="0.55000000000000004">
      <c r="A8" s="88" t="s">
        <v>681</v>
      </c>
      <c r="B8" s="88" t="s">
        <v>685</v>
      </c>
      <c r="C8" s="2" t="s">
        <v>40</v>
      </c>
      <c r="D8" s="36">
        <v>0</v>
      </c>
      <c r="E8" s="36">
        <v>0</v>
      </c>
      <c r="F8" s="36">
        <v>0</v>
      </c>
      <c r="G8" s="36">
        <v>0</v>
      </c>
      <c r="H8" s="1">
        <f t="shared" si="0"/>
        <v>0</v>
      </c>
      <c r="I8" s="68">
        <v>0</v>
      </c>
    </row>
    <row r="9" spans="1:11" x14ac:dyDescent="0.55000000000000004">
      <c r="A9" s="88" t="s">
        <v>682</v>
      </c>
      <c r="B9" s="88" t="s">
        <v>685</v>
      </c>
      <c r="C9" s="2" t="s">
        <v>522</v>
      </c>
      <c r="D9" s="1">
        <v>1</v>
      </c>
      <c r="E9" s="1">
        <v>0</v>
      </c>
      <c r="F9" s="1">
        <v>1</v>
      </c>
      <c r="G9" s="1">
        <v>0</v>
      </c>
      <c r="H9" s="1">
        <f t="shared" si="0"/>
        <v>1</v>
      </c>
      <c r="I9" s="68">
        <v>0</v>
      </c>
    </row>
    <row r="10" spans="1:11" x14ac:dyDescent="0.55000000000000004">
      <c r="A10" s="88" t="s">
        <v>683</v>
      </c>
      <c r="B10" s="88" t="s">
        <v>685</v>
      </c>
      <c r="C10" s="2" t="s">
        <v>366</v>
      </c>
      <c r="D10" s="1">
        <v>0</v>
      </c>
      <c r="E10" s="1">
        <v>0</v>
      </c>
      <c r="F10" s="1">
        <v>0</v>
      </c>
      <c r="G10" s="1">
        <v>0</v>
      </c>
      <c r="H10" s="1">
        <f t="shared" si="0"/>
        <v>0</v>
      </c>
      <c r="I10" s="68">
        <v>0</v>
      </c>
    </row>
    <row r="11" spans="1:11" x14ac:dyDescent="0.55000000000000004">
      <c r="A11" s="88" t="s">
        <v>684</v>
      </c>
      <c r="B11" s="88" t="s">
        <v>685</v>
      </c>
      <c r="C11" s="2" t="s">
        <v>522</v>
      </c>
      <c r="D11" s="1">
        <v>0</v>
      </c>
      <c r="E11" s="1">
        <v>0</v>
      </c>
      <c r="F11" s="1">
        <v>0</v>
      </c>
      <c r="G11" s="1">
        <v>0</v>
      </c>
      <c r="H11" s="1">
        <f t="shared" si="0"/>
        <v>0</v>
      </c>
      <c r="I11" s="68">
        <v>0</v>
      </c>
    </row>
    <row r="12" spans="1:11" x14ac:dyDescent="0.55000000000000004">
      <c r="A12" s="48"/>
      <c r="B12" s="48"/>
      <c r="C12" s="2"/>
      <c r="D12" s="1"/>
      <c r="E12" s="1"/>
      <c r="F12" s="1"/>
      <c r="G12" s="1"/>
      <c r="H12" s="1">
        <f t="shared" si="0"/>
        <v>0</v>
      </c>
      <c r="I12" s="68">
        <v>0</v>
      </c>
    </row>
    <row r="13" spans="1:11" x14ac:dyDescent="0.55000000000000004">
      <c r="A13" s="48"/>
      <c r="B13" s="48"/>
      <c r="C13" s="2"/>
      <c r="D13" s="1"/>
      <c r="E13" s="1"/>
      <c r="F13" s="1"/>
      <c r="G13" s="1"/>
      <c r="H13" s="1">
        <f t="shared" si="0"/>
        <v>0</v>
      </c>
      <c r="I13" s="68">
        <v>0</v>
      </c>
    </row>
    <row r="14" spans="1:11" x14ac:dyDescent="0.55000000000000004">
      <c r="A14" s="48"/>
      <c r="B14" s="48"/>
      <c r="C14" s="2"/>
      <c r="D14" s="1"/>
      <c r="E14" s="1"/>
      <c r="F14" s="1"/>
      <c r="G14" s="1"/>
      <c r="H14" s="1">
        <f t="shared" si="0"/>
        <v>0</v>
      </c>
      <c r="I14" s="68">
        <v>0</v>
      </c>
    </row>
    <row r="15" spans="1:11" x14ac:dyDescent="0.55000000000000004">
      <c r="A15" s="48"/>
      <c r="B15" s="48"/>
      <c r="C15" s="2"/>
      <c r="D15" s="36"/>
      <c r="E15" s="36"/>
      <c r="F15" s="36"/>
      <c r="G15" s="36"/>
      <c r="H15" s="1">
        <f t="shared" si="0"/>
        <v>0</v>
      </c>
      <c r="I15" s="68">
        <v>0</v>
      </c>
    </row>
    <row r="16" spans="1:11" x14ac:dyDescent="0.55000000000000004">
      <c r="A16" s="48"/>
      <c r="B16" s="48"/>
      <c r="C16" s="2"/>
      <c r="D16" s="36"/>
      <c r="E16" s="36"/>
      <c r="F16" s="36"/>
      <c r="G16" s="36"/>
      <c r="H16" s="1">
        <f t="shared" si="0"/>
        <v>0</v>
      </c>
      <c r="I16" s="68">
        <v>0</v>
      </c>
    </row>
    <row r="17" spans="1:9" x14ac:dyDescent="0.55000000000000004">
      <c r="A17" s="48"/>
      <c r="B17" s="48"/>
      <c r="C17" s="2"/>
      <c r="D17" s="36"/>
      <c r="E17" s="36"/>
      <c r="F17" s="36"/>
      <c r="G17" s="36"/>
      <c r="H17" s="1">
        <f t="shared" si="0"/>
        <v>0</v>
      </c>
      <c r="I17" s="68">
        <v>0</v>
      </c>
    </row>
    <row r="18" spans="1:9" x14ac:dyDescent="0.55000000000000004">
      <c r="A18" s="48"/>
      <c r="B18" s="48"/>
      <c r="C18" s="2"/>
      <c r="D18" s="36"/>
      <c r="E18" s="36"/>
      <c r="F18" s="36"/>
      <c r="G18" s="36"/>
      <c r="H18" s="1">
        <f t="shared" si="0"/>
        <v>0</v>
      </c>
      <c r="I18" s="68">
        <v>0</v>
      </c>
    </row>
    <row r="19" spans="1:9" x14ac:dyDescent="0.55000000000000004">
      <c r="A19" s="48"/>
      <c r="B19" s="48"/>
      <c r="C19" s="2"/>
      <c r="D19" s="36"/>
      <c r="E19" s="36"/>
      <c r="F19" s="36"/>
      <c r="G19" s="36"/>
      <c r="H19" s="1">
        <f t="shared" si="0"/>
        <v>0</v>
      </c>
      <c r="I19" s="68">
        <v>0</v>
      </c>
    </row>
    <row r="20" spans="1:9" x14ac:dyDescent="0.55000000000000004">
      <c r="A20" s="48"/>
      <c r="B20" s="48"/>
      <c r="C20" s="2"/>
      <c r="D20" s="36"/>
      <c r="E20" s="36"/>
      <c r="F20" s="36"/>
      <c r="G20" s="36"/>
      <c r="H20" s="1">
        <f t="shared" si="0"/>
        <v>0</v>
      </c>
      <c r="I20" s="68">
        <v>0</v>
      </c>
    </row>
    <row r="21" spans="1:9" x14ac:dyDescent="0.55000000000000004">
      <c r="A21" s="48"/>
      <c r="B21" s="48"/>
      <c r="C21" s="2"/>
      <c r="D21" s="1"/>
      <c r="E21" s="1"/>
      <c r="F21" s="1"/>
      <c r="G21" s="1"/>
      <c r="H21" s="1">
        <f t="shared" si="0"/>
        <v>0</v>
      </c>
      <c r="I21" s="68">
        <v>0</v>
      </c>
    </row>
    <row r="22" spans="1:9" x14ac:dyDescent="0.55000000000000004">
      <c r="A22" s="48"/>
      <c r="B22" s="48"/>
      <c r="C22" s="2"/>
      <c r="D22" s="1"/>
      <c r="E22" s="1"/>
      <c r="F22" s="1"/>
      <c r="G22" s="1"/>
      <c r="H22" s="1">
        <f t="shared" si="0"/>
        <v>0</v>
      </c>
      <c r="I22" s="68">
        <v>0</v>
      </c>
    </row>
    <row r="23" spans="1:9" x14ac:dyDescent="0.55000000000000004">
      <c r="A23" s="48"/>
      <c r="B23" s="48"/>
      <c r="C23" s="2"/>
      <c r="D23" s="1"/>
      <c r="E23" s="1"/>
      <c r="F23" s="1"/>
      <c r="G23" s="1"/>
      <c r="H23" s="1">
        <f t="shared" si="0"/>
        <v>0</v>
      </c>
      <c r="I23" s="68">
        <v>0</v>
      </c>
    </row>
    <row r="24" spans="1:9" x14ac:dyDescent="0.55000000000000004">
      <c r="A24" s="48"/>
      <c r="B24" s="48"/>
      <c r="C24" s="2"/>
      <c r="D24" s="1"/>
      <c r="E24" s="1"/>
      <c r="F24" s="1"/>
      <c r="G24" s="1"/>
      <c r="H24" s="1">
        <f t="shared" si="0"/>
        <v>0</v>
      </c>
      <c r="I24" s="68">
        <v>0</v>
      </c>
    </row>
    <row r="25" spans="1:9" x14ac:dyDescent="0.55000000000000004">
      <c r="A25" s="48"/>
      <c r="B25" s="48"/>
      <c r="C25" s="2"/>
      <c r="D25" s="1"/>
      <c r="E25" s="1"/>
      <c r="F25" s="1"/>
      <c r="G25" s="1"/>
      <c r="H25" s="1">
        <f t="shared" si="0"/>
        <v>0</v>
      </c>
      <c r="I25" s="68">
        <v>0</v>
      </c>
    </row>
    <row r="26" spans="1:9" x14ac:dyDescent="0.55000000000000004">
      <c r="A26" s="48"/>
      <c r="B26" s="48"/>
      <c r="C26" s="2"/>
      <c r="D26" s="1"/>
      <c r="E26" s="1"/>
      <c r="F26" s="1"/>
      <c r="G26" s="1"/>
      <c r="H26" s="1">
        <f t="shared" si="0"/>
        <v>0</v>
      </c>
      <c r="I26" s="68">
        <v>0</v>
      </c>
    </row>
    <row r="27" spans="1:9" x14ac:dyDescent="0.55000000000000004">
      <c r="A27" s="48"/>
      <c r="B27" s="48"/>
      <c r="C27" s="2"/>
      <c r="D27" s="1"/>
      <c r="E27" s="1"/>
      <c r="F27" s="1"/>
      <c r="G27" s="1"/>
      <c r="H27" s="1">
        <f t="shared" si="0"/>
        <v>0</v>
      </c>
      <c r="I27" s="68">
        <v>0</v>
      </c>
    </row>
    <row r="28" spans="1:9" x14ac:dyDescent="0.55000000000000004">
      <c r="A28" s="48"/>
      <c r="B28" s="48"/>
      <c r="C28" s="2"/>
      <c r="D28" s="1"/>
      <c r="E28" s="1"/>
      <c r="F28" s="1"/>
      <c r="G28" s="1"/>
      <c r="H28" s="1">
        <f t="shared" si="0"/>
        <v>0</v>
      </c>
      <c r="I28" s="68">
        <v>0</v>
      </c>
    </row>
    <row r="29" spans="1:9" x14ac:dyDescent="0.55000000000000004">
      <c r="A29" s="48"/>
      <c r="B29" s="48"/>
      <c r="C29" s="2"/>
      <c r="D29" s="1"/>
      <c r="E29" s="1"/>
      <c r="F29" s="1"/>
      <c r="G29" s="1"/>
      <c r="H29" s="1">
        <f t="shared" si="0"/>
        <v>0</v>
      </c>
      <c r="I29" s="68">
        <v>0</v>
      </c>
    </row>
    <row r="30" spans="1:9" x14ac:dyDescent="0.55000000000000004">
      <c r="A30" s="48"/>
      <c r="B30" s="48"/>
      <c r="C30" s="2"/>
      <c r="D30" s="1"/>
      <c r="E30" s="1"/>
      <c r="F30" s="1"/>
      <c r="G30" s="1"/>
      <c r="H30" s="1">
        <f t="shared" si="0"/>
        <v>0</v>
      </c>
      <c r="I30" s="68">
        <v>0</v>
      </c>
    </row>
    <row r="31" spans="1:9" x14ac:dyDescent="0.55000000000000004">
      <c r="A31" s="48"/>
      <c r="B31" s="48"/>
      <c r="C31" s="2"/>
      <c r="D31" s="1"/>
      <c r="E31" s="1"/>
      <c r="F31" s="1"/>
      <c r="G31" s="1"/>
      <c r="H31" s="1">
        <f t="shared" si="0"/>
        <v>0</v>
      </c>
      <c r="I31" s="68">
        <v>0</v>
      </c>
    </row>
    <row r="32" spans="1:9" x14ac:dyDescent="0.55000000000000004">
      <c r="A32" s="48"/>
      <c r="B32" s="48"/>
      <c r="C32" s="2"/>
      <c r="D32" s="1"/>
      <c r="E32" s="1"/>
      <c r="F32" s="1"/>
      <c r="G32" s="1"/>
      <c r="H32" s="1">
        <f t="shared" si="0"/>
        <v>0</v>
      </c>
      <c r="I32" s="68">
        <v>0</v>
      </c>
    </row>
    <row r="33" spans="1:9" x14ac:dyDescent="0.55000000000000004">
      <c r="A33" s="48"/>
      <c r="B33" s="48"/>
      <c r="C33" s="2"/>
      <c r="D33" s="1"/>
      <c r="E33" s="1"/>
      <c r="F33" s="1"/>
      <c r="G33" s="1"/>
      <c r="H33" s="1">
        <f t="shared" si="0"/>
        <v>0</v>
      </c>
      <c r="I33" s="68">
        <v>0</v>
      </c>
    </row>
    <row r="34" spans="1:9" x14ac:dyDescent="0.55000000000000004">
      <c r="A34" s="48"/>
      <c r="B34" s="48"/>
      <c r="C34" s="2"/>
      <c r="D34" s="1"/>
      <c r="E34" s="1"/>
      <c r="F34" s="1"/>
      <c r="G34" s="1"/>
      <c r="H34" s="1">
        <f t="shared" si="0"/>
        <v>0</v>
      </c>
      <c r="I34" s="68">
        <v>0</v>
      </c>
    </row>
    <row r="35" spans="1:9" x14ac:dyDescent="0.55000000000000004">
      <c r="A35" s="48"/>
      <c r="B35" s="48"/>
      <c r="C35" s="2"/>
      <c r="D35" s="1"/>
      <c r="E35" s="1"/>
      <c r="F35" s="1"/>
      <c r="G35" s="1"/>
      <c r="H35" s="1">
        <f t="shared" si="0"/>
        <v>0</v>
      </c>
      <c r="I35" s="68">
        <v>0</v>
      </c>
    </row>
    <row r="36" spans="1:9" x14ac:dyDescent="0.55000000000000004">
      <c r="A36" s="48"/>
      <c r="B36" s="48"/>
      <c r="C36" s="2"/>
      <c r="D36" s="1"/>
      <c r="E36" s="1"/>
      <c r="F36" s="1"/>
      <c r="G36" s="1"/>
      <c r="H36" s="1">
        <f t="shared" ref="H36:H67" si="1">SUM(D36,E36)</f>
        <v>0</v>
      </c>
      <c r="I36" s="68">
        <v>0</v>
      </c>
    </row>
    <row r="37" spans="1:9" x14ac:dyDescent="0.55000000000000004">
      <c r="A37" s="48"/>
      <c r="B37" s="48"/>
      <c r="C37" s="2"/>
      <c r="D37" s="1"/>
      <c r="E37" s="1"/>
      <c r="F37" s="1"/>
      <c r="G37" s="1"/>
      <c r="H37" s="1">
        <f t="shared" si="1"/>
        <v>0</v>
      </c>
      <c r="I37" s="68">
        <v>0</v>
      </c>
    </row>
    <row r="38" spans="1:9" x14ac:dyDescent="0.55000000000000004">
      <c r="A38" s="48"/>
      <c r="B38" s="48"/>
      <c r="C38" s="2"/>
      <c r="D38" s="1"/>
      <c r="E38" s="1"/>
      <c r="F38" s="1"/>
      <c r="G38" s="1"/>
      <c r="H38" s="1">
        <f t="shared" si="1"/>
        <v>0</v>
      </c>
      <c r="I38" s="68">
        <v>0</v>
      </c>
    </row>
    <row r="39" spans="1:9" x14ac:dyDescent="0.55000000000000004">
      <c r="A39" s="48"/>
      <c r="B39" s="48"/>
      <c r="C39" s="2"/>
      <c r="D39" s="1"/>
      <c r="E39" s="1"/>
      <c r="F39" s="1"/>
      <c r="G39" s="1"/>
      <c r="H39" s="1">
        <f t="shared" si="1"/>
        <v>0</v>
      </c>
      <c r="I39" s="68">
        <v>0</v>
      </c>
    </row>
    <row r="40" spans="1:9" x14ac:dyDescent="0.55000000000000004">
      <c r="A40" s="48"/>
      <c r="B40" s="48"/>
      <c r="C40" s="2"/>
      <c r="D40" s="1"/>
      <c r="E40" s="1"/>
      <c r="F40" s="1"/>
      <c r="G40" s="1"/>
      <c r="H40" s="1">
        <f t="shared" si="1"/>
        <v>0</v>
      </c>
      <c r="I40" s="68">
        <v>0</v>
      </c>
    </row>
    <row r="41" spans="1:9" x14ac:dyDescent="0.55000000000000004">
      <c r="A41" s="48"/>
      <c r="B41" s="48"/>
      <c r="C41" s="2"/>
      <c r="D41" s="1"/>
      <c r="E41" s="1"/>
      <c r="F41" s="1"/>
      <c r="G41" s="1"/>
      <c r="H41" s="1">
        <f t="shared" si="1"/>
        <v>0</v>
      </c>
      <c r="I41" s="68">
        <v>0</v>
      </c>
    </row>
    <row r="42" spans="1:9" x14ac:dyDescent="0.55000000000000004">
      <c r="A42" s="48"/>
      <c r="B42" s="48"/>
      <c r="C42" s="2"/>
      <c r="D42" s="1"/>
      <c r="E42" s="1"/>
      <c r="F42" s="1"/>
      <c r="G42" s="1"/>
      <c r="H42" s="1">
        <f t="shared" si="1"/>
        <v>0</v>
      </c>
      <c r="I42" s="68">
        <v>0</v>
      </c>
    </row>
    <row r="43" spans="1:9" x14ac:dyDescent="0.55000000000000004">
      <c r="A43" s="48"/>
      <c r="B43" s="48"/>
      <c r="C43" s="2"/>
      <c r="D43" s="1"/>
      <c r="E43" s="1"/>
      <c r="F43" s="1"/>
      <c r="G43" s="1"/>
      <c r="H43" s="1">
        <f t="shared" si="1"/>
        <v>0</v>
      </c>
      <c r="I43" s="68">
        <v>0</v>
      </c>
    </row>
    <row r="44" spans="1:9" x14ac:dyDescent="0.55000000000000004">
      <c r="A44" s="48"/>
      <c r="B44" s="48"/>
      <c r="C44" s="2"/>
      <c r="D44" s="1"/>
      <c r="E44" s="1"/>
      <c r="F44" s="1"/>
      <c r="G44" s="1"/>
      <c r="H44" s="1">
        <f t="shared" si="1"/>
        <v>0</v>
      </c>
      <c r="I44" s="68">
        <v>0</v>
      </c>
    </row>
    <row r="45" spans="1:9" x14ac:dyDescent="0.55000000000000004">
      <c r="A45" s="48"/>
      <c r="B45" s="48"/>
      <c r="C45" s="2"/>
      <c r="D45" s="1"/>
      <c r="E45" s="1"/>
      <c r="F45" s="1"/>
      <c r="G45" s="1"/>
      <c r="H45" s="1">
        <f t="shared" si="1"/>
        <v>0</v>
      </c>
      <c r="I45" s="68">
        <v>0</v>
      </c>
    </row>
    <row r="46" spans="1:9" x14ac:dyDescent="0.55000000000000004">
      <c r="A46" s="48"/>
      <c r="B46" s="48"/>
      <c r="C46" s="2"/>
      <c r="D46" s="1"/>
      <c r="E46" s="1"/>
      <c r="F46" s="1"/>
      <c r="G46" s="1"/>
      <c r="H46" s="1">
        <f t="shared" si="1"/>
        <v>0</v>
      </c>
      <c r="I46" s="68">
        <v>0</v>
      </c>
    </row>
    <row r="47" spans="1:9" x14ac:dyDescent="0.55000000000000004">
      <c r="A47" s="48"/>
      <c r="B47" s="48"/>
      <c r="C47" s="2"/>
      <c r="D47" s="1"/>
      <c r="E47" s="1"/>
      <c r="F47" s="1"/>
      <c r="G47" s="1"/>
      <c r="H47" s="1">
        <f t="shared" si="1"/>
        <v>0</v>
      </c>
      <c r="I47" s="68">
        <v>0</v>
      </c>
    </row>
    <row r="48" spans="1:9" x14ac:dyDescent="0.55000000000000004">
      <c r="A48" s="48"/>
      <c r="B48" s="48"/>
      <c r="C48" s="2"/>
      <c r="D48" s="1"/>
      <c r="E48" s="1"/>
      <c r="F48" s="1"/>
      <c r="G48" s="1"/>
      <c r="H48" s="1">
        <f t="shared" si="1"/>
        <v>0</v>
      </c>
      <c r="I48" s="68">
        <v>0</v>
      </c>
    </row>
    <row r="49" spans="1:9" x14ac:dyDescent="0.55000000000000004">
      <c r="A49" s="48"/>
      <c r="B49" s="48"/>
      <c r="C49" s="2"/>
      <c r="D49" s="1"/>
      <c r="E49" s="1"/>
      <c r="F49" s="1"/>
      <c r="G49" s="1"/>
      <c r="H49" s="1">
        <f t="shared" si="1"/>
        <v>0</v>
      </c>
      <c r="I49" s="68">
        <v>0</v>
      </c>
    </row>
    <row r="50" spans="1:9" x14ac:dyDescent="0.55000000000000004">
      <c r="A50" s="48"/>
      <c r="B50" s="48"/>
      <c r="C50" s="2"/>
      <c r="D50" s="1"/>
      <c r="E50" s="1"/>
      <c r="F50" s="1"/>
      <c r="G50" s="1"/>
      <c r="H50" s="1">
        <f t="shared" si="1"/>
        <v>0</v>
      </c>
      <c r="I50" s="68">
        <v>0</v>
      </c>
    </row>
    <row r="51" spans="1:9" x14ac:dyDescent="0.55000000000000004">
      <c r="A51" s="48"/>
      <c r="B51" s="48"/>
      <c r="C51" s="2"/>
      <c r="D51" s="1"/>
      <c r="E51" s="1"/>
      <c r="F51" s="1"/>
      <c r="G51" s="1"/>
      <c r="H51" s="1">
        <f t="shared" si="1"/>
        <v>0</v>
      </c>
      <c r="I51" s="68">
        <v>0</v>
      </c>
    </row>
    <row r="52" spans="1:9" x14ac:dyDescent="0.55000000000000004">
      <c r="A52" s="48"/>
      <c r="B52" s="48"/>
      <c r="C52" s="2"/>
      <c r="D52" s="1"/>
      <c r="E52" s="1"/>
      <c r="F52" s="1"/>
      <c r="G52" s="1"/>
      <c r="H52" s="1">
        <f t="shared" si="1"/>
        <v>0</v>
      </c>
      <c r="I52" s="68">
        <v>0</v>
      </c>
    </row>
    <row r="53" spans="1:9" x14ac:dyDescent="0.55000000000000004">
      <c r="A53" s="48"/>
      <c r="B53" s="48"/>
      <c r="C53" s="2"/>
      <c r="D53" s="1"/>
      <c r="E53" s="1"/>
      <c r="F53" s="1"/>
      <c r="G53" s="1"/>
      <c r="H53" s="1">
        <f t="shared" si="1"/>
        <v>0</v>
      </c>
      <c r="I53" s="68">
        <v>0</v>
      </c>
    </row>
    <row r="54" spans="1:9" x14ac:dyDescent="0.55000000000000004">
      <c r="A54" s="48"/>
      <c r="B54" s="48"/>
      <c r="C54" s="2"/>
      <c r="D54" s="1"/>
      <c r="E54" s="1"/>
      <c r="F54" s="1"/>
      <c r="G54" s="1"/>
      <c r="H54" s="1">
        <f t="shared" si="1"/>
        <v>0</v>
      </c>
      <c r="I54" s="68">
        <v>0</v>
      </c>
    </row>
    <row r="55" spans="1:9" x14ac:dyDescent="0.55000000000000004">
      <c r="A55" s="48"/>
      <c r="B55" s="48"/>
      <c r="C55" s="2"/>
      <c r="D55" s="1"/>
      <c r="E55" s="1"/>
      <c r="F55" s="1"/>
      <c r="G55" s="1"/>
      <c r="H55" s="1">
        <f t="shared" si="1"/>
        <v>0</v>
      </c>
      <c r="I55" s="68">
        <v>0</v>
      </c>
    </row>
    <row r="56" spans="1:9" x14ac:dyDescent="0.55000000000000004">
      <c r="A56" s="48"/>
      <c r="B56" s="48"/>
      <c r="C56" s="2"/>
      <c r="D56" s="1"/>
      <c r="E56" s="1"/>
      <c r="F56" s="1"/>
      <c r="G56" s="1"/>
      <c r="H56" s="1">
        <f t="shared" si="1"/>
        <v>0</v>
      </c>
      <c r="I56" s="68">
        <v>0</v>
      </c>
    </row>
    <row r="57" spans="1:9" x14ac:dyDescent="0.55000000000000004">
      <c r="A57" s="48"/>
      <c r="B57" s="48"/>
      <c r="C57" s="2"/>
      <c r="D57" s="1"/>
      <c r="E57" s="1"/>
      <c r="F57" s="1"/>
      <c r="G57" s="1"/>
      <c r="H57" s="1">
        <f t="shared" si="1"/>
        <v>0</v>
      </c>
      <c r="I57" s="68">
        <v>0</v>
      </c>
    </row>
    <row r="58" spans="1:9" x14ac:dyDescent="0.55000000000000004">
      <c r="A58" s="48"/>
      <c r="B58" s="48"/>
      <c r="C58" s="2"/>
      <c r="D58" s="1"/>
      <c r="E58" s="1"/>
      <c r="F58" s="1"/>
      <c r="G58" s="1"/>
      <c r="H58" s="1">
        <f t="shared" si="1"/>
        <v>0</v>
      </c>
      <c r="I58" s="68">
        <v>0</v>
      </c>
    </row>
    <row r="59" spans="1:9" x14ac:dyDescent="0.55000000000000004">
      <c r="A59" s="48"/>
      <c r="B59" s="48"/>
      <c r="C59" s="2"/>
      <c r="D59" s="1"/>
      <c r="E59" s="1"/>
      <c r="F59" s="1"/>
      <c r="G59" s="1"/>
      <c r="H59" s="1">
        <f t="shared" si="1"/>
        <v>0</v>
      </c>
      <c r="I59" s="68">
        <v>0</v>
      </c>
    </row>
    <row r="60" spans="1:9" x14ac:dyDescent="0.55000000000000004">
      <c r="A60" s="48"/>
      <c r="B60" s="48"/>
      <c r="C60" s="2"/>
      <c r="D60" s="1"/>
      <c r="E60" s="1"/>
      <c r="F60" s="1"/>
      <c r="G60" s="1"/>
      <c r="H60" s="1">
        <f t="shared" si="1"/>
        <v>0</v>
      </c>
      <c r="I60" s="68">
        <v>0</v>
      </c>
    </row>
    <row r="61" spans="1:9" x14ac:dyDescent="0.55000000000000004">
      <c r="A61" s="48"/>
      <c r="B61" s="48"/>
      <c r="C61" s="2"/>
      <c r="D61" s="1"/>
      <c r="E61" s="1"/>
      <c r="F61" s="1"/>
      <c r="G61" s="1"/>
      <c r="H61" s="1">
        <f t="shared" si="1"/>
        <v>0</v>
      </c>
      <c r="I61" s="68">
        <v>0</v>
      </c>
    </row>
    <row r="62" spans="1:9" x14ac:dyDescent="0.55000000000000004">
      <c r="A62" s="48"/>
      <c r="B62" s="48"/>
      <c r="C62" s="2"/>
      <c r="D62" s="1"/>
      <c r="E62" s="1"/>
      <c r="F62" s="1"/>
      <c r="G62" s="1"/>
      <c r="H62" s="1">
        <f t="shared" si="1"/>
        <v>0</v>
      </c>
      <c r="I62" s="68">
        <v>0</v>
      </c>
    </row>
    <row r="63" spans="1:9" x14ac:dyDescent="0.55000000000000004">
      <c r="A63" s="48"/>
      <c r="B63" s="48"/>
      <c r="C63" s="2"/>
      <c r="D63" s="1"/>
      <c r="E63" s="1"/>
      <c r="F63" s="1"/>
      <c r="G63" s="1"/>
      <c r="H63" s="1">
        <f t="shared" si="1"/>
        <v>0</v>
      </c>
      <c r="I63" s="68">
        <v>0</v>
      </c>
    </row>
    <row r="64" spans="1:9" x14ac:dyDescent="0.55000000000000004">
      <c r="A64" s="48"/>
      <c r="B64" s="48"/>
      <c r="C64" s="2"/>
      <c r="D64" s="1"/>
      <c r="E64" s="1"/>
      <c r="F64" s="1"/>
      <c r="G64" s="1"/>
      <c r="H64" s="1">
        <f t="shared" si="1"/>
        <v>0</v>
      </c>
      <c r="I64" s="68">
        <v>0</v>
      </c>
    </row>
    <row r="65" spans="1:9" x14ac:dyDescent="0.55000000000000004">
      <c r="A65" s="48"/>
      <c r="B65" s="48"/>
      <c r="C65" s="2"/>
      <c r="D65" s="1"/>
      <c r="E65" s="1"/>
      <c r="F65" s="1"/>
      <c r="G65" s="1"/>
      <c r="H65" s="1">
        <f t="shared" si="1"/>
        <v>0</v>
      </c>
      <c r="I65" s="68">
        <v>0</v>
      </c>
    </row>
    <row r="66" spans="1:9" x14ac:dyDescent="0.55000000000000004">
      <c r="A66" s="48"/>
      <c r="B66" s="48"/>
      <c r="C66" s="2"/>
      <c r="D66" s="1"/>
      <c r="E66" s="1"/>
      <c r="F66" s="1"/>
      <c r="G66" s="1"/>
      <c r="H66" s="1">
        <f t="shared" si="1"/>
        <v>0</v>
      </c>
      <c r="I66" s="68">
        <v>0</v>
      </c>
    </row>
    <row r="67" spans="1:9" x14ac:dyDescent="0.55000000000000004">
      <c r="A67" s="48"/>
      <c r="B67" s="48"/>
      <c r="C67" s="2"/>
      <c r="D67" s="1"/>
      <c r="E67" s="1"/>
      <c r="F67" s="1"/>
      <c r="G67" s="1"/>
      <c r="H67" s="1">
        <f t="shared" si="1"/>
        <v>0</v>
      </c>
      <c r="I67" s="68">
        <v>0</v>
      </c>
    </row>
    <row r="68" spans="1:9" x14ac:dyDescent="0.55000000000000004">
      <c r="A68" s="48"/>
      <c r="B68" s="48"/>
      <c r="C68" s="2"/>
      <c r="D68" s="1"/>
      <c r="E68" s="1"/>
      <c r="F68" s="1"/>
      <c r="G68" s="1"/>
      <c r="H68" s="1">
        <f t="shared" ref="H68:H90" si="2">SUM(D68,E68)</f>
        <v>0</v>
      </c>
      <c r="I68" s="68">
        <v>0</v>
      </c>
    </row>
    <row r="69" spans="1:9" x14ac:dyDescent="0.55000000000000004">
      <c r="A69" s="48"/>
      <c r="B69" s="48"/>
      <c r="C69" s="2"/>
      <c r="D69" s="1"/>
      <c r="E69" s="1"/>
      <c r="F69" s="1"/>
      <c r="G69" s="1"/>
      <c r="H69" s="1">
        <f t="shared" si="2"/>
        <v>0</v>
      </c>
      <c r="I69" s="68">
        <v>0</v>
      </c>
    </row>
    <row r="70" spans="1:9" x14ac:dyDescent="0.55000000000000004">
      <c r="A70" s="48"/>
      <c r="B70" s="48"/>
      <c r="C70" s="2"/>
      <c r="D70" s="1"/>
      <c r="E70" s="1"/>
      <c r="F70" s="1"/>
      <c r="G70" s="1"/>
      <c r="H70" s="1">
        <f t="shared" si="2"/>
        <v>0</v>
      </c>
      <c r="I70" s="68">
        <v>0</v>
      </c>
    </row>
    <row r="71" spans="1:9" x14ac:dyDescent="0.55000000000000004">
      <c r="A71" s="48"/>
      <c r="B71" s="48"/>
      <c r="C71" s="2"/>
      <c r="D71" s="1"/>
      <c r="E71" s="1"/>
      <c r="F71" s="1"/>
      <c r="G71" s="1"/>
      <c r="H71" s="1">
        <f t="shared" si="2"/>
        <v>0</v>
      </c>
      <c r="I71" s="68">
        <v>0</v>
      </c>
    </row>
    <row r="72" spans="1:9" x14ac:dyDescent="0.55000000000000004">
      <c r="A72" s="48"/>
      <c r="B72" s="48"/>
      <c r="C72" s="2"/>
      <c r="D72" s="1"/>
      <c r="E72" s="1"/>
      <c r="F72" s="1"/>
      <c r="G72" s="1"/>
      <c r="H72" s="1">
        <f t="shared" si="2"/>
        <v>0</v>
      </c>
      <c r="I72" s="68">
        <v>0</v>
      </c>
    </row>
    <row r="73" spans="1:9" x14ac:dyDescent="0.55000000000000004">
      <c r="A73" s="48"/>
      <c r="B73" s="48"/>
      <c r="C73" s="2"/>
      <c r="D73" s="1"/>
      <c r="E73" s="1"/>
      <c r="F73" s="1"/>
      <c r="G73" s="1"/>
      <c r="H73" s="1">
        <f t="shared" si="2"/>
        <v>0</v>
      </c>
      <c r="I73" s="68">
        <v>0</v>
      </c>
    </row>
    <row r="74" spans="1:9" x14ac:dyDescent="0.55000000000000004">
      <c r="A74" s="48"/>
      <c r="B74" s="48"/>
      <c r="C74" s="2"/>
      <c r="D74" s="1"/>
      <c r="E74" s="1"/>
      <c r="F74" s="1"/>
      <c r="G74" s="1"/>
      <c r="H74" s="1">
        <f t="shared" si="2"/>
        <v>0</v>
      </c>
      <c r="I74" s="68">
        <v>0</v>
      </c>
    </row>
    <row r="75" spans="1:9" x14ac:dyDescent="0.55000000000000004">
      <c r="A75" s="48"/>
      <c r="B75" s="48"/>
      <c r="C75" s="2"/>
      <c r="D75" s="1"/>
      <c r="E75" s="1"/>
      <c r="F75" s="1"/>
      <c r="G75" s="1"/>
      <c r="H75" s="1">
        <f t="shared" si="2"/>
        <v>0</v>
      </c>
      <c r="I75" s="68">
        <v>0</v>
      </c>
    </row>
    <row r="76" spans="1:9" x14ac:dyDescent="0.55000000000000004">
      <c r="A76" s="48"/>
      <c r="B76" s="48"/>
      <c r="C76" s="2"/>
      <c r="D76" s="1"/>
      <c r="E76" s="1"/>
      <c r="F76" s="1"/>
      <c r="G76" s="1"/>
      <c r="H76" s="1">
        <f t="shared" si="2"/>
        <v>0</v>
      </c>
      <c r="I76" s="68">
        <v>0</v>
      </c>
    </row>
    <row r="77" spans="1:9" x14ac:dyDescent="0.55000000000000004">
      <c r="A77" s="48"/>
      <c r="B77" s="48"/>
      <c r="C77" s="2"/>
      <c r="D77" s="1"/>
      <c r="E77" s="1"/>
      <c r="F77" s="1"/>
      <c r="G77" s="1"/>
      <c r="H77" s="1">
        <f t="shared" si="2"/>
        <v>0</v>
      </c>
      <c r="I77" s="68">
        <v>0</v>
      </c>
    </row>
    <row r="78" spans="1:9" x14ac:dyDescent="0.55000000000000004">
      <c r="A78" s="48"/>
      <c r="B78" s="48"/>
      <c r="C78" s="2"/>
      <c r="D78" s="1"/>
      <c r="E78" s="1"/>
      <c r="F78" s="1"/>
      <c r="G78" s="1"/>
      <c r="H78" s="1">
        <f t="shared" si="2"/>
        <v>0</v>
      </c>
      <c r="I78" s="68">
        <v>0</v>
      </c>
    </row>
    <row r="79" spans="1:9" x14ac:dyDescent="0.55000000000000004">
      <c r="A79" s="48"/>
      <c r="B79" s="48"/>
      <c r="C79" s="2"/>
      <c r="D79" s="1"/>
      <c r="E79" s="1"/>
      <c r="F79" s="1"/>
      <c r="G79" s="1"/>
      <c r="H79" s="1">
        <f t="shared" si="2"/>
        <v>0</v>
      </c>
      <c r="I79" s="68">
        <v>0</v>
      </c>
    </row>
    <row r="80" spans="1:9" x14ac:dyDescent="0.55000000000000004">
      <c r="A80" s="48"/>
      <c r="B80" s="48"/>
      <c r="C80" s="2"/>
      <c r="D80" s="1"/>
      <c r="E80" s="1"/>
      <c r="F80" s="1"/>
      <c r="G80" s="1"/>
      <c r="H80" s="1">
        <f t="shared" si="2"/>
        <v>0</v>
      </c>
      <c r="I80" s="68">
        <v>0</v>
      </c>
    </row>
    <row r="81" spans="1:9" x14ac:dyDescent="0.55000000000000004">
      <c r="A81" s="48"/>
      <c r="B81" s="48"/>
      <c r="C81" s="2"/>
      <c r="D81" s="1"/>
      <c r="E81" s="1"/>
      <c r="F81" s="1"/>
      <c r="G81" s="1"/>
      <c r="H81" s="1">
        <f t="shared" si="2"/>
        <v>0</v>
      </c>
      <c r="I81" s="68">
        <v>0</v>
      </c>
    </row>
    <row r="82" spans="1:9" x14ac:dyDescent="0.55000000000000004">
      <c r="A82" s="48"/>
      <c r="B82" s="48"/>
      <c r="C82" s="2"/>
      <c r="D82" s="1"/>
      <c r="E82" s="1"/>
      <c r="F82" s="1"/>
      <c r="G82" s="1"/>
      <c r="H82" s="1">
        <f t="shared" si="2"/>
        <v>0</v>
      </c>
      <c r="I82" s="68">
        <v>0</v>
      </c>
    </row>
    <row r="83" spans="1:9" x14ac:dyDescent="0.55000000000000004">
      <c r="A83" s="48"/>
      <c r="B83" s="48"/>
      <c r="C83" s="2"/>
      <c r="D83" s="1"/>
      <c r="E83" s="1"/>
      <c r="F83" s="1"/>
      <c r="G83" s="1"/>
      <c r="H83" s="1">
        <f t="shared" si="2"/>
        <v>0</v>
      </c>
      <c r="I83" s="68">
        <v>0</v>
      </c>
    </row>
    <row r="84" spans="1:9" x14ac:dyDescent="0.55000000000000004">
      <c r="A84" s="48"/>
      <c r="B84" s="48"/>
      <c r="C84" s="2"/>
      <c r="D84" s="1"/>
      <c r="E84" s="1"/>
      <c r="F84" s="1"/>
      <c r="G84" s="1"/>
      <c r="H84" s="1">
        <f t="shared" si="2"/>
        <v>0</v>
      </c>
      <c r="I84" s="68">
        <v>0</v>
      </c>
    </row>
    <row r="85" spans="1:9" x14ac:dyDescent="0.55000000000000004">
      <c r="A85" s="48"/>
      <c r="B85" s="48"/>
      <c r="C85" s="2"/>
      <c r="D85" s="1"/>
      <c r="E85" s="1"/>
      <c r="F85" s="1"/>
      <c r="G85" s="1"/>
      <c r="H85" s="1">
        <f t="shared" si="2"/>
        <v>0</v>
      </c>
      <c r="I85" s="68">
        <v>0</v>
      </c>
    </row>
    <row r="86" spans="1:9" x14ac:dyDescent="0.55000000000000004">
      <c r="A86" s="48"/>
      <c r="B86" s="48"/>
      <c r="C86" s="2"/>
      <c r="D86" s="1"/>
      <c r="E86" s="1"/>
      <c r="F86" s="1"/>
      <c r="G86" s="1"/>
      <c r="H86" s="1">
        <f t="shared" si="2"/>
        <v>0</v>
      </c>
      <c r="I86" s="68">
        <v>0</v>
      </c>
    </row>
    <row r="87" spans="1:9" x14ac:dyDescent="0.55000000000000004">
      <c r="A87" s="48"/>
      <c r="B87" s="48"/>
      <c r="C87" s="2"/>
      <c r="D87" s="1"/>
      <c r="E87" s="1"/>
      <c r="F87" s="1"/>
      <c r="G87" s="1"/>
      <c r="H87" s="1">
        <f t="shared" si="2"/>
        <v>0</v>
      </c>
      <c r="I87" s="68">
        <v>0</v>
      </c>
    </row>
    <row r="88" spans="1:9" x14ac:dyDescent="0.55000000000000004">
      <c r="A88" s="48"/>
      <c r="B88" s="48"/>
      <c r="C88" s="2"/>
      <c r="D88" s="1"/>
      <c r="E88" s="1"/>
      <c r="F88" s="1"/>
      <c r="G88" s="1"/>
      <c r="H88" s="1">
        <f t="shared" si="2"/>
        <v>0</v>
      </c>
      <c r="I88" s="68">
        <v>0</v>
      </c>
    </row>
    <row r="89" spans="1:9" x14ac:dyDescent="0.55000000000000004">
      <c r="A89" s="48"/>
      <c r="B89" s="48"/>
      <c r="C89" s="2"/>
      <c r="D89" s="1"/>
      <c r="E89" s="1"/>
      <c r="F89" s="1"/>
      <c r="G89" s="1"/>
      <c r="H89" s="1">
        <f t="shared" si="2"/>
        <v>0</v>
      </c>
      <c r="I89" s="68">
        <v>0</v>
      </c>
    </row>
    <row r="90" spans="1:9" x14ac:dyDescent="0.55000000000000004">
      <c r="A90" s="48"/>
      <c r="B90" s="48"/>
      <c r="C90" s="2"/>
      <c r="D90" s="1"/>
      <c r="E90" s="1"/>
      <c r="F90" s="1"/>
      <c r="G90" s="1"/>
      <c r="H90" s="1">
        <f t="shared" si="2"/>
        <v>0</v>
      </c>
      <c r="I90" s="68">
        <v>0</v>
      </c>
    </row>
    <row r="91" spans="1:9" x14ac:dyDescent="0.55000000000000004">
      <c r="A91" s="41" t="s">
        <v>86</v>
      </c>
      <c r="B91" s="41"/>
      <c r="C91" s="38"/>
      <c r="D91" s="39">
        <f>SUBTOTAL(109,テーブル1342[ケアレスミス])</f>
        <v>1</v>
      </c>
      <c r="E91" s="39">
        <f>SUBTOTAL(109,テーブル1342[解釈])</f>
        <v>1</v>
      </c>
      <c r="F91" s="39">
        <f>SUBTOTAL(109,テーブル1342[マニュアル])</f>
        <v>1</v>
      </c>
      <c r="G91" s="39">
        <f>SUBTOTAL(109,テーブル1342[その他])</f>
        <v>0</v>
      </c>
      <c r="H91" s="39">
        <f>SUBTOTAL(109,テーブル1342[FB数合計])</f>
        <v>2</v>
      </c>
      <c r="I91" s="69">
        <f>SUBTOTAL(109,テーブル1342[インシデント])</f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55CA1-D284-4E40-AA91-D91BFBB5EF63}">
  <sheetPr codeName="Sheet32">
    <tabColor theme="7" tint="-0.249977111117893"/>
  </sheetPr>
  <dimension ref="B3:AE172"/>
  <sheetViews>
    <sheetView topLeftCell="B1" workbookViewId="0">
      <selection activeCell="O17" sqref="O17:O18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  <col min="19" max="20" width="10.25" bestFit="1" customWidth="1"/>
    <col min="21" max="23" width="11.3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505</v>
      </c>
    </row>
    <row r="22" spans="2:31" x14ac:dyDescent="0.55000000000000004">
      <c r="C22" s="28"/>
    </row>
    <row r="27" spans="2:31" x14ac:dyDescent="0.55000000000000004">
      <c r="B27" s="1" t="s">
        <v>67</v>
      </c>
      <c r="C27" s="44">
        <v>45536</v>
      </c>
      <c r="D27" s="44">
        <v>45566</v>
      </c>
      <c r="E27" s="44">
        <v>45597</v>
      </c>
      <c r="F27" s="44">
        <v>45627</v>
      </c>
      <c r="G27" s="44">
        <v>45658</v>
      </c>
      <c r="H27" s="44">
        <v>45689</v>
      </c>
      <c r="I27" s="44">
        <v>45717</v>
      </c>
      <c r="J27" s="44">
        <v>45748</v>
      </c>
      <c r="K27" s="44">
        <v>45778</v>
      </c>
      <c r="L27" s="44">
        <v>45809</v>
      </c>
      <c r="M27" s="44">
        <v>45839</v>
      </c>
      <c r="N27" s="44">
        <v>45870</v>
      </c>
      <c r="O27" s="44"/>
      <c r="P27" s="44"/>
      <c r="Q27" s="44"/>
      <c r="R27" s="44"/>
    </row>
    <row r="28" spans="2:31" x14ac:dyDescent="0.55000000000000004">
      <c r="B28" s="1" t="s">
        <v>40</v>
      </c>
      <c r="C28" s="1">
        <v>0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AE28">
        <v>2</v>
      </c>
    </row>
    <row r="29" spans="2:31" x14ac:dyDescent="0.55000000000000004">
      <c r="B29" s="1" t="s">
        <v>147</v>
      </c>
      <c r="C29" s="1">
        <v>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AE29">
        <v>0</v>
      </c>
    </row>
    <row r="30" spans="2:31" x14ac:dyDescent="0.55000000000000004">
      <c r="B30" s="1" t="s">
        <v>148</v>
      </c>
      <c r="C30" s="1">
        <v>0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AE30">
        <v>0</v>
      </c>
    </row>
    <row r="31" spans="2:31" x14ac:dyDescent="0.55000000000000004">
      <c r="B31" s="1" t="s">
        <v>99</v>
      </c>
      <c r="C31" s="1">
        <v>0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AE31">
        <v>0</v>
      </c>
    </row>
    <row r="32" spans="2:31" x14ac:dyDescent="0.55000000000000004">
      <c r="B32" s="1" t="s">
        <v>366</v>
      </c>
      <c r="C32" s="1">
        <v>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AE32">
        <v>0</v>
      </c>
    </row>
    <row r="33" spans="2:31" x14ac:dyDescent="0.55000000000000004">
      <c r="B33" s="1" t="s">
        <v>2</v>
      </c>
      <c r="C33" s="1">
        <v>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AE33">
        <v>0</v>
      </c>
    </row>
    <row r="34" spans="2:31" x14ac:dyDescent="0.55000000000000004">
      <c r="B34" s="1" t="s">
        <v>15</v>
      </c>
      <c r="C34" s="1">
        <v>0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AE34">
        <v>0</v>
      </c>
    </row>
    <row r="35" spans="2:31" x14ac:dyDescent="0.55000000000000004">
      <c r="B35" s="1" t="s">
        <v>367</v>
      </c>
      <c r="C35" s="1">
        <v>0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AE35">
        <v>0</v>
      </c>
    </row>
    <row r="36" spans="2:31" x14ac:dyDescent="0.55000000000000004">
      <c r="B36" s="1" t="s">
        <v>163</v>
      </c>
      <c r="C36" s="1">
        <v>0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AE36">
        <v>0</v>
      </c>
    </row>
    <row r="37" spans="2:31" x14ac:dyDescent="0.55000000000000004">
      <c r="B37" s="1" t="s">
        <v>522</v>
      </c>
      <c r="C37" s="1">
        <v>1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AE37">
        <v>0</v>
      </c>
    </row>
    <row r="40" spans="2:31" x14ac:dyDescent="0.55000000000000004">
      <c r="B40" s="43" t="s">
        <v>506</v>
      </c>
    </row>
    <row r="60" spans="2:31" x14ac:dyDescent="0.55000000000000004">
      <c r="B60" s="1" t="s">
        <v>67</v>
      </c>
      <c r="C60" s="44">
        <v>45536</v>
      </c>
      <c r="D60" s="44">
        <v>45566</v>
      </c>
      <c r="E60" s="44">
        <v>45597</v>
      </c>
      <c r="F60" s="44">
        <v>45627</v>
      </c>
      <c r="G60" s="44">
        <v>45658</v>
      </c>
      <c r="H60" s="44">
        <v>45689</v>
      </c>
      <c r="I60" s="44">
        <v>45717</v>
      </c>
      <c r="J60" s="44">
        <v>45748</v>
      </c>
      <c r="K60" s="44">
        <v>45778</v>
      </c>
      <c r="L60" s="44">
        <v>45809</v>
      </c>
      <c r="M60" s="44">
        <v>45839</v>
      </c>
      <c r="N60" s="44">
        <v>45870</v>
      </c>
      <c r="O60" s="44"/>
      <c r="P60" s="44"/>
      <c r="Q60" s="44"/>
      <c r="R60" s="44"/>
    </row>
    <row r="61" spans="2:31" x14ac:dyDescent="0.55000000000000004">
      <c r="B61" s="1" t="s">
        <v>40</v>
      </c>
      <c r="C61" s="1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AE61">
        <v>0</v>
      </c>
    </row>
    <row r="62" spans="2:31" x14ac:dyDescent="0.55000000000000004">
      <c r="B62" s="1" t="s">
        <v>147</v>
      </c>
      <c r="C62" s="1">
        <v>1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AE62">
        <v>0</v>
      </c>
    </row>
    <row r="63" spans="2:31" x14ac:dyDescent="0.55000000000000004">
      <c r="B63" s="1" t="s">
        <v>148</v>
      </c>
      <c r="C63" s="1">
        <v>0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AE63">
        <v>0</v>
      </c>
    </row>
    <row r="64" spans="2:31" x14ac:dyDescent="0.55000000000000004">
      <c r="B64" s="1" t="s">
        <v>99</v>
      </c>
      <c r="C64" s="1">
        <v>0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AE64">
        <v>0</v>
      </c>
    </row>
    <row r="65" spans="2:31" x14ac:dyDescent="0.55000000000000004">
      <c r="B65" s="1" t="s">
        <v>366</v>
      </c>
      <c r="C65" s="1">
        <v>0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AE65">
        <v>0</v>
      </c>
    </row>
    <row r="66" spans="2:31" x14ac:dyDescent="0.55000000000000004">
      <c r="B66" s="1" t="s">
        <v>2</v>
      </c>
      <c r="C66" s="1">
        <v>0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AE66">
        <v>0</v>
      </c>
    </row>
    <row r="67" spans="2:31" x14ac:dyDescent="0.55000000000000004">
      <c r="B67" s="1" t="s">
        <v>15</v>
      </c>
      <c r="C67" s="1">
        <v>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AE67">
        <v>0</v>
      </c>
    </row>
    <row r="68" spans="2:31" x14ac:dyDescent="0.55000000000000004">
      <c r="B68" s="1" t="s">
        <v>367</v>
      </c>
      <c r="C68" s="1">
        <v>0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AE68">
        <v>0</v>
      </c>
    </row>
    <row r="69" spans="2:31" x14ac:dyDescent="0.55000000000000004">
      <c r="B69" s="1" t="s">
        <v>163</v>
      </c>
      <c r="C69" s="1">
        <v>0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AE69">
        <v>0</v>
      </c>
    </row>
    <row r="70" spans="2:31" x14ac:dyDescent="0.55000000000000004">
      <c r="B70" s="1" t="s">
        <v>522</v>
      </c>
      <c r="C70" s="1">
        <v>0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AE70">
        <v>0</v>
      </c>
    </row>
    <row r="72" spans="2:31" x14ac:dyDescent="0.55000000000000004">
      <c r="B72" s="43" t="s">
        <v>507</v>
      </c>
    </row>
    <row r="73" spans="2:31" x14ac:dyDescent="0.55000000000000004">
      <c r="B73" s="43"/>
    </row>
    <row r="74" spans="2:31" x14ac:dyDescent="0.55000000000000004">
      <c r="B74" s="43"/>
    </row>
    <row r="75" spans="2:31" x14ac:dyDescent="0.55000000000000004">
      <c r="B75" s="43"/>
    </row>
    <row r="76" spans="2:31" x14ac:dyDescent="0.55000000000000004">
      <c r="B76" s="43"/>
    </row>
    <row r="77" spans="2:31" x14ac:dyDescent="0.55000000000000004">
      <c r="B77" s="43"/>
    </row>
    <row r="78" spans="2:31" x14ac:dyDescent="0.55000000000000004">
      <c r="B78" s="43"/>
    </row>
    <row r="79" spans="2:31" x14ac:dyDescent="0.55000000000000004">
      <c r="B79" s="43"/>
    </row>
    <row r="80" spans="2:31" x14ac:dyDescent="0.55000000000000004">
      <c r="B80" s="43"/>
    </row>
    <row r="81" spans="2:31" x14ac:dyDescent="0.55000000000000004">
      <c r="B81" s="43"/>
    </row>
    <row r="82" spans="2:31" x14ac:dyDescent="0.55000000000000004">
      <c r="B82" s="43"/>
    </row>
    <row r="83" spans="2:31" x14ac:dyDescent="0.55000000000000004">
      <c r="B83" s="43"/>
    </row>
    <row r="84" spans="2:31" x14ac:dyDescent="0.55000000000000004">
      <c r="B84" s="43"/>
    </row>
    <row r="94" spans="2:31" x14ac:dyDescent="0.55000000000000004">
      <c r="B94" s="1" t="s">
        <v>67</v>
      </c>
      <c r="C94" s="44">
        <v>45536</v>
      </c>
      <c r="D94" s="44">
        <v>45566</v>
      </c>
      <c r="E94" s="44">
        <v>45597</v>
      </c>
      <c r="F94" s="44">
        <v>45627</v>
      </c>
      <c r="G94" s="44">
        <v>45658</v>
      </c>
      <c r="H94" s="44">
        <v>45689</v>
      </c>
      <c r="I94" s="44">
        <v>45717</v>
      </c>
      <c r="J94" s="44">
        <v>45748</v>
      </c>
      <c r="K94" s="44">
        <v>45778</v>
      </c>
      <c r="L94" s="44">
        <v>45809</v>
      </c>
      <c r="M94" s="44">
        <v>45839</v>
      </c>
      <c r="N94" s="44">
        <v>45870</v>
      </c>
      <c r="O94" s="44"/>
      <c r="P94" s="44"/>
      <c r="Q94" s="44"/>
      <c r="R94" s="44"/>
    </row>
    <row r="95" spans="2:31" x14ac:dyDescent="0.55000000000000004">
      <c r="B95" s="1" t="s">
        <v>40</v>
      </c>
      <c r="C95" s="1">
        <v>0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AE95">
        <v>0</v>
      </c>
    </row>
    <row r="96" spans="2:31" x14ac:dyDescent="0.55000000000000004">
      <c r="B96" s="1" t="s">
        <v>147</v>
      </c>
      <c r="C96" s="1">
        <v>0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AE96">
        <v>0</v>
      </c>
    </row>
    <row r="97" spans="2:31" x14ac:dyDescent="0.55000000000000004">
      <c r="B97" s="1" t="s">
        <v>148</v>
      </c>
      <c r="C97" s="1">
        <v>0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AE97">
        <v>0</v>
      </c>
    </row>
    <row r="98" spans="2:31" x14ac:dyDescent="0.55000000000000004">
      <c r="B98" s="1" t="s">
        <v>99</v>
      </c>
      <c r="C98" s="1">
        <v>0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AE98">
        <v>0</v>
      </c>
    </row>
    <row r="99" spans="2:31" x14ac:dyDescent="0.55000000000000004">
      <c r="B99" s="1" t="s">
        <v>366</v>
      </c>
      <c r="C99" s="1">
        <v>0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AE99">
        <v>0</v>
      </c>
    </row>
    <row r="100" spans="2:31" x14ac:dyDescent="0.55000000000000004">
      <c r="B100" s="1" t="s">
        <v>2</v>
      </c>
      <c r="C100" s="1">
        <v>0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AE100">
        <v>0</v>
      </c>
    </row>
    <row r="101" spans="2:31" x14ac:dyDescent="0.55000000000000004">
      <c r="B101" s="1" t="s">
        <v>15</v>
      </c>
      <c r="C101" s="1">
        <v>0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AE101">
        <v>0</v>
      </c>
    </row>
    <row r="102" spans="2:31" x14ac:dyDescent="0.55000000000000004">
      <c r="B102" s="1" t="s">
        <v>367</v>
      </c>
      <c r="C102" s="1">
        <v>0</v>
      </c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AE102">
        <v>0</v>
      </c>
    </row>
    <row r="103" spans="2:31" x14ac:dyDescent="0.55000000000000004">
      <c r="B103" s="1" t="s">
        <v>163</v>
      </c>
      <c r="C103" s="1">
        <v>0</v>
      </c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AE103">
        <v>0</v>
      </c>
    </row>
    <row r="104" spans="2:31" x14ac:dyDescent="0.55000000000000004">
      <c r="B104" s="1" t="s">
        <v>522</v>
      </c>
      <c r="C104" s="1">
        <v>1</v>
      </c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AE104">
        <v>0</v>
      </c>
    </row>
    <row r="106" spans="2:31" x14ac:dyDescent="0.55000000000000004">
      <c r="B106" s="43" t="s">
        <v>508</v>
      </c>
    </row>
    <row r="107" spans="2:31" x14ac:dyDescent="0.55000000000000004">
      <c r="B107" s="43"/>
    </row>
    <row r="108" spans="2:31" x14ac:dyDescent="0.55000000000000004">
      <c r="B108" s="43"/>
    </row>
    <row r="109" spans="2:31" x14ac:dyDescent="0.55000000000000004">
      <c r="B109" s="43"/>
    </row>
    <row r="110" spans="2:31" x14ac:dyDescent="0.55000000000000004">
      <c r="B110" s="43"/>
    </row>
    <row r="111" spans="2:31" x14ac:dyDescent="0.55000000000000004">
      <c r="B111" s="43"/>
    </row>
    <row r="112" spans="2:31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45536</v>
      </c>
      <c r="D128" s="44">
        <v>45566</v>
      </c>
      <c r="E128" s="44">
        <v>45597</v>
      </c>
      <c r="F128" s="44">
        <v>45627</v>
      </c>
      <c r="G128" s="44">
        <v>45658</v>
      </c>
      <c r="H128" s="44">
        <v>45689</v>
      </c>
      <c r="I128" s="44">
        <v>45717</v>
      </c>
      <c r="J128" s="44">
        <v>45748</v>
      </c>
      <c r="K128" s="44">
        <v>45778</v>
      </c>
      <c r="L128" s="44">
        <v>45809</v>
      </c>
      <c r="M128" s="44">
        <v>45839</v>
      </c>
      <c r="N128" s="44">
        <v>45870</v>
      </c>
      <c r="O128" s="44"/>
      <c r="P128" s="44"/>
      <c r="Q128" s="44"/>
      <c r="R128" s="44"/>
    </row>
    <row r="129" spans="2:31" x14ac:dyDescent="0.55000000000000004">
      <c r="B129" s="1" t="s">
        <v>40</v>
      </c>
      <c r="C129" s="1">
        <v>0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AE129">
        <v>0</v>
      </c>
    </row>
    <row r="130" spans="2:31" x14ac:dyDescent="0.55000000000000004">
      <c r="B130" s="1" t="s">
        <v>147</v>
      </c>
      <c r="C130" s="1">
        <v>0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AE130">
        <v>0</v>
      </c>
    </row>
    <row r="131" spans="2:31" x14ac:dyDescent="0.55000000000000004">
      <c r="B131" s="1" t="s">
        <v>148</v>
      </c>
      <c r="C131" s="1">
        <v>0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AE131">
        <v>0</v>
      </c>
    </row>
    <row r="132" spans="2:31" x14ac:dyDescent="0.55000000000000004">
      <c r="B132" s="1" t="s">
        <v>99</v>
      </c>
      <c r="C132" s="1">
        <v>0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AE132">
        <v>0</v>
      </c>
    </row>
    <row r="133" spans="2:31" x14ac:dyDescent="0.55000000000000004">
      <c r="B133" s="1" t="s">
        <v>366</v>
      </c>
      <c r="C133" s="1">
        <v>0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AE133">
        <v>0</v>
      </c>
    </row>
    <row r="134" spans="2:31" x14ac:dyDescent="0.55000000000000004">
      <c r="B134" s="1" t="s">
        <v>2</v>
      </c>
      <c r="C134" s="1">
        <v>0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AE134">
        <v>0</v>
      </c>
    </row>
    <row r="135" spans="2:31" x14ac:dyDescent="0.55000000000000004">
      <c r="B135" s="1" t="s">
        <v>15</v>
      </c>
      <c r="C135" s="1">
        <v>0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AE135">
        <v>0</v>
      </c>
    </row>
    <row r="136" spans="2:31" x14ac:dyDescent="0.55000000000000004">
      <c r="B136" s="1" t="s">
        <v>367</v>
      </c>
      <c r="C136" s="1">
        <v>0</v>
      </c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AE136">
        <v>0</v>
      </c>
    </row>
    <row r="137" spans="2:31" x14ac:dyDescent="0.55000000000000004">
      <c r="B137" s="1" t="s">
        <v>163</v>
      </c>
      <c r="C137" s="1">
        <v>0</v>
      </c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AE137">
        <v>0</v>
      </c>
    </row>
    <row r="138" spans="2:31" x14ac:dyDescent="0.55000000000000004">
      <c r="B138" s="1" t="s">
        <v>522</v>
      </c>
      <c r="C138" s="1">
        <v>0</v>
      </c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AE138">
        <v>0</v>
      </c>
    </row>
    <row r="140" spans="2:31" x14ac:dyDescent="0.55000000000000004">
      <c r="B140" s="43" t="s">
        <v>509</v>
      </c>
    </row>
    <row r="141" spans="2:31" x14ac:dyDescent="0.55000000000000004">
      <c r="B141" s="43"/>
    </row>
    <row r="142" spans="2:31" x14ac:dyDescent="0.55000000000000004">
      <c r="B142" s="43"/>
    </row>
    <row r="143" spans="2:31" x14ac:dyDescent="0.55000000000000004">
      <c r="B143" s="43"/>
    </row>
    <row r="144" spans="2:31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31" x14ac:dyDescent="0.55000000000000004">
      <c r="B162" s="1" t="s">
        <v>67</v>
      </c>
      <c r="C162" s="44">
        <v>45536</v>
      </c>
      <c r="D162" s="44">
        <v>45566</v>
      </c>
      <c r="E162" s="44">
        <v>45597</v>
      </c>
      <c r="F162" s="44">
        <v>45627</v>
      </c>
      <c r="G162" s="44">
        <v>45658</v>
      </c>
      <c r="H162" s="44">
        <v>45689</v>
      </c>
      <c r="I162" s="44">
        <v>45717</v>
      </c>
      <c r="J162" s="44">
        <v>45748</v>
      </c>
      <c r="K162" s="44">
        <v>45778</v>
      </c>
      <c r="L162" s="44">
        <v>45809</v>
      </c>
      <c r="M162" s="44">
        <v>45839</v>
      </c>
      <c r="N162" s="44">
        <v>45870</v>
      </c>
      <c r="O162" s="44"/>
      <c r="P162" s="44"/>
      <c r="Q162" s="44"/>
      <c r="R162" s="44"/>
    </row>
    <row r="163" spans="2:31" x14ac:dyDescent="0.55000000000000004">
      <c r="B163" s="1" t="s">
        <v>40</v>
      </c>
      <c r="C163" s="1">
        <v>0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AE163">
        <v>0</v>
      </c>
    </row>
    <row r="164" spans="2:31" x14ac:dyDescent="0.55000000000000004">
      <c r="B164" s="1" t="s">
        <v>147</v>
      </c>
      <c r="C164" s="1">
        <v>0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AE164">
        <v>0</v>
      </c>
    </row>
    <row r="165" spans="2:31" x14ac:dyDescent="0.55000000000000004">
      <c r="B165" s="1" t="s">
        <v>148</v>
      </c>
      <c r="C165" s="1">
        <v>0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AE165">
        <v>0</v>
      </c>
    </row>
    <row r="166" spans="2:31" x14ac:dyDescent="0.55000000000000004">
      <c r="B166" s="1" t="s">
        <v>99</v>
      </c>
      <c r="C166" s="1">
        <v>0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AE166">
        <v>0</v>
      </c>
    </row>
    <row r="167" spans="2:31" x14ac:dyDescent="0.55000000000000004">
      <c r="B167" s="1" t="s">
        <v>366</v>
      </c>
      <c r="C167" s="1">
        <v>0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AE167">
        <v>0</v>
      </c>
    </row>
    <row r="168" spans="2:31" x14ac:dyDescent="0.55000000000000004">
      <c r="B168" s="1" t="s">
        <v>2</v>
      </c>
      <c r="C168" s="1">
        <v>0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AE168">
        <v>0</v>
      </c>
    </row>
    <row r="169" spans="2:31" x14ac:dyDescent="0.55000000000000004">
      <c r="B169" s="1" t="s">
        <v>15</v>
      </c>
      <c r="C169" s="1">
        <v>0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AE169">
        <v>0</v>
      </c>
    </row>
    <row r="170" spans="2:31" x14ac:dyDescent="0.55000000000000004">
      <c r="B170" s="1" t="s">
        <v>367</v>
      </c>
      <c r="C170" s="1">
        <v>0</v>
      </c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AE170">
        <v>0</v>
      </c>
    </row>
    <row r="171" spans="2:31" x14ac:dyDescent="0.55000000000000004">
      <c r="B171" s="1" t="s">
        <v>163</v>
      </c>
      <c r="C171" s="1">
        <v>0</v>
      </c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AE171">
        <v>0</v>
      </c>
    </row>
    <row r="172" spans="2:31" x14ac:dyDescent="0.55000000000000004">
      <c r="B172" s="1" t="s">
        <v>522</v>
      </c>
      <c r="C172" s="1">
        <v>0</v>
      </c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AE172">
        <v>0</v>
      </c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AB81D-D0EE-42F4-9205-C6ED1A00AF66}">
  <sheetPr codeName="Sheet10">
    <tabColor theme="9" tint="-0.249977111117893"/>
  </sheetPr>
  <dimension ref="B3:B15"/>
  <sheetViews>
    <sheetView topLeftCell="A3" workbookViewId="0">
      <selection activeCell="B13" sqref="B13"/>
    </sheetView>
  </sheetViews>
  <sheetFormatPr defaultRowHeight="16" x14ac:dyDescent="0.55000000000000004"/>
  <cols>
    <col min="1" max="1" width="8.6640625" style="75"/>
    <col min="2" max="2" width="15.33203125" style="76" customWidth="1"/>
    <col min="3" max="16384" width="8.6640625" style="75"/>
  </cols>
  <sheetData>
    <row r="3" spans="2:2" ht="19.5" x14ac:dyDescent="0.55000000000000004">
      <c r="B3" s="77" t="s">
        <v>520</v>
      </c>
    </row>
    <row r="5" spans="2:2" x14ac:dyDescent="0.55000000000000004">
      <c r="B5" s="76" t="s">
        <v>463</v>
      </c>
    </row>
    <row r="8" spans="2:2" x14ac:dyDescent="0.55000000000000004">
      <c r="B8" s="76" t="s">
        <v>534</v>
      </c>
    </row>
    <row r="10" spans="2:2" x14ac:dyDescent="0.55000000000000004">
      <c r="B10" s="76" t="s">
        <v>535</v>
      </c>
    </row>
    <row r="11" spans="2:2" x14ac:dyDescent="0.55000000000000004">
      <c r="B11" s="76" t="s">
        <v>464</v>
      </c>
    </row>
    <row r="13" spans="2:2" x14ac:dyDescent="0.55000000000000004">
      <c r="B13" s="76" t="s">
        <v>536</v>
      </c>
    </row>
    <row r="15" spans="2:2" x14ac:dyDescent="0.55000000000000004">
      <c r="B15" s="76" t="s">
        <v>537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8695-7ACA-4556-A401-9D2D06D5206F}">
  <sheetPr codeName="Sheet21">
    <tabColor theme="7"/>
  </sheetPr>
  <dimension ref="A1:K19"/>
  <sheetViews>
    <sheetView topLeftCell="A6" workbookViewId="0">
      <selection activeCell="F13" sqref="F13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" customWidth="1"/>
    <col min="9" max="9" width="11.58203125" customWidth="1"/>
    <col min="11" max="11" width="19.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26.08203125" bestFit="1" customWidth="1"/>
    <col min="17" max="17" width="12.33203125" bestFit="1" customWidth="1"/>
    <col min="18" max="18" width="12.25" bestFit="1" customWidth="1"/>
  </cols>
  <sheetData>
    <row r="1" spans="1:11" x14ac:dyDescent="0.55000000000000004">
      <c r="A1" s="12" t="s">
        <v>435</v>
      </c>
      <c r="B1" s="8"/>
      <c r="C1" s="5"/>
      <c r="D1" s="5"/>
      <c r="E1" s="5"/>
      <c r="F1" s="5"/>
      <c r="G1" s="5"/>
    </row>
    <row r="2" spans="1:11" x14ac:dyDescent="0.55000000000000004">
      <c r="A2" s="5"/>
      <c r="B2" s="8"/>
      <c r="C2" s="5"/>
      <c r="D2" s="5"/>
      <c r="E2" s="5"/>
      <c r="F2" s="5"/>
      <c r="G2" s="5"/>
    </row>
    <row r="3" spans="1:11" x14ac:dyDescent="0.55000000000000004">
      <c r="A3" s="113"/>
      <c r="B3" s="114"/>
      <c r="C3" s="114"/>
      <c r="D3" s="114"/>
      <c r="E3" s="114"/>
      <c r="F3" s="114"/>
      <c r="G3" s="114"/>
      <c r="K3" s="74" t="s">
        <v>437</v>
      </c>
    </row>
    <row r="4" spans="1:11" x14ac:dyDescent="0.55000000000000004">
      <c r="A4" s="1" t="s">
        <v>23</v>
      </c>
      <c r="B4" s="70">
        <v>45550</v>
      </c>
      <c r="C4" s="70">
        <v>45550</v>
      </c>
      <c r="D4" s="70">
        <v>45550</v>
      </c>
      <c r="E4" s="70">
        <v>45565</v>
      </c>
      <c r="F4" s="70">
        <v>45565</v>
      </c>
      <c r="G4" s="70">
        <v>45565</v>
      </c>
      <c r="K4" s="72">
        <v>45536</v>
      </c>
    </row>
    <row r="5" spans="1:11" x14ac:dyDescent="0.55000000000000004">
      <c r="A5" s="1" t="s">
        <v>276</v>
      </c>
      <c r="B5" s="70" t="s">
        <v>603</v>
      </c>
      <c r="C5" s="70" t="s">
        <v>604</v>
      </c>
      <c r="D5" s="70" t="s">
        <v>692</v>
      </c>
      <c r="E5" s="70" t="s">
        <v>603</v>
      </c>
      <c r="F5" s="70" t="s">
        <v>604</v>
      </c>
      <c r="G5" s="70" t="s">
        <v>692</v>
      </c>
    </row>
    <row r="6" spans="1:11" x14ac:dyDescent="0.55000000000000004">
      <c r="A6" s="17" t="s">
        <v>13</v>
      </c>
      <c r="B6" s="73" t="s">
        <v>39</v>
      </c>
      <c r="C6" s="73" t="s">
        <v>66</v>
      </c>
      <c r="D6" s="73" t="s">
        <v>693</v>
      </c>
      <c r="E6" s="73" t="s">
        <v>694</v>
      </c>
      <c r="F6" s="73" t="s">
        <v>695</v>
      </c>
      <c r="G6" s="73" t="s">
        <v>66</v>
      </c>
    </row>
    <row r="7" spans="1:11" x14ac:dyDescent="0.55000000000000004">
      <c r="A7" s="24" t="s">
        <v>439</v>
      </c>
      <c r="B7" s="26">
        <v>0</v>
      </c>
      <c r="C7" s="26">
        <v>2</v>
      </c>
      <c r="D7" s="26">
        <v>2</v>
      </c>
      <c r="E7" s="25">
        <v>2</v>
      </c>
      <c r="F7" s="26">
        <v>0</v>
      </c>
      <c r="G7" s="26">
        <v>5</v>
      </c>
    </row>
    <row r="8" spans="1:11" x14ac:dyDescent="0.55000000000000004">
      <c r="A8" s="24" t="s">
        <v>440</v>
      </c>
      <c r="B8" s="26">
        <v>0</v>
      </c>
      <c r="C8" s="26">
        <v>0</v>
      </c>
      <c r="D8" s="26">
        <v>0</v>
      </c>
      <c r="E8" s="25">
        <v>0</v>
      </c>
      <c r="F8" s="26">
        <v>0</v>
      </c>
      <c r="G8" s="26">
        <v>0</v>
      </c>
    </row>
    <row r="9" spans="1:11" x14ac:dyDescent="0.55000000000000004">
      <c r="A9" s="24" t="s">
        <v>441</v>
      </c>
      <c r="B9" s="26">
        <v>0</v>
      </c>
      <c r="C9" s="26">
        <v>0</v>
      </c>
      <c r="D9" s="26">
        <v>0</v>
      </c>
      <c r="E9" s="25">
        <v>0</v>
      </c>
      <c r="F9" s="26">
        <v>0</v>
      </c>
      <c r="G9" s="26">
        <v>2</v>
      </c>
    </row>
    <row r="10" spans="1:11" x14ac:dyDescent="0.55000000000000004">
      <c r="A10" s="24" t="s">
        <v>442</v>
      </c>
      <c r="B10" s="26">
        <v>0</v>
      </c>
      <c r="C10" s="26">
        <v>0</v>
      </c>
      <c r="D10" s="26">
        <v>0</v>
      </c>
      <c r="E10" s="25">
        <v>0</v>
      </c>
      <c r="F10" s="26">
        <v>0</v>
      </c>
      <c r="G10" s="26">
        <v>0</v>
      </c>
    </row>
    <row r="11" spans="1:11" x14ac:dyDescent="0.55000000000000004">
      <c r="A11" s="24" t="s">
        <v>443</v>
      </c>
      <c r="B11" s="26">
        <v>0</v>
      </c>
      <c r="C11" s="26">
        <v>0</v>
      </c>
      <c r="D11" s="26">
        <v>0</v>
      </c>
      <c r="E11" s="25">
        <v>0</v>
      </c>
      <c r="F11" s="26">
        <v>0</v>
      </c>
      <c r="G11" s="26">
        <v>0</v>
      </c>
    </row>
    <row r="14" spans="1:11" x14ac:dyDescent="0.55000000000000004">
      <c r="A14" s="1" t="s">
        <v>436</v>
      </c>
      <c r="B14" s="2" t="s">
        <v>39</v>
      </c>
      <c r="C14" s="2" t="s">
        <v>28</v>
      </c>
      <c r="D14" s="2" t="s">
        <v>66</v>
      </c>
      <c r="E14" s="2" t="s">
        <v>68</v>
      </c>
      <c r="F14" s="2" t="s">
        <v>27</v>
      </c>
      <c r="G14" s="2" t="s">
        <v>321</v>
      </c>
      <c r="H14" s="2" t="s">
        <v>320</v>
      </c>
      <c r="I14" s="2" t="s">
        <v>646</v>
      </c>
    </row>
    <row r="15" spans="1:11" x14ac:dyDescent="0.55000000000000004">
      <c r="A15" s="1" t="s">
        <v>0</v>
      </c>
      <c r="B15" s="1">
        <f>SUMIF(B6:G6,B14,B7:G7)</f>
        <v>0</v>
      </c>
      <c r="C15" s="1">
        <f>SUMIF(B6:G6,C14,B7:G7)</f>
        <v>2</v>
      </c>
      <c r="D15" s="1">
        <f>SUMIF(B6:G6,D14,B7:G7)</f>
        <v>7</v>
      </c>
      <c r="E15" s="1">
        <f>SUMIF(B6:B6,E14,B7:G7)</f>
        <v>0</v>
      </c>
      <c r="F15" s="1">
        <f>SUMIF(B6:G6,F14,B7:G7)</f>
        <v>0</v>
      </c>
      <c r="G15" s="1">
        <f>SUMIF(B6:G6,G14,B7:G7)</f>
        <v>0</v>
      </c>
      <c r="H15" s="1">
        <f>SUMIF(B6:G6,H14,B7:G7)</f>
        <v>2</v>
      </c>
      <c r="I15" s="1">
        <f>SUMIF(B6:G6,I14,B7:G7)</f>
        <v>0</v>
      </c>
    </row>
    <row r="16" spans="1:11" x14ac:dyDescent="0.55000000000000004">
      <c r="A16" s="1" t="s">
        <v>438</v>
      </c>
      <c r="B16" s="1">
        <f>SUMIF(B6:G6,B14,B8:G8)</f>
        <v>0</v>
      </c>
      <c r="C16" s="1">
        <f>SUMIF(B6:G6,C14,B8:G8)</f>
        <v>0</v>
      </c>
      <c r="D16" s="1">
        <f>SUMIF(B6:G6,D14,B8:G8)</f>
        <v>0</v>
      </c>
      <c r="E16" s="1">
        <f>SUMIF(B6:G6,E14,B8:G8)</f>
        <v>0</v>
      </c>
      <c r="F16" s="1">
        <f>SUMIF(B6:G6,F14,B8:G8)</f>
        <v>0</v>
      </c>
      <c r="G16" s="1">
        <f>SUMIF(B6:G6,G14,B8:G8)</f>
        <v>0</v>
      </c>
      <c r="H16" s="1">
        <f>SUMIF(B6:G6,H14,B8:G8)</f>
        <v>0</v>
      </c>
      <c r="I16" s="1">
        <f>SUMIF(B6:G6,I14,B8:G8)</f>
        <v>0</v>
      </c>
    </row>
    <row r="17" spans="1:9" x14ac:dyDescent="0.55000000000000004">
      <c r="A17" s="1" t="s">
        <v>354</v>
      </c>
      <c r="B17" s="1">
        <f>SUMIF(B6:G6,B14,B9:G9)</f>
        <v>0</v>
      </c>
      <c r="C17" s="1">
        <f>SUMIF(B6:G6,C14,B9:G9)</f>
        <v>0</v>
      </c>
      <c r="D17" s="1">
        <f>SUMIF(B6:G6,D14,B9:G9)</f>
        <v>2</v>
      </c>
      <c r="E17" s="1">
        <f>SUMIF(B6:G6,E14,B9:G9)</f>
        <v>0</v>
      </c>
      <c r="F17" s="1">
        <f>SUMIF(B6:G6,F14,B9:G9)</f>
        <v>0</v>
      </c>
      <c r="G17" s="1">
        <f>SUMIF(B6:G6,G14,B9:G9)</f>
        <v>0</v>
      </c>
      <c r="H17" s="1">
        <f>SUMIF(B6:G6,H14,B9:G9)</f>
        <v>0</v>
      </c>
      <c r="I17" s="1">
        <f>SUMIF(B6:G6,I14,B9:G9)</f>
        <v>0</v>
      </c>
    </row>
    <row r="18" spans="1:9" x14ac:dyDescent="0.55000000000000004">
      <c r="A18" s="1" t="s">
        <v>347</v>
      </c>
      <c r="B18" s="1">
        <f>SUMIF(B6:G6,B14,B10:G10)</f>
        <v>0</v>
      </c>
      <c r="C18" s="1">
        <f>SUMIF(B6:G6,C14,B10:G10)</f>
        <v>0</v>
      </c>
      <c r="D18" s="1">
        <f>SUMIF(B6:G6,D14,B10:G10)</f>
        <v>0</v>
      </c>
      <c r="E18" s="1">
        <f>SUMIF(B6:G6,E14,B10:G10)</f>
        <v>0</v>
      </c>
      <c r="F18" s="1">
        <f>SUMIF(B6:G6,F14,B10:G10)</f>
        <v>0</v>
      </c>
      <c r="G18" s="1">
        <f>SUMIF(B6:G6,G14,B10:G10)</f>
        <v>0</v>
      </c>
      <c r="H18" s="1">
        <f>SUMIF(B6:G6,H14,B10:G10)</f>
        <v>0</v>
      </c>
      <c r="I18" s="1">
        <f>SUMIF(B6:G6,I14,B10:G10)</f>
        <v>0</v>
      </c>
    </row>
    <row r="19" spans="1:9" x14ac:dyDescent="0.55000000000000004">
      <c r="A19" s="1" t="s">
        <v>53</v>
      </c>
      <c r="B19" s="1">
        <f>SUMIF(B6:G6,B14,B11:G11)</f>
        <v>0</v>
      </c>
      <c r="C19" s="1">
        <f>SUMIF(B6:G6,C14,B11:G11)</f>
        <v>0</v>
      </c>
      <c r="D19" s="1">
        <f>SUMIF(B6:G6,D14,B11:G11)</f>
        <v>0</v>
      </c>
      <c r="E19" s="1">
        <f>SUMIF(B6:G6,E14,B11:G11)</f>
        <v>0</v>
      </c>
      <c r="F19" s="1">
        <f>SUMIF(B6:G6,F14,B11:G11)</f>
        <v>0</v>
      </c>
      <c r="G19" s="1">
        <f>SUMIF(B6:G6,G14,B11:G11)</f>
        <v>0</v>
      </c>
      <c r="H19" s="1">
        <f>SUMIF(B6:G6,H14,B11:G11)</f>
        <v>0</v>
      </c>
      <c r="I19" s="1">
        <f>SUMIF(B6:G6,I14,B11:G11)</f>
        <v>0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FE895-D332-4CBF-91BF-4C678CF5495B}">
  <sheetPr codeName="Sheet25">
    <tabColor theme="7"/>
  </sheetPr>
  <dimension ref="A1:N19"/>
  <sheetViews>
    <sheetView topLeftCell="A4" workbookViewId="0">
      <selection activeCell="A12" sqref="A12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10" width="11.33203125" bestFit="1" customWidth="1"/>
    <col min="11" max="11" width="19.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26.08203125" bestFit="1" customWidth="1"/>
    <col min="17" max="17" width="12.33203125" bestFit="1" customWidth="1"/>
    <col min="18" max="18" width="12.25" bestFit="1" customWidth="1"/>
  </cols>
  <sheetData>
    <row r="1" spans="1:14" x14ac:dyDescent="0.55000000000000004">
      <c r="A1" s="12" t="s">
        <v>444</v>
      </c>
      <c r="B1" s="8"/>
      <c r="C1" s="5"/>
      <c r="D1" s="5"/>
      <c r="E1" s="5"/>
      <c r="F1" s="5"/>
      <c r="G1" s="5"/>
    </row>
    <row r="2" spans="1:14" x14ac:dyDescent="0.55000000000000004">
      <c r="A2" s="5"/>
      <c r="B2" s="8"/>
      <c r="C2" s="5"/>
      <c r="D2" s="5"/>
      <c r="E2" s="5"/>
      <c r="F2" s="5"/>
      <c r="G2" s="5"/>
    </row>
    <row r="3" spans="1:14" x14ac:dyDescent="0.55000000000000004">
      <c r="A3" s="116"/>
      <c r="B3" s="117"/>
      <c r="C3" s="117"/>
      <c r="D3" s="117"/>
      <c r="E3" s="117"/>
      <c r="F3" s="117"/>
      <c r="G3" s="117"/>
      <c r="H3" s="117"/>
      <c r="I3" s="117"/>
      <c r="J3" s="117"/>
      <c r="K3" s="74"/>
      <c r="N3" s="74" t="s">
        <v>437</v>
      </c>
    </row>
    <row r="4" spans="1:14" x14ac:dyDescent="0.55000000000000004">
      <c r="A4" s="1" t="s">
        <v>23</v>
      </c>
      <c r="B4" s="70">
        <v>45550</v>
      </c>
      <c r="C4" s="70">
        <v>45550</v>
      </c>
      <c r="D4" s="70">
        <v>45550</v>
      </c>
      <c r="E4" s="70">
        <v>45565</v>
      </c>
      <c r="F4" s="70">
        <v>45565</v>
      </c>
      <c r="G4" s="70">
        <v>45565</v>
      </c>
      <c r="H4" s="70"/>
      <c r="I4" s="70"/>
      <c r="J4" s="70"/>
      <c r="N4" s="72">
        <v>45536</v>
      </c>
    </row>
    <row r="5" spans="1:14" x14ac:dyDescent="0.55000000000000004">
      <c r="A5" s="17" t="s">
        <v>276</v>
      </c>
      <c r="B5" s="73" t="s">
        <v>603</v>
      </c>
      <c r="C5" s="73" t="s">
        <v>220</v>
      </c>
      <c r="D5" s="73" t="s">
        <v>604</v>
      </c>
      <c r="E5" s="73" t="s">
        <v>219</v>
      </c>
      <c r="F5" s="73" t="s">
        <v>220</v>
      </c>
      <c r="G5" s="73" t="s">
        <v>221</v>
      </c>
      <c r="H5" s="73"/>
      <c r="I5" s="73"/>
      <c r="J5" s="73"/>
    </row>
    <row r="6" spans="1:14" x14ac:dyDescent="0.55000000000000004">
      <c r="A6" s="1" t="s">
        <v>34</v>
      </c>
      <c r="B6" s="2" t="s">
        <v>68</v>
      </c>
      <c r="C6" s="2" t="s">
        <v>39</v>
      </c>
      <c r="D6" s="2" t="s">
        <v>320</v>
      </c>
      <c r="E6" s="2" t="s">
        <v>68</v>
      </c>
      <c r="F6" s="2" t="s">
        <v>28</v>
      </c>
      <c r="G6" s="2" t="s">
        <v>29</v>
      </c>
      <c r="H6" s="2"/>
      <c r="I6" s="2"/>
      <c r="J6" s="2"/>
    </row>
    <row r="7" spans="1:14" x14ac:dyDescent="0.55000000000000004">
      <c r="A7" s="24" t="s">
        <v>439</v>
      </c>
      <c r="B7" s="26">
        <v>0</v>
      </c>
      <c r="C7" s="26">
        <v>0</v>
      </c>
      <c r="D7" s="26">
        <v>6</v>
      </c>
      <c r="E7" s="25">
        <v>1</v>
      </c>
      <c r="F7" s="26">
        <v>0</v>
      </c>
      <c r="G7" s="26">
        <v>0</v>
      </c>
      <c r="H7" s="26"/>
      <c r="I7" s="26"/>
      <c r="J7" s="26"/>
    </row>
    <row r="8" spans="1:14" x14ac:dyDescent="0.55000000000000004">
      <c r="A8" s="24" t="s">
        <v>440</v>
      </c>
      <c r="B8" s="26">
        <v>0</v>
      </c>
      <c r="C8" s="26">
        <v>0</v>
      </c>
      <c r="D8" s="26">
        <v>0</v>
      </c>
      <c r="E8" s="25">
        <v>0</v>
      </c>
      <c r="F8" s="26">
        <v>0</v>
      </c>
      <c r="G8" s="26">
        <v>0</v>
      </c>
      <c r="H8" s="26"/>
      <c r="I8" s="26"/>
      <c r="J8" s="26"/>
    </row>
    <row r="9" spans="1:14" x14ac:dyDescent="0.55000000000000004">
      <c r="A9" s="24" t="s">
        <v>441</v>
      </c>
      <c r="B9" s="26">
        <v>0</v>
      </c>
      <c r="C9" s="26">
        <v>0</v>
      </c>
      <c r="D9" s="26">
        <v>1</v>
      </c>
      <c r="E9" s="25">
        <v>0</v>
      </c>
      <c r="F9" s="26">
        <v>0</v>
      </c>
      <c r="G9" s="26">
        <v>0</v>
      </c>
      <c r="H9" s="26"/>
      <c r="I9" s="26"/>
      <c r="J9" s="26"/>
    </row>
    <row r="10" spans="1:14" x14ac:dyDescent="0.55000000000000004">
      <c r="A10" s="24" t="s">
        <v>442</v>
      </c>
      <c r="B10" s="26">
        <v>0</v>
      </c>
      <c r="C10" s="26">
        <v>0</v>
      </c>
      <c r="D10" s="26">
        <v>0</v>
      </c>
      <c r="E10" s="25">
        <v>0</v>
      </c>
      <c r="F10" s="26">
        <v>0</v>
      </c>
      <c r="G10" s="26">
        <v>0</v>
      </c>
      <c r="H10" s="26"/>
      <c r="I10" s="26"/>
      <c r="J10" s="26"/>
    </row>
    <row r="11" spans="1:14" x14ac:dyDescent="0.55000000000000004">
      <c r="A11" s="24" t="s">
        <v>443</v>
      </c>
      <c r="B11" s="26">
        <v>0</v>
      </c>
      <c r="C11" s="26">
        <v>0</v>
      </c>
      <c r="D11" s="26">
        <v>0</v>
      </c>
      <c r="E11" s="25">
        <v>0</v>
      </c>
      <c r="F11" s="26">
        <v>0</v>
      </c>
      <c r="G11" s="26">
        <v>0</v>
      </c>
      <c r="H11" s="26"/>
      <c r="I11" s="26"/>
      <c r="J11" s="26"/>
    </row>
    <row r="14" spans="1:14" x14ac:dyDescent="0.55000000000000004">
      <c r="A14" s="1" t="s">
        <v>436</v>
      </c>
      <c r="B14" s="2" t="s">
        <v>39</v>
      </c>
      <c r="C14" s="2" t="s">
        <v>28</v>
      </c>
      <c r="D14" s="2" t="s">
        <v>66</v>
      </c>
      <c r="E14" s="2" t="s">
        <v>68</v>
      </c>
      <c r="F14" s="2" t="s">
        <v>27</v>
      </c>
      <c r="G14" s="2" t="s">
        <v>321</v>
      </c>
      <c r="H14" s="2" t="s">
        <v>320</v>
      </c>
      <c r="I14" s="2" t="s">
        <v>646</v>
      </c>
    </row>
    <row r="15" spans="1:14" x14ac:dyDescent="0.55000000000000004">
      <c r="A15" s="1" t="s">
        <v>0</v>
      </c>
      <c r="B15" s="1">
        <f>SUMIF(B6:J6,B14,B7:J7)</f>
        <v>0</v>
      </c>
      <c r="C15" s="1">
        <f>SUMIF(B6:J6,C14,B7:J7)</f>
        <v>0</v>
      </c>
      <c r="D15" s="1">
        <f>SUMIF(B6:J6,D14,B7:J7)</f>
        <v>0</v>
      </c>
      <c r="E15" s="1">
        <f>SUMIF(B6:J6,E14,B7:J7)</f>
        <v>1</v>
      </c>
      <c r="F15" s="1">
        <f>SUMIF(B6:J6,F14,B7:J7)</f>
        <v>0</v>
      </c>
      <c r="G15" s="1">
        <f>SUMIF(B6:J6,G14,B7:J7)</f>
        <v>0</v>
      </c>
      <c r="H15" s="1">
        <f>SUMIF(B6:J6,H14,B7:J7)</f>
        <v>6</v>
      </c>
      <c r="I15" s="1">
        <f>SUMIF(B6:J6,I14,B7:J7)</f>
        <v>0</v>
      </c>
    </row>
    <row r="16" spans="1:14" x14ac:dyDescent="0.55000000000000004">
      <c r="A16" s="1" t="s">
        <v>438</v>
      </c>
      <c r="B16" s="1">
        <f>SUMIF(B6:J6,B14,B8:J8)</f>
        <v>0</v>
      </c>
      <c r="C16" s="1">
        <f>SUMIF(B6:J6,C14,B8:J8)</f>
        <v>0</v>
      </c>
      <c r="D16" s="1">
        <f>SUMIF(B6:J6,D14,B8:J8)</f>
        <v>0</v>
      </c>
      <c r="E16" s="1">
        <f>SUMIF(B6:J6,E14,B8:J8)</f>
        <v>0</v>
      </c>
      <c r="F16" s="1">
        <f>SUMIF(B6:J6,F14,B8:J8)</f>
        <v>0</v>
      </c>
      <c r="G16" s="1">
        <f>SUMIF(B6:J6,G14,B8:J8)</f>
        <v>0</v>
      </c>
      <c r="H16" s="1">
        <f>SUMIF(B6:J6,H14,B8:J8)</f>
        <v>0</v>
      </c>
      <c r="I16" s="1">
        <f>SUMIF(B6:J6,I14,B8:J8)</f>
        <v>0</v>
      </c>
    </row>
    <row r="17" spans="1:9" x14ac:dyDescent="0.55000000000000004">
      <c r="A17" s="1" t="s">
        <v>354</v>
      </c>
      <c r="B17" s="1">
        <f>SUMIF(B6:J6,B14,B9:J9)</f>
        <v>0</v>
      </c>
      <c r="C17" s="1">
        <f>SUMIF(B6:J6,C14,B9:J9)</f>
        <v>0</v>
      </c>
      <c r="D17" s="1">
        <f>SUMIF(B6:J6,D14,B9:J9)</f>
        <v>0</v>
      </c>
      <c r="E17" s="1">
        <f>SUMIF(B6:J6,E14,B9:J9)</f>
        <v>0</v>
      </c>
      <c r="F17" s="1">
        <f>SUMIF(B6:J6,F14,B9:J9)</f>
        <v>0</v>
      </c>
      <c r="G17" s="1">
        <f>SUMIF(B6:J6,G14,B9:J9)</f>
        <v>0</v>
      </c>
      <c r="H17" s="1">
        <f>SUMIF(B6:J6,H14,B9:J9)</f>
        <v>1</v>
      </c>
      <c r="I17" s="1">
        <f ca="1">SUMIF(B6:J6,I14,B9:I9)</f>
        <v>0</v>
      </c>
    </row>
    <row r="18" spans="1:9" x14ac:dyDescent="0.55000000000000004">
      <c r="A18" s="1" t="s">
        <v>347</v>
      </c>
      <c r="B18" s="1">
        <f>SUMIF(B6:J6,B14,B10:J10)</f>
        <v>0</v>
      </c>
      <c r="C18" s="1">
        <f>SUMIF(B6:J6,C14,B10:J10)</f>
        <v>0</v>
      </c>
      <c r="D18" s="1">
        <f>SUMIF(B6:J6,D14,B10:J10)</f>
        <v>0</v>
      </c>
      <c r="E18" s="1">
        <f>SUMIF(B6:J6,E14,B10:J10)</f>
        <v>0</v>
      </c>
      <c r="F18" s="1">
        <f>SUMIF(B6:J6,F14,B10:J10)</f>
        <v>0</v>
      </c>
      <c r="G18" s="1">
        <f>SUMIF(B6:J6,G14,B10:J10)</f>
        <v>0</v>
      </c>
      <c r="H18" s="1">
        <f>SUMIF(B6:J6,H14,B10:J10)</f>
        <v>0</v>
      </c>
      <c r="I18" s="1">
        <f>SUMIF(B6:J6,I14,B10:J10)</f>
        <v>0</v>
      </c>
    </row>
    <row r="19" spans="1:9" x14ac:dyDescent="0.55000000000000004">
      <c r="A19" s="1" t="s">
        <v>53</v>
      </c>
      <c r="B19" s="1">
        <f>SUMIF(B6:J6,B14,B11:J11)</f>
        <v>0</v>
      </c>
      <c r="C19" s="1">
        <f>SUMIF(B6:J6,C14,B11:J11)</f>
        <v>0</v>
      </c>
      <c r="D19" s="1">
        <f>SUMIF(B6:J6,D14,B11:J11)</f>
        <v>0</v>
      </c>
      <c r="E19" s="1">
        <f>SUMIF(B6:J6,E14,B11:J11)</f>
        <v>0</v>
      </c>
      <c r="F19" s="1">
        <f>SUMIF(B6:J6,F14,B11:J11)</f>
        <v>0</v>
      </c>
      <c r="G19" s="1">
        <f>SUMIF(B6:J6,G14,B11:J11)</f>
        <v>0</v>
      </c>
      <c r="H19" s="1">
        <f>SUMIF(B6:J6,H14,B11:J11)</f>
        <v>0</v>
      </c>
      <c r="I19" s="1">
        <f>SUMIF(B6:J6,I14,B11:J11)</f>
        <v>0</v>
      </c>
    </row>
  </sheetData>
  <phoneticPr fontId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5644B-C5AD-4429-A94E-A57F96A81AAA}">
  <sheetPr codeName="Sheet27">
    <tabColor theme="7"/>
  </sheetPr>
  <dimension ref="A1:AJ26"/>
  <sheetViews>
    <sheetView workbookViewId="0">
      <selection activeCell="B4" sqref="B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10" width="11.33203125" bestFit="1" customWidth="1"/>
    <col min="11" max="11" width="13.5820312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15.58203125" customWidth="1"/>
    <col min="17" max="17" width="12.33203125" bestFit="1" customWidth="1"/>
    <col min="18" max="18" width="12.25" bestFit="1" customWidth="1"/>
  </cols>
  <sheetData>
    <row r="1" spans="1:36" x14ac:dyDescent="0.55000000000000004">
      <c r="A1" s="12" t="s">
        <v>450</v>
      </c>
      <c r="B1" s="8"/>
      <c r="C1" s="5"/>
      <c r="D1" s="5"/>
      <c r="E1" s="5"/>
      <c r="F1" s="5"/>
      <c r="G1" s="5"/>
    </row>
    <row r="2" spans="1:36" x14ac:dyDescent="0.55000000000000004">
      <c r="A2" s="5"/>
      <c r="B2" s="8"/>
      <c r="C2" s="5"/>
      <c r="D2" s="5"/>
      <c r="E2" s="5"/>
      <c r="F2" s="5"/>
      <c r="G2" s="5"/>
    </row>
    <row r="3" spans="1:36" x14ac:dyDescent="0.55000000000000004">
      <c r="K3" s="74"/>
      <c r="N3" s="74"/>
    </row>
    <row r="4" spans="1:36" x14ac:dyDescent="0.55000000000000004">
      <c r="A4" s="1" t="s">
        <v>23</v>
      </c>
      <c r="B4" s="70">
        <v>45544</v>
      </c>
      <c r="C4" s="70">
        <v>45544</v>
      </c>
      <c r="D4" s="70">
        <v>45544</v>
      </c>
      <c r="E4" s="70">
        <v>45544</v>
      </c>
      <c r="F4" s="70">
        <v>45544</v>
      </c>
      <c r="G4" s="70">
        <v>45544</v>
      </c>
      <c r="H4" s="70">
        <v>45551</v>
      </c>
      <c r="I4" s="70">
        <v>45551</v>
      </c>
      <c r="J4" s="70">
        <v>45551</v>
      </c>
      <c r="K4" s="70">
        <v>45551</v>
      </c>
      <c r="L4" s="70">
        <v>45551</v>
      </c>
      <c r="M4" s="70">
        <v>45559</v>
      </c>
      <c r="N4" s="70">
        <v>45559</v>
      </c>
      <c r="O4" s="70">
        <v>45559</v>
      </c>
      <c r="P4" s="70">
        <v>45559</v>
      </c>
      <c r="Q4" s="70">
        <v>45565</v>
      </c>
      <c r="R4" s="70">
        <v>45565</v>
      </c>
      <c r="S4" s="70">
        <v>45565</v>
      </c>
      <c r="T4" s="70">
        <v>45565</v>
      </c>
      <c r="U4" s="70">
        <v>45565</v>
      </c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</row>
    <row r="5" spans="1:36" x14ac:dyDescent="0.55000000000000004">
      <c r="A5" s="1" t="s">
        <v>34</v>
      </c>
      <c r="B5" s="2" t="s">
        <v>147</v>
      </c>
      <c r="C5" s="2" t="s">
        <v>99</v>
      </c>
      <c r="D5" s="2" t="s">
        <v>366</v>
      </c>
      <c r="E5" s="2" t="s">
        <v>40</v>
      </c>
      <c r="F5" s="2" t="s">
        <v>148</v>
      </c>
      <c r="G5" s="2" t="s">
        <v>522</v>
      </c>
      <c r="H5" s="2" t="s">
        <v>522</v>
      </c>
      <c r="I5" s="2" t="s">
        <v>366</v>
      </c>
      <c r="J5" s="2" t="s">
        <v>40</v>
      </c>
      <c r="K5" s="2" t="s">
        <v>148</v>
      </c>
      <c r="L5" s="2" t="s">
        <v>147</v>
      </c>
      <c r="M5" s="2" t="s">
        <v>148</v>
      </c>
      <c r="N5" s="2" t="s">
        <v>99</v>
      </c>
      <c r="O5" s="2" t="s">
        <v>40</v>
      </c>
      <c r="P5" s="2" t="s">
        <v>522</v>
      </c>
      <c r="Q5" s="2" t="s">
        <v>40</v>
      </c>
      <c r="R5" s="2" t="s">
        <v>366</v>
      </c>
      <c r="S5" s="2" t="s">
        <v>522</v>
      </c>
      <c r="T5" s="2" t="s">
        <v>148</v>
      </c>
      <c r="U5" s="2" t="s">
        <v>147</v>
      </c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55000000000000004">
      <c r="A6" s="17" t="s">
        <v>533</v>
      </c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</row>
    <row r="7" spans="1:36" x14ac:dyDescent="0.55000000000000004">
      <c r="A7" s="24" t="s">
        <v>439</v>
      </c>
      <c r="B7" s="26">
        <v>0</v>
      </c>
      <c r="C7" s="26">
        <v>0</v>
      </c>
      <c r="D7" s="26">
        <v>0</v>
      </c>
      <c r="E7" s="25">
        <v>0</v>
      </c>
      <c r="F7" s="26">
        <v>0</v>
      </c>
      <c r="G7" s="25">
        <v>1</v>
      </c>
      <c r="H7" s="25">
        <v>0</v>
      </c>
      <c r="I7" s="26">
        <v>0</v>
      </c>
      <c r="J7" s="26">
        <v>0</v>
      </c>
      <c r="K7" s="25">
        <v>1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2</v>
      </c>
      <c r="R7" s="26">
        <v>0</v>
      </c>
      <c r="S7" s="26">
        <v>0</v>
      </c>
      <c r="T7" s="26">
        <v>0</v>
      </c>
      <c r="U7" s="26">
        <v>1</v>
      </c>
      <c r="V7" s="26"/>
      <c r="W7" s="26"/>
      <c r="X7" s="26"/>
      <c r="Y7" s="26"/>
      <c r="Z7" s="26"/>
      <c r="AA7" s="26"/>
      <c r="AB7" s="26"/>
      <c r="AC7" s="26"/>
      <c r="AD7" s="25"/>
      <c r="AE7" s="26"/>
      <c r="AF7" s="26"/>
      <c r="AG7" s="26"/>
      <c r="AH7" s="26"/>
      <c r="AI7" s="26"/>
      <c r="AJ7" s="26"/>
    </row>
    <row r="8" spans="1:36" x14ac:dyDescent="0.55000000000000004">
      <c r="A8" s="24" t="s">
        <v>440</v>
      </c>
      <c r="B8" s="26">
        <v>0</v>
      </c>
      <c r="C8" s="26">
        <v>0</v>
      </c>
      <c r="D8" s="26">
        <v>0</v>
      </c>
      <c r="E8" s="25">
        <v>0</v>
      </c>
      <c r="F8" s="26">
        <v>0</v>
      </c>
      <c r="G8" s="25">
        <v>0</v>
      </c>
      <c r="H8" s="25">
        <v>0</v>
      </c>
      <c r="I8" s="26">
        <v>0</v>
      </c>
      <c r="J8" s="26">
        <v>0</v>
      </c>
      <c r="K8" s="25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/>
      <c r="W8" s="26"/>
      <c r="X8" s="26"/>
      <c r="Y8" s="26"/>
      <c r="Z8" s="26"/>
      <c r="AA8" s="26"/>
      <c r="AB8" s="26"/>
      <c r="AC8" s="26"/>
      <c r="AD8" s="25"/>
      <c r="AE8" s="26"/>
      <c r="AF8" s="26"/>
      <c r="AG8" s="26"/>
      <c r="AH8" s="26"/>
      <c r="AI8" s="26"/>
      <c r="AJ8" s="26"/>
    </row>
    <row r="9" spans="1:36" x14ac:dyDescent="0.55000000000000004">
      <c r="A9" s="24" t="s">
        <v>441</v>
      </c>
      <c r="B9" s="26">
        <v>0</v>
      </c>
      <c r="C9" s="26">
        <v>0</v>
      </c>
      <c r="D9" s="26">
        <v>0</v>
      </c>
      <c r="E9" s="25">
        <v>0</v>
      </c>
      <c r="F9" s="26">
        <v>0</v>
      </c>
      <c r="G9" s="25">
        <v>0</v>
      </c>
      <c r="H9" s="25">
        <v>0</v>
      </c>
      <c r="I9" s="26">
        <v>0</v>
      </c>
      <c r="J9" s="26">
        <v>0</v>
      </c>
      <c r="K9" s="25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  <c r="V9" s="26"/>
      <c r="W9" s="26"/>
      <c r="X9" s="26"/>
      <c r="Y9" s="26"/>
      <c r="Z9" s="26"/>
      <c r="AA9" s="26"/>
      <c r="AB9" s="26"/>
      <c r="AC9" s="26"/>
      <c r="AD9" s="25"/>
      <c r="AE9" s="26"/>
      <c r="AF9" s="26"/>
      <c r="AG9" s="26"/>
      <c r="AH9" s="26"/>
      <c r="AI9" s="26"/>
      <c r="AJ9" s="26"/>
    </row>
    <row r="10" spans="1:36" x14ac:dyDescent="0.55000000000000004">
      <c r="A10" s="24" t="s">
        <v>442</v>
      </c>
      <c r="B10" s="26">
        <v>0</v>
      </c>
      <c r="C10" s="26">
        <v>0</v>
      </c>
      <c r="D10" s="26">
        <v>0</v>
      </c>
      <c r="E10" s="25">
        <v>0</v>
      </c>
      <c r="F10" s="26">
        <v>0</v>
      </c>
      <c r="G10" s="25">
        <v>0</v>
      </c>
      <c r="H10" s="25">
        <v>0</v>
      </c>
      <c r="I10" s="26">
        <v>0</v>
      </c>
      <c r="J10" s="26">
        <v>0</v>
      </c>
      <c r="K10" s="25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  <c r="V10" s="26"/>
      <c r="W10" s="26"/>
      <c r="X10" s="26"/>
      <c r="Y10" s="26"/>
      <c r="Z10" s="26"/>
      <c r="AA10" s="26"/>
      <c r="AB10" s="26"/>
      <c r="AC10" s="26"/>
      <c r="AD10" s="25"/>
      <c r="AE10" s="26"/>
      <c r="AF10" s="26"/>
      <c r="AG10" s="26"/>
      <c r="AH10" s="26"/>
      <c r="AI10" s="26"/>
      <c r="AJ10" s="26"/>
    </row>
    <row r="11" spans="1:36" x14ac:dyDescent="0.55000000000000004">
      <c r="A11" s="24" t="s">
        <v>443</v>
      </c>
      <c r="B11" s="26">
        <v>0</v>
      </c>
      <c r="C11" s="26">
        <v>0</v>
      </c>
      <c r="D11" s="26">
        <v>0</v>
      </c>
      <c r="E11" s="25">
        <v>0</v>
      </c>
      <c r="F11" s="26">
        <v>0</v>
      </c>
      <c r="G11" s="25">
        <v>0</v>
      </c>
      <c r="H11" s="25">
        <v>0</v>
      </c>
      <c r="I11" s="26">
        <v>0</v>
      </c>
      <c r="J11" s="26">
        <v>0</v>
      </c>
      <c r="K11" s="25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6">
        <v>0</v>
      </c>
      <c r="V11" s="26"/>
      <c r="W11" s="26"/>
      <c r="X11" s="26"/>
      <c r="Y11" s="26"/>
      <c r="Z11" s="26"/>
      <c r="AA11" s="26"/>
      <c r="AB11" s="26"/>
      <c r="AC11" s="26"/>
      <c r="AD11" s="25"/>
      <c r="AE11" s="26"/>
      <c r="AF11" s="26"/>
      <c r="AG11" s="26"/>
      <c r="AH11" s="26"/>
      <c r="AI11" s="26"/>
      <c r="AJ11" s="26"/>
    </row>
    <row r="14" spans="1:36" x14ac:dyDescent="0.55000000000000004">
      <c r="A14" s="1" t="s">
        <v>436</v>
      </c>
      <c r="B14" s="2" t="s">
        <v>40</v>
      </c>
      <c r="C14" s="2" t="s">
        <v>147</v>
      </c>
      <c r="D14" s="2" t="s">
        <v>148</v>
      </c>
      <c r="E14" s="2" t="s">
        <v>99</v>
      </c>
      <c r="F14" s="2" t="s">
        <v>366</v>
      </c>
      <c r="G14" s="2" t="s">
        <v>367</v>
      </c>
      <c r="H14" s="2" t="s">
        <v>2</v>
      </c>
      <c r="I14" s="2" t="s">
        <v>15</v>
      </c>
      <c r="J14" s="2" t="s">
        <v>163</v>
      </c>
      <c r="K14" s="2" t="s">
        <v>522</v>
      </c>
      <c r="L14" s="2" t="s">
        <v>647</v>
      </c>
    </row>
    <row r="15" spans="1:36" x14ac:dyDescent="0.55000000000000004">
      <c r="A15" s="1" t="s">
        <v>0</v>
      </c>
      <c r="B15" s="1">
        <f>SUMIF(B5:AJ5,B14,B7:AJ7)</f>
        <v>2</v>
      </c>
      <c r="C15" s="1">
        <f>SUMIF(B5:AJ5,C14,B7:AJ7)</f>
        <v>1</v>
      </c>
      <c r="D15" s="1">
        <f>SUMIF(B5:AJ5,D14,B7:AJ7)</f>
        <v>1</v>
      </c>
      <c r="E15" s="1">
        <f>SUMIF(B5:AJ5,E14,B7:AJ7)</f>
        <v>0</v>
      </c>
      <c r="F15" s="1">
        <f>SUMIF(B5:AJ5,F14,B7:AJ7)</f>
        <v>0</v>
      </c>
      <c r="G15" s="1">
        <f>SUMIF(A5:AJ5,G14,A7:AJ7)</f>
        <v>0</v>
      </c>
      <c r="H15" s="1">
        <f>SUMIF(B5:AJ5,H14,B7:AJ7)</f>
        <v>0</v>
      </c>
      <c r="I15" s="1">
        <f>SUMIF(B5:AJ5,I14,B7:AJ7)</f>
        <v>0</v>
      </c>
      <c r="J15" s="1">
        <f>SUMIF(B5:AJ5,J14,B7:AJ7)</f>
        <v>0</v>
      </c>
      <c r="K15" s="1">
        <f>SUMIF(C5:AK5,K14,C7:AK7)</f>
        <v>1</v>
      </c>
      <c r="L15" s="1">
        <f>SUMIF(D5:AL5,L14,D7:AL7)</f>
        <v>0</v>
      </c>
    </row>
    <row r="16" spans="1:36" x14ac:dyDescent="0.55000000000000004">
      <c r="A16" s="1" t="s">
        <v>438</v>
      </c>
      <c r="B16" s="1">
        <f>SUMIF(B5:AJ5,B14,B8:AJ8)</f>
        <v>0</v>
      </c>
      <c r="C16" s="1">
        <f>SUMIF(B5:AJ5,C14,B8:AJ8)</f>
        <v>0</v>
      </c>
      <c r="D16" s="1">
        <f>SUMIF(B5:AJ5,D14,B8:AJ8)</f>
        <v>0</v>
      </c>
      <c r="E16" s="1">
        <f>SUMIF(B5:AJ5,E14,B8:AJ8)</f>
        <v>0</v>
      </c>
      <c r="F16" s="1">
        <f>SUMIF(B5:AJ5,F14,B8:AJ8)</f>
        <v>0</v>
      </c>
      <c r="G16" s="1">
        <f>SUMIF(A5:AJ5,G14,A8:AJ8)</f>
        <v>0</v>
      </c>
      <c r="H16" s="1">
        <f>SUMIF(B5:AJ5,H14,B8:AJ8)</f>
        <v>0</v>
      </c>
      <c r="I16" s="1">
        <f>SUMIF(B5:AJ5,I14,B8:AJ8)</f>
        <v>0</v>
      </c>
      <c r="J16" s="1">
        <f>SUMIF(B5:AJ5,J14,B8:AJ8)</f>
        <v>0</v>
      </c>
      <c r="K16" s="1">
        <f>SUMIF(C5:AK5,K14,C8:AK8)</f>
        <v>0</v>
      </c>
      <c r="L16" s="1">
        <f>SUMIF(D5:AL5,L14,D8:AL8)</f>
        <v>0</v>
      </c>
    </row>
    <row r="17" spans="1:12" x14ac:dyDescent="0.55000000000000004">
      <c r="A17" s="1" t="s">
        <v>354</v>
      </c>
      <c r="B17" s="1">
        <f>SUMIF(B5:AJ5,B14,B9:AJ9)</f>
        <v>0</v>
      </c>
      <c r="C17" s="1">
        <f>SUMIF(B5:AJ5,C14,B9:AJ9)</f>
        <v>0</v>
      </c>
      <c r="D17" s="1">
        <f>SUMIF(B5:AJ5,D14,B9:AJ9)</f>
        <v>0</v>
      </c>
      <c r="E17" s="1">
        <f>SUMIF(B5:AJ5,E14,B9:AJ9)</f>
        <v>0</v>
      </c>
      <c r="F17" s="1">
        <f>SUMIF(B5:AJ5,F14,B9:AJ9)</f>
        <v>0</v>
      </c>
      <c r="G17" s="1">
        <f>SUMIF(A5:AJ5,G14,A9:AJ9)</f>
        <v>0</v>
      </c>
      <c r="H17" s="1">
        <f>SUMIF(B5:AJ5,H14,B9:AJ9)</f>
        <v>0</v>
      </c>
      <c r="I17" s="1">
        <f>SUMIF(B5:AJ5,I14,B9:AJ9)</f>
        <v>0</v>
      </c>
      <c r="J17" s="1">
        <f>SUMIF(B5:AJ5,J14,B9:AJ9)</f>
        <v>0</v>
      </c>
      <c r="K17" s="1">
        <f>SUMIF(C5:AK5,K14,C9:AK9)</f>
        <v>0</v>
      </c>
      <c r="L17" s="1">
        <f>SUMIF(D5:AL5,L14,D9:AL9)</f>
        <v>0</v>
      </c>
    </row>
    <row r="18" spans="1:12" x14ac:dyDescent="0.55000000000000004">
      <c r="A18" s="1" t="s">
        <v>347</v>
      </c>
      <c r="B18" s="1">
        <f>SUMIF(B5:AJ5,B14,B10:AJ10)</f>
        <v>0</v>
      </c>
      <c r="C18" s="1">
        <f>SUMIF(B5:AJ5,C14,B10:AJ10)</f>
        <v>0</v>
      </c>
      <c r="D18" s="1">
        <f>SUMIF(B5:AJ5,D14,B10:AJ10)</f>
        <v>0</v>
      </c>
      <c r="E18" s="1">
        <f>SUMIF(B5:AJ5,E14,B10:AJ10)</f>
        <v>0</v>
      </c>
      <c r="F18" s="1">
        <f>SUMIF(B5:AJ5,F14,B10:AJ10)</f>
        <v>0</v>
      </c>
      <c r="G18" s="1">
        <f>SUMIF(A5:AJ5,G14,A10:AJ10)</f>
        <v>0</v>
      </c>
      <c r="H18" s="1">
        <f>SUMIF(B5:AJ5,H14,B10:AJ10)</f>
        <v>0</v>
      </c>
      <c r="I18" s="1">
        <f>SUMIF(B5:AJ5,I14,B10:AJ10)</f>
        <v>0</v>
      </c>
      <c r="J18" s="1">
        <f>SUMIF(B5:AJ5,J14,B10:AJ10)</f>
        <v>0</v>
      </c>
      <c r="K18" s="1">
        <f>SUMIF(C5:AK5,K14,C10:AK10)</f>
        <v>0</v>
      </c>
      <c r="L18" s="1">
        <f>SUMIF(D5:AL5,L14,D10:AL10)</f>
        <v>0</v>
      </c>
    </row>
    <row r="19" spans="1:12" x14ac:dyDescent="0.55000000000000004">
      <c r="A19" s="1" t="s">
        <v>53</v>
      </c>
      <c r="B19" s="1">
        <f>SUMIF(B5:AJ5,B14,B11:AJ11)</f>
        <v>0</v>
      </c>
      <c r="C19" s="1">
        <f>SUMIF(B5:AJ5,C14,B11:AJ11)</f>
        <v>0</v>
      </c>
      <c r="D19" s="1">
        <f>SUMIF(B5:AJ5,D14,B11:AJ11)</f>
        <v>0</v>
      </c>
      <c r="E19" s="1">
        <f>SUMIF(B5:AJ5,E14,B11:AJ11)</f>
        <v>0</v>
      </c>
      <c r="F19" s="1">
        <f>SUMIF(B5:AJ5,F14,B11:AJ11)</f>
        <v>0</v>
      </c>
      <c r="G19" s="1">
        <f>SUMIF(A5:AJ5,G14,A11:AJ11)</f>
        <v>0</v>
      </c>
      <c r="H19" s="1">
        <f>SUMIF(B5:AJ5,H14,B11:AJ11)</f>
        <v>0</v>
      </c>
      <c r="I19" s="1">
        <f>SUMIF(B5:AJ5,I14,B11:AJ11)</f>
        <v>0</v>
      </c>
      <c r="J19" s="1">
        <f>SUMIF(B5:AJ5,J14,B11:AJ11)</f>
        <v>0</v>
      </c>
      <c r="K19" s="1">
        <f>SUMIF(C5:AK5,K14,C11:AK11)</f>
        <v>0</v>
      </c>
      <c r="L19" s="1">
        <f>SUMIF(D5:AL5,L14,D11:AL11)</f>
        <v>0</v>
      </c>
    </row>
    <row r="25" spans="1:12" x14ac:dyDescent="0.55000000000000004">
      <c r="A25" s="74" t="s">
        <v>437</v>
      </c>
    </row>
    <row r="26" spans="1:12" x14ac:dyDescent="0.55000000000000004">
      <c r="A26" s="72">
        <v>45536</v>
      </c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48909-246C-467B-B332-3F157C8CAC90}">
  <sheetPr codeName="Sheet31">
    <tabColor theme="7"/>
  </sheetPr>
  <dimension ref="A1:Z26"/>
  <sheetViews>
    <sheetView zoomScaleNormal="100" workbookViewId="0">
      <selection activeCell="B24" sqref="B2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10" width="11.33203125" bestFit="1" customWidth="1"/>
    <col min="11" max="11" width="13.58203125" customWidth="1"/>
    <col min="12" max="12" width="14.83203125" customWidth="1"/>
    <col min="13" max="13" width="14.4140625" customWidth="1"/>
    <col min="14" max="14" width="18.25" bestFit="1" customWidth="1"/>
    <col min="15" max="15" width="18.1640625" bestFit="1" customWidth="1"/>
    <col min="16" max="16" width="15.58203125" customWidth="1"/>
    <col min="17" max="17" width="12.33203125" bestFit="1" customWidth="1"/>
    <col min="18" max="18" width="12.25" bestFit="1" customWidth="1"/>
  </cols>
  <sheetData>
    <row r="1" spans="1:26" x14ac:dyDescent="0.55000000000000004">
      <c r="A1" s="12" t="s">
        <v>504</v>
      </c>
      <c r="B1" s="8"/>
      <c r="C1" s="5"/>
      <c r="D1" s="5"/>
      <c r="E1" s="5"/>
      <c r="F1" s="5"/>
      <c r="G1" s="5"/>
    </row>
    <row r="2" spans="1:26" x14ac:dyDescent="0.55000000000000004">
      <c r="A2" s="5"/>
      <c r="B2" s="8"/>
      <c r="C2" s="5"/>
      <c r="D2" s="5"/>
      <c r="E2" s="5"/>
      <c r="F2" s="5"/>
      <c r="G2" s="5"/>
    </row>
    <row r="3" spans="1:26" x14ac:dyDescent="0.55000000000000004">
      <c r="K3" s="74"/>
      <c r="N3" s="74"/>
    </row>
    <row r="4" spans="1:26" x14ac:dyDescent="0.55000000000000004">
      <c r="A4" s="1" t="s">
        <v>23</v>
      </c>
      <c r="B4" s="70">
        <v>45541</v>
      </c>
      <c r="C4" s="70">
        <v>45541</v>
      </c>
      <c r="D4" s="70">
        <v>45548</v>
      </c>
      <c r="E4" s="70">
        <v>45548</v>
      </c>
      <c r="F4" s="70">
        <v>45548</v>
      </c>
      <c r="G4" s="70">
        <v>45548</v>
      </c>
      <c r="H4" s="70">
        <v>45555</v>
      </c>
      <c r="I4" s="70">
        <v>45555</v>
      </c>
      <c r="J4" s="70">
        <v>45562</v>
      </c>
      <c r="K4" s="70">
        <v>45562</v>
      </c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</row>
    <row r="5" spans="1:26" x14ac:dyDescent="0.55000000000000004">
      <c r="A5" s="1" t="s">
        <v>34</v>
      </c>
      <c r="B5" s="2" t="s">
        <v>366</v>
      </c>
      <c r="C5" s="2" t="s">
        <v>522</v>
      </c>
      <c r="D5" s="2" t="s">
        <v>147</v>
      </c>
      <c r="E5" s="2" t="s">
        <v>366</v>
      </c>
      <c r="F5" s="2" t="s">
        <v>40</v>
      </c>
      <c r="G5" s="2" t="s">
        <v>522</v>
      </c>
      <c r="H5" s="2" t="s">
        <v>366</v>
      </c>
      <c r="I5" s="2" t="s">
        <v>522</v>
      </c>
      <c r="J5" s="2" t="s">
        <v>646</v>
      </c>
      <c r="K5" s="2" t="s">
        <v>147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55000000000000004">
      <c r="A6" s="17" t="s">
        <v>533</v>
      </c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</row>
    <row r="7" spans="1:26" x14ac:dyDescent="0.55000000000000004">
      <c r="A7" s="24" t="s">
        <v>439</v>
      </c>
      <c r="B7" s="25">
        <v>0</v>
      </c>
      <c r="C7" s="25">
        <v>0</v>
      </c>
      <c r="D7" s="25">
        <v>0</v>
      </c>
      <c r="E7" s="25">
        <v>0</v>
      </c>
      <c r="F7" s="25">
        <v>0</v>
      </c>
      <c r="G7" s="25">
        <v>1</v>
      </c>
      <c r="H7" s="25">
        <v>0</v>
      </c>
      <c r="I7" s="26">
        <v>0</v>
      </c>
      <c r="J7" s="26">
        <v>4</v>
      </c>
      <c r="K7" s="26">
        <v>0</v>
      </c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x14ac:dyDescent="0.55000000000000004">
      <c r="A8" s="24" t="s">
        <v>440</v>
      </c>
      <c r="B8" s="25">
        <v>0</v>
      </c>
      <c r="C8" s="25">
        <v>0</v>
      </c>
      <c r="D8" s="25">
        <v>1</v>
      </c>
      <c r="E8" s="25">
        <v>0</v>
      </c>
      <c r="F8" s="25">
        <v>0</v>
      </c>
      <c r="G8" s="25">
        <v>0</v>
      </c>
      <c r="H8" s="25">
        <v>0</v>
      </c>
      <c r="I8" s="26">
        <v>0</v>
      </c>
      <c r="J8" s="26">
        <v>0</v>
      </c>
      <c r="K8" s="26">
        <v>0</v>
      </c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x14ac:dyDescent="0.55000000000000004">
      <c r="A9" s="24" t="s">
        <v>441</v>
      </c>
      <c r="B9" s="25">
        <v>0</v>
      </c>
      <c r="C9" s="25">
        <v>0</v>
      </c>
      <c r="D9" s="25">
        <v>0</v>
      </c>
      <c r="E9" s="25">
        <v>0</v>
      </c>
      <c r="F9" s="25">
        <v>0</v>
      </c>
      <c r="G9" s="25">
        <v>1</v>
      </c>
      <c r="H9" s="25">
        <v>0</v>
      </c>
      <c r="I9" s="26">
        <v>0</v>
      </c>
      <c r="J9" s="26">
        <v>0</v>
      </c>
      <c r="K9" s="26">
        <v>0</v>
      </c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x14ac:dyDescent="0.55000000000000004">
      <c r="A10" s="24" t="s">
        <v>442</v>
      </c>
      <c r="B10" s="25">
        <v>0</v>
      </c>
      <c r="C10" s="25">
        <v>0</v>
      </c>
      <c r="D10" s="25">
        <v>0</v>
      </c>
      <c r="E10" s="25">
        <v>0</v>
      </c>
      <c r="F10" s="25">
        <v>0</v>
      </c>
      <c r="G10" s="25">
        <v>0</v>
      </c>
      <c r="H10" s="25">
        <v>0</v>
      </c>
      <c r="I10" s="26">
        <v>0</v>
      </c>
      <c r="J10" s="26">
        <v>0</v>
      </c>
      <c r="K10" s="26">
        <v>0</v>
      </c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x14ac:dyDescent="0.55000000000000004">
      <c r="A11" s="24" t="s">
        <v>443</v>
      </c>
      <c r="B11" s="25">
        <v>0</v>
      </c>
      <c r="C11" s="25">
        <v>0</v>
      </c>
      <c r="D11" s="25">
        <v>0</v>
      </c>
      <c r="E11" s="25">
        <v>0</v>
      </c>
      <c r="F11" s="25">
        <v>0</v>
      </c>
      <c r="G11" s="25">
        <v>0</v>
      </c>
      <c r="H11" s="25">
        <v>0</v>
      </c>
      <c r="I11" s="26">
        <v>0</v>
      </c>
      <c r="J11" s="26">
        <v>0</v>
      </c>
      <c r="K11" s="26">
        <v>0</v>
      </c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4" spans="1:26" x14ac:dyDescent="0.55000000000000004">
      <c r="A14" s="1" t="s">
        <v>436</v>
      </c>
      <c r="B14" s="2" t="s">
        <v>40</v>
      </c>
      <c r="C14" s="2" t="s">
        <v>147</v>
      </c>
      <c r="D14" s="2" t="s">
        <v>148</v>
      </c>
      <c r="E14" s="2" t="s">
        <v>99</v>
      </c>
      <c r="F14" s="2" t="s">
        <v>366</v>
      </c>
      <c r="G14" s="2" t="s">
        <v>367</v>
      </c>
      <c r="H14" s="2" t="s">
        <v>2</v>
      </c>
      <c r="I14" s="2" t="s">
        <v>15</v>
      </c>
      <c r="J14" s="2" t="s">
        <v>163</v>
      </c>
      <c r="K14" s="2" t="s">
        <v>522</v>
      </c>
    </row>
    <row r="15" spans="1:26" x14ac:dyDescent="0.55000000000000004">
      <c r="A15" s="1" t="s">
        <v>0</v>
      </c>
      <c r="B15" s="1">
        <f>SUMIF(B5:Z5,B14,B7:Z7)</f>
        <v>0</v>
      </c>
      <c r="C15" s="1">
        <f>SUMIF(B5:Z5,C14,B7:Z7)</f>
        <v>0</v>
      </c>
      <c r="D15" s="1">
        <f>SUMIF(B5:Z5,D14,B7:Z7)</f>
        <v>0</v>
      </c>
      <c r="E15" s="1">
        <f>SUMIF(B5:Z5,E14,B7:Z7)</f>
        <v>0</v>
      </c>
      <c r="F15" s="1">
        <f>SUMIF(B5:Z5,F14,B7:Z7)</f>
        <v>0</v>
      </c>
      <c r="G15" s="1">
        <f>SUMIF(A5:Z5,G14,A7:Z7)</f>
        <v>0</v>
      </c>
      <c r="H15" s="1">
        <f>SUMIF(B5:Z5,H14,B7:Z7)</f>
        <v>0</v>
      </c>
      <c r="I15" s="1">
        <f>SUMIF(B5:Z5,I14,B7:Z7)</f>
        <v>0</v>
      </c>
      <c r="J15" s="1">
        <f>SUMIF(B5:Z5,J14,B7:Z7)</f>
        <v>0</v>
      </c>
      <c r="K15" s="1">
        <f>SUMIF(C5:AA5,K14,C7:AA7)</f>
        <v>1</v>
      </c>
    </row>
    <row r="16" spans="1:26" x14ac:dyDescent="0.55000000000000004">
      <c r="A16" s="1" t="s">
        <v>438</v>
      </c>
      <c r="B16" s="1">
        <f>SUMIF(B5:Z5,B14,B8:Z8)</f>
        <v>0</v>
      </c>
      <c r="C16" s="1">
        <f>SUMIF(B5:Z5,C14,B8:Z8)</f>
        <v>1</v>
      </c>
      <c r="D16" s="1">
        <f>SUMIF(B5:Z5,D14,B8:Z8)</f>
        <v>0</v>
      </c>
      <c r="E16" s="1">
        <f>SUMIF(B5:Z5,E14,B8:Z8)</f>
        <v>0</v>
      </c>
      <c r="F16" s="1">
        <f>SUMIF(B5:Z5,F14,B8:Z8)</f>
        <v>0</v>
      </c>
      <c r="G16" s="1">
        <f>SUMIF(A5:Z5,G14,A8:Z8)</f>
        <v>0</v>
      </c>
      <c r="H16" s="1">
        <f>SUMIF(B5:Z5,H14,B8:Z8)</f>
        <v>0</v>
      </c>
      <c r="I16" s="1">
        <f>SUMIF(B5:Z5,I14,B8:Z8)</f>
        <v>0</v>
      </c>
      <c r="J16" s="1">
        <f>SUMIF(B5:Z5,J14,B8:Z8)</f>
        <v>0</v>
      </c>
      <c r="K16" s="1">
        <f>SUMIF(C5:AA5,K14,C8:AA8)</f>
        <v>0</v>
      </c>
    </row>
    <row r="17" spans="1:11" x14ac:dyDescent="0.55000000000000004">
      <c r="A17" s="1" t="s">
        <v>354</v>
      </c>
      <c r="B17" s="1">
        <f>SUMIF(B5:Z5,B14,B9:Z9)</f>
        <v>0</v>
      </c>
      <c r="C17" s="1">
        <f>SUMIF(B5:Z5,C14,B9:Z9)</f>
        <v>0</v>
      </c>
      <c r="D17" s="1">
        <f>SUMIF(B5:Z5,D14,B9:Z9)</f>
        <v>0</v>
      </c>
      <c r="E17" s="1">
        <f>SUMIF(B5:Z5,E14,B9:Z9)</f>
        <v>0</v>
      </c>
      <c r="F17" s="1">
        <f>SUMIF(B5:Z5,F14,B9:Z9)</f>
        <v>0</v>
      </c>
      <c r="G17" s="1">
        <f>SUMIF(A5:Z5,G14,A9:Z9)</f>
        <v>0</v>
      </c>
      <c r="H17" s="1">
        <f>SUMIF(B5:Z5,H14,B9:Z9)</f>
        <v>0</v>
      </c>
      <c r="I17" s="1">
        <f>SUMIF(B5:Z5,I14,B9:Z9)</f>
        <v>0</v>
      </c>
      <c r="J17" s="1">
        <f>SUMIF(B5:Z5,J14,B9:Z9)</f>
        <v>0</v>
      </c>
      <c r="K17" s="1">
        <f>SUMIF(C5:AA5,K14,C9:AA9)</f>
        <v>1</v>
      </c>
    </row>
    <row r="18" spans="1:11" x14ac:dyDescent="0.55000000000000004">
      <c r="A18" s="1" t="s">
        <v>347</v>
      </c>
      <c r="B18" s="1">
        <f>SUMIF(B5:Z5,B14,B10:Z10)</f>
        <v>0</v>
      </c>
      <c r="C18" s="1">
        <f>SUMIF(B5:Z5,C14,B10:Z10)</f>
        <v>0</v>
      </c>
      <c r="D18" s="1">
        <f>SUMIF(B5:Z5,D14,B10:Z10)</f>
        <v>0</v>
      </c>
      <c r="E18" s="1">
        <f>SUMIF(B5:Z5,E14,B10:Z10)</f>
        <v>0</v>
      </c>
      <c r="F18" s="1">
        <f>SUMIF(B5:Z5,F14,B10:Z10)</f>
        <v>0</v>
      </c>
      <c r="G18" s="1">
        <f>SUMIF(A5:Z5,G14,A10:Z10)</f>
        <v>0</v>
      </c>
      <c r="H18" s="1">
        <f>SUMIF(B5:Z5,H14,B10:Z10)</f>
        <v>0</v>
      </c>
      <c r="I18" s="1">
        <f>SUMIF(B5:Z5,I14,B10:Z10)</f>
        <v>0</v>
      </c>
      <c r="J18" s="1">
        <f>SUMIF(B5:Z5,J14,B10:Z10)</f>
        <v>0</v>
      </c>
      <c r="K18" s="1">
        <f>SUMIF(C5:AA5,K14,C10:AA10)</f>
        <v>0</v>
      </c>
    </row>
    <row r="19" spans="1:11" x14ac:dyDescent="0.55000000000000004">
      <c r="A19" s="1" t="s">
        <v>53</v>
      </c>
      <c r="B19" s="1">
        <f>SUMIF(B5:Z5,B14,B11:Z11)</f>
        <v>0</v>
      </c>
      <c r="C19" s="1">
        <f>SUMIF(B5:Z5,C14,B11:Z11)</f>
        <v>0</v>
      </c>
      <c r="D19" s="1">
        <f>SUMIF(B5:Z5,D14,B11:Z11)</f>
        <v>0</v>
      </c>
      <c r="E19" s="1">
        <f>SUMIF(B5:Z5,E14,B11:Z11)</f>
        <v>0</v>
      </c>
      <c r="F19" s="1">
        <f>SUMIF(B5:Z5,F14,B11:Z11)</f>
        <v>0</v>
      </c>
      <c r="G19" s="1">
        <f>SUMIF(A5:Z5,G14,A11:Z11)</f>
        <v>0</v>
      </c>
      <c r="H19" s="1">
        <f>SUMIF(B5:Z5,H14,B11:Z11)</f>
        <v>0</v>
      </c>
      <c r="I19" s="1">
        <f>SUMIF(B5:Z5,I14,B11:Z11)</f>
        <v>0</v>
      </c>
      <c r="J19" s="1">
        <f>SUMIF(B5:Z5,J14,B11:Z11)</f>
        <v>0</v>
      </c>
      <c r="K19" s="1">
        <f>SUMIF(C5:AA5,K14,C11:AA11)</f>
        <v>0</v>
      </c>
    </row>
    <row r="25" spans="1:11" x14ac:dyDescent="0.55000000000000004">
      <c r="A25" s="74" t="s">
        <v>437</v>
      </c>
    </row>
    <row r="26" spans="1:11" x14ac:dyDescent="0.55000000000000004">
      <c r="A26" s="72">
        <v>45536</v>
      </c>
    </row>
  </sheetData>
  <phoneticPr fontId="1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C6AB1-D0A5-46BE-9FA8-EFF9599FE9ED}">
  <sheetPr codeName="Sheet35">
    <tabColor theme="5" tint="-0.249977111117893"/>
  </sheetPr>
  <dimension ref="A1"/>
  <sheetViews>
    <sheetView topLeftCell="A34" workbookViewId="0">
      <selection activeCell="F7" sqref="F7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8795A-9E6A-4894-82FA-9CD73EA26C12}">
  <sheetPr codeName="Sheet9">
    <tabColor rgb="FF0070C0"/>
  </sheetPr>
  <dimension ref="A1:J58"/>
  <sheetViews>
    <sheetView workbookViewId="0">
      <pane ySplit="3" topLeftCell="A4" activePane="bottomLeft" state="frozen"/>
      <selection pane="bottomLeft" activeCell="I10" sqref="I10"/>
    </sheetView>
  </sheetViews>
  <sheetFormatPr defaultRowHeight="18" x14ac:dyDescent="0.55000000000000004"/>
  <cols>
    <col min="1" max="1" width="11.1640625" customWidth="1"/>
    <col min="2" max="2" width="10.58203125" customWidth="1"/>
    <col min="3" max="3" width="13.58203125" customWidth="1"/>
    <col min="4" max="4" width="12.33203125" customWidth="1"/>
    <col min="5" max="5" width="9.5" bestFit="1" customWidth="1"/>
    <col min="6" max="6" width="10.58203125" customWidth="1"/>
    <col min="7" max="7" width="8.83203125" bestFit="1" customWidth="1"/>
    <col min="8" max="13" width="9.5" bestFit="1" customWidth="1"/>
  </cols>
  <sheetData>
    <row r="1" spans="1:10" x14ac:dyDescent="0.55000000000000004">
      <c r="A1" s="12" t="s">
        <v>594</v>
      </c>
      <c r="B1" s="8"/>
      <c r="C1" s="5"/>
      <c r="D1" s="5"/>
      <c r="E1" s="5"/>
      <c r="F1" s="5"/>
      <c r="G1" s="5"/>
      <c r="H1" s="5"/>
      <c r="I1" s="5"/>
      <c r="J1" s="5"/>
    </row>
    <row r="3" spans="1:10" x14ac:dyDescent="0.55000000000000004">
      <c r="A3" s="49" t="s">
        <v>211</v>
      </c>
      <c r="B3" s="46" t="s">
        <v>1</v>
      </c>
      <c r="C3" s="35" t="s">
        <v>10</v>
      </c>
      <c r="D3" s="35" t="s">
        <v>49</v>
      </c>
      <c r="E3" s="46" t="s">
        <v>50</v>
      </c>
      <c r="F3" s="47" t="s">
        <v>51</v>
      </c>
    </row>
    <row r="4" spans="1:10" x14ac:dyDescent="0.55000000000000004">
      <c r="A4" s="48"/>
      <c r="B4" s="2"/>
      <c r="C4" s="36"/>
      <c r="D4" s="36"/>
      <c r="E4" s="36"/>
      <c r="F4" s="39">
        <f>SUM(テーブル1356[[#This Row],[ケアレスミス]:[解釈]])</f>
        <v>0</v>
      </c>
    </row>
    <row r="5" spans="1:10" x14ac:dyDescent="0.55000000000000004">
      <c r="A5" s="48"/>
      <c r="B5" s="2"/>
      <c r="C5" s="36"/>
      <c r="D5" s="36"/>
      <c r="E5" s="36"/>
      <c r="F5" s="39">
        <f>SUM(テーブル1356[[#This Row],[ケアレスミス]:[解釈]])</f>
        <v>0</v>
      </c>
    </row>
    <row r="6" spans="1:10" x14ac:dyDescent="0.55000000000000004">
      <c r="A6" s="48"/>
      <c r="B6" s="2"/>
      <c r="C6" s="36"/>
      <c r="D6" s="36"/>
      <c r="E6" s="36"/>
      <c r="F6" s="39">
        <f>SUM(テーブル1356[[#This Row],[ケアレスミス]:[解釈]])</f>
        <v>0</v>
      </c>
    </row>
    <row r="7" spans="1:10" x14ac:dyDescent="0.55000000000000004">
      <c r="A7" s="48"/>
      <c r="B7" s="2"/>
      <c r="C7" s="36"/>
      <c r="D7" s="36"/>
      <c r="E7" s="36"/>
      <c r="F7" s="39">
        <f>SUM(テーブル1356[[#This Row],[ケアレスミス]:[解釈]])</f>
        <v>0</v>
      </c>
    </row>
    <row r="8" spans="1:10" x14ac:dyDescent="0.55000000000000004">
      <c r="A8" s="48"/>
      <c r="B8" s="2"/>
      <c r="C8" s="36"/>
      <c r="D8" s="36"/>
      <c r="E8" s="36"/>
      <c r="F8" s="39">
        <f>SUM(テーブル1356[[#This Row],[ケアレスミス]:[解釈]])</f>
        <v>0</v>
      </c>
    </row>
    <row r="9" spans="1:10" x14ac:dyDescent="0.55000000000000004">
      <c r="A9" s="48"/>
      <c r="B9" s="2"/>
      <c r="C9" s="1"/>
      <c r="D9" s="1"/>
      <c r="E9" s="1"/>
      <c r="F9" s="39">
        <f>SUM(テーブル1356[[#This Row],[ケアレスミス]:[解釈]])</f>
        <v>0</v>
      </c>
    </row>
    <row r="10" spans="1:10" x14ac:dyDescent="0.55000000000000004">
      <c r="A10" s="48"/>
      <c r="B10" s="2"/>
      <c r="C10" s="1"/>
      <c r="D10" s="1"/>
      <c r="E10" s="1"/>
      <c r="F10" s="39">
        <f>SUM(テーブル1356[[#This Row],[ケアレスミス]:[解釈]])</f>
        <v>0</v>
      </c>
    </row>
    <row r="11" spans="1:10" x14ac:dyDescent="0.55000000000000004">
      <c r="A11" s="48"/>
      <c r="B11" s="2"/>
      <c r="C11" s="1"/>
      <c r="D11" s="1"/>
      <c r="E11" s="1"/>
      <c r="F11" s="39">
        <f>SUM(テーブル1356[[#This Row],[ケアレスミス]:[解釈]])</f>
        <v>0</v>
      </c>
    </row>
    <row r="12" spans="1:10" x14ac:dyDescent="0.55000000000000004">
      <c r="A12" s="48"/>
      <c r="B12" s="2"/>
      <c r="C12" s="1"/>
      <c r="D12" s="1"/>
      <c r="E12" s="1"/>
      <c r="F12" s="39">
        <f>SUM(テーブル1356[[#This Row],[ケアレスミス]:[解釈]])</f>
        <v>0</v>
      </c>
    </row>
    <row r="13" spans="1:10" x14ac:dyDescent="0.55000000000000004">
      <c r="A13" s="48"/>
      <c r="B13" s="2"/>
      <c r="C13" s="1"/>
      <c r="D13" s="1"/>
      <c r="E13" s="1"/>
      <c r="F13" s="39">
        <f>SUM(テーブル1356[[#This Row],[ケアレスミス]:[解釈]])</f>
        <v>0</v>
      </c>
    </row>
    <row r="14" spans="1:10" x14ac:dyDescent="0.55000000000000004">
      <c r="A14" s="48"/>
      <c r="B14" s="2"/>
      <c r="C14" s="1"/>
      <c r="D14" s="1"/>
      <c r="E14" s="1"/>
      <c r="F14" s="39">
        <f>SUM(テーブル1356[[#This Row],[ケアレスミス]:[解釈]])</f>
        <v>0</v>
      </c>
    </row>
    <row r="15" spans="1:10" x14ac:dyDescent="0.55000000000000004">
      <c r="A15" s="48"/>
      <c r="B15" s="2"/>
      <c r="C15" s="36"/>
      <c r="D15" s="36"/>
      <c r="E15" s="36"/>
      <c r="F15" s="39">
        <f>SUM(テーブル1356[[#This Row],[ケアレスミス]:[解釈]])</f>
        <v>0</v>
      </c>
    </row>
    <row r="16" spans="1:10" x14ac:dyDescent="0.55000000000000004">
      <c r="A16" s="48"/>
      <c r="B16" s="2"/>
      <c r="C16" s="36"/>
      <c r="D16" s="36"/>
      <c r="E16" s="36"/>
      <c r="F16" s="39">
        <f>SUM(テーブル1356[[#This Row],[ケアレスミス]:[解釈]])</f>
        <v>0</v>
      </c>
    </row>
    <row r="17" spans="1:6" x14ac:dyDescent="0.55000000000000004">
      <c r="A17" s="48"/>
      <c r="B17" s="2"/>
      <c r="C17" s="36"/>
      <c r="D17" s="36"/>
      <c r="E17" s="36"/>
      <c r="F17" s="39">
        <f>SUM(テーブル1356[[#This Row],[ケアレスミス]:[解釈]])</f>
        <v>0</v>
      </c>
    </row>
    <row r="18" spans="1:6" x14ac:dyDescent="0.55000000000000004">
      <c r="A18" s="48"/>
      <c r="B18" s="2"/>
      <c r="C18" s="36"/>
      <c r="D18" s="36"/>
      <c r="E18" s="36"/>
      <c r="F18" s="39">
        <f>SUM(テーブル1356[[#This Row],[ケアレスミス]:[解釈]])</f>
        <v>0</v>
      </c>
    </row>
    <row r="19" spans="1:6" x14ac:dyDescent="0.55000000000000004">
      <c r="A19" s="48"/>
      <c r="B19" s="2"/>
      <c r="C19" s="36"/>
      <c r="D19" s="36"/>
      <c r="E19" s="36"/>
      <c r="F19" s="39">
        <f>SUM(テーブル1356[[#This Row],[ケアレスミス]:[解釈]])</f>
        <v>0</v>
      </c>
    </row>
    <row r="20" spans="1:6" x14ac:dyDescent="0.55000000000000004">
      <c r="A20" s="48"/>
      <c r="B20" s="2"/>
      <c r="C20" s="36"/>
      <c r="D20" s="36"/>
      <c r="E20" s="36"/>
      <c r="F20" s="39">
        <f>SUM(テーブル1356[[#This Row],[ケアレスミス]:[解釈]])</f>
        <v>0</v>
      </c>
    </row>
    <row r="21" spans="1:6" x14ac:dyDescent="0.55000000000000004">
      <c r="A21" s="48"/>
      <c r="B21" s="2"/>
      <c r="C21" s="1"/>
      <c r="D21" s="1"/>
      <c r="E21" s="1"/>
      <c r="F21" s="39">
        <f>SUM(テーブル1356[[#This Row],[ケアレスミス]:[解釈]])</f>
        <v>0</v>
      </c>
    </row>
    <row r="22" spans="1:6" x14ac:dyDescent="0.55000000000000004">
      <c r="A22" s="48"/>
      <c r="B22" s="2"/>
      <c r="C22" s="1"/>
      <c r="D22" s="1"/>
      <c r="E22" s="1"/>
      <c r="F22" s="39">
        <f>SUM(テーブル1356[[#This Row],[ケアレスミス]:[解釈]])</f>
        <v>0</v>
      </c>
    </row>
    <row r="23" spans="1:6" x14ac:dyDescent="0.55000000000000004">
      <c r="A23" s="48"/>
      <c r="B23" s="2"/>
      <c r="C23" s="1"/>
      <c r="D23" s="1"/>
      <c r="E23" s="1"/>
      <c r="F23" s="39">
        <f>SUM(テーブル1356[[#This Row],[ケアレスミス]:[解釈]])</f>
        <v>0</v>
      </c>
    </row>
    <row r="24" spans="1:6" x14ac:dyDescent="0.55000000000000004">
      <c r="A24" s="48"/>
      <c r="B24" s="2"/>
      <c r="C24" s="1"/>
      <c r="D24" s="1"/>
      <c r="E24" s="1"/>
      <c r="F24" s="39">
        <f>SUM(テーブル1356[[#This Row],[ケアレスミス]:[解釈]])</f>
        <v>0</v>
      </c>
    </row>
    <row r="25" spans="1:6" x14ac:dyDescent="0.55000000000000004">
      <c r="A25" s="48"/>
      <c r="B25" s="2"/>
      <c r="C25" s="1"/>
      <c r="D25" s="1"/>
      <c r="E25" s="1"/>
      <c r="F25" s="39">
        <f>SUM(テーブル1356[[#This Row],[ケアレスミス]:[解釈]])</f>
        <v>0</v>
      </c>
    </row>
    <row r="26" spans="1:6" x14ac:dyDescent="0.55000000000000004">
      <c r="A26" s="48"/>
      <c r="B26" s="38"/>
      <c r="C26" s="39"/>
      <c r="D26" s="39"/>
      <c r="E26" s="39"/>
      <c r="F26" s="39">
        <f>SUM(テーブル1356[[#This Row],[ケアレスミス]:[解釈]])</f>
        <v>0</v>
      </c>
    </row>
    <row r="27" spans="1:6" x14ac:dyDescent="0.55000000000000004">
      <c r="A27" s="48"/>
      <c r="B27" s="38"/>
      <c r="C27" s="39"/>
      <c r="D27" s="39"/>
      <c r="E27" s="39"/>
      <c r="F27" s="39">
        <f>SUM(テーブル1356[[#This Row],[ケアレスミス]:[解釈]])</f>
        <v>0</v>
      </c>
    </row>
    <row r="28" spans="1:6" x14ac:dyDescent="0.55000000000000004">
      <c r="A28" s="48"/>
      <c r="B28" s="38"/>
      <c r="C28" s="39"/>
      <c r="D28" s="39"/>
      <c r="E28" s="39"/>
      <c r="F28" s="39">
        <f>SUM(テーブル1356[[#This Row],[ケアレスミス]:[解釈]])</f>
        <v>0</v>
      </c>
    </row>
    <row r="29" spans="1:6" x14ac:dyDescent="0.55000000000000004">
      <c r="A29" s="48"/>
      <c r="B29" s="38"/>
      <c r="C29" s="39"/>
      <c r="D29" s="39"/>
      <c r="E29" s="39"/>
      <c r="F29" s="39">
        <f>SUM(テーブル1356[[#This Row],[ケアレスミス]:[解釈]])</f>
        <v>0</v>
      </c>
    </row>
    <row r="30" spans="1:6" x14ac:dyDescent="0.55000000000000004">
      <c r="A30" s="48"/>
      <c r="B30" s="38"/>
      <c r="C30" s="39"/>
      <c r="D30" s="39"/>
      <c r="E30" s="39"/>
      <c r="F30" s="39">
        <f>SUM(テーブル1356[[#This Row],[ケアレスミス]:[解釈]])</f>
        <v>0</v>
      </c>
    </row>
    <row r="31" spans="1:6" x14ac:dyDescent="0.55000000000000004">
      <c r="A31" s="48"/>
      <c r="B31" s="38"/>
      <c r="C31" s="39"/>
      <c r="D31" s="39"/>
      <c r="E31" s="39"/>
      <c r="F31" s="39">
        <f>SUM(テーブル1356[[#This Row],[ケアレスミス]:[解釈]])</f>
        <v>0</v>
      </c>
    </row>
    <row r="32" spans="1:6" x14ac:dyDescent="0.55000000000000004">
      <c r="A32" s="48"/>
      <c r="B32" s="38"/>
      <c r="C32" s="39"/>
      <c r="D32" s="39"/>
      <c r="E32" s="39"/>
      <c r="F32" s="39">
        <f>SUM(テーブル1356[[#This Row],[ケアレスミス]:[解釈]])</f>
        <v>0</v>
      </c>
    </row>
    <row r="33" spans="1:6" x14ac:dyDescent="0.55000000000000004">
      <c r="A33" s="48"/>
      <c r="B33" s="2"/>
      <c r="C33" s="1"/>
      <c r="D33" s="1"/>
      <c r="E33" s="1"/>
      <c r="F33" s="39">
        <f>SUM(テーブル1356[[#This Row],[ケアレスミス]:[解釈]])</f>
        <v>0</v>
      </c>
    </row>
    <row r="34" spans="1:6" x14ac:dyDescent="0.55000000000000004">
      <c r="A34" s="48"/>
      <c r="B34" s="2"/>
      <c r="C34" s="1"/>
      <c r="D34" s="1"/>
      <c r="E34" s="1"/>
      <c r="F34" s="39">
        <f>SUM(テーブル1356[[#This Row],[ケアレスミス]:[解釈]])</f>
        <v>0</v>
      </c>
    </row>
    <row r="35" spans="1:6" x14ac:dyDescent="0.55000000000000004">
      <c r="A35" s="48"/>
      <c r="B35" s="2"/>
      <c r="C35" s="1"/>
      <c r="D35" s="1"/>
      <c r="E35" s="1"/>
      <c r="F35" s="39">
        <f>SUM(テーブル1356[[#This Row],[ケアレスミス]:[解釈]])</f>
        <v>0</v>
      </c>
    </row>
    <row r="36" spans="1:6" x14ac:dyDescent="0.55000000000000004">
      <c r="A36" s="48"/>
      <c r="B36" s="2"/>
      <c r="C36" s="1"/>
      <c r="D36" s="1"/>
      <c r="E36" s="1"/>
      <c r="F36" s="39">
        <f>SUM(テーブル1356[[#This Row],[ケアレスミス]:[解釈]])</f>
        <v>0</v>
      </c>
    </row>
    <row r="37" spans="1:6" x14ac:dyDescent="0.55000000000000004">
      <c r="A37" s="48"/>
      <c r="B37" s="2"/>
      <c r="C37" s="1"/>
      <c r="D37" s="1"/>
      <c r="E37" s="1"/>
      <c r="F37" s="39">
        <f>SUM(テーブル1356[[#This Row],[ケアレスミス]:[解釈]])</f>
        <v>0</v>
      </c>
    </row>
    <row r="38" spans="1:6" x14ac:dyDescent="0.55000000000000004">
      <c r="A38" s="48"/>
      <c r="B38" s="2"/>
      <c r="C38" s="1"/>
      <c r="D38" s="1"/>
      <c r="E38" s="1"/>
      <c r="F38" s="39">
        <f>SUM(テーブル1356[[#This Row],[ケアレスミス]:[解釈]])</f>
        <v>0</v>
      </c>
    </row>
    <row r="39" spans="1:6" x14ac:dyDescent="0.55000000000000004">
      <c r="A39" s="48"/>
      <c r="B39" s="2"/>
      <c r="C39" s="1"/>
      <c r="D39" s="1"/>
      <c r="E39" s="1"/>
      <c r="F39" s="39">
        <f>SUM(テーブル1356[[#This Row],[ケアレスミス]:[解釈]])</f>
        <v>0</v>
      </c>
    </row>
    <row r="40" spans="1:6" x14ac:dyDescent="0.55000000000000004">
      <c r="A40" s="48"/>
      <c r="B40" s="2"/>
      <c r="C40" s="1"/>
      <c r="D40" s="1"/>
      <c r="E40" s="1"/>
      <c r="F40" s="39">
        <f>SUM(テーブル1356[[#This Row],[ケアレスミス]:[解釈]])</f>
        <v>0</v>
      </c>
    </row>
    <row r="41" spans="1:6" x14ac:dyDescent="0.55000000000000004">
      <c r="A41" s="48"/>
      <c r="B41" s="2"/>
      <c r="C41" s="1"/>
      <c r="D41" s="1"/>
      <c r="E41" s="1"/>
      <c r="F41" s="39">
        <f>SUM(テーブル1356[[#This Row],[ケアレスミス]:[解釈]])</f>
        <v>0</v>
      </c>
    </row>
    <row r="42" spans="1:6" x14ac:dyDescent="0.55000000000000004">
      <c r="A42" s="48"/>
      <c r="B42" s="2"/>
      <c r="C42" s="1"/>
      <c r="D42" s="1"/>
      <c r="E42" s="1"/>
      <c r="F42" s="39">
        <f>SUM(テーブル1356[[#This Row],[ケアレスミス]:[解釈]])</f>
        <v>0</v>
      </c>
    </row>
    <row r="43" spans="1:6" x14ac:dyDescent="0.55000000000000004">
      <c r="A43" s="48"/>
      <c r="B43" s="2"/>
      <c r="C43" s="1"/>
      <c r="D43" s="1"/>
      <c r="E43" s="1"/>
      <c r="F43" s="39">
        <f>SUM(テーブル1356[[#This Row],[ケアレスミス]:[解釈]])</f>
        <v>0</v>
      </c>
    </row>
    <row r="44" spans="1:6" x14ac:dyDescent="0.55000000000000004">
      <c r="A44" s="48"/>
      <c r="B44" s="2"/>
      <c r="C44" s="1"/>
      <c r="D44" s="1"/>
      <c r="E44" s="1"/>
      <c r="F44" s="39">
        <f>SUM(テーブル1356[[#This Row],[ケアレスミス]:[解釈]])</f>
        <v>0</v>
      </c>
    </row>
    <row r="45" spans="1:6" x14ac:dyDescent="0.55000000000000004">
      <c r="A45" s="48"/>
      <c r="B45" s="2"/>
      <c r="C45" s="1"/>
      <c r="D45" s="1"/>
      <c r="E45" s="1"/>
      <c r="F45" s="39">
        <f>SUM(テーブル1356[[#This Row],[ケアレスミス]:[解釈]])</f>
        <v>0</v>
      </c>
    </row>
    <row r="46" spans="1:6" x14ac:dyDescent="0.55000000000000004">
      <c r="A46" s="48"/>
      <c r="B46" s="38"/>
      <c r="C46" s="39"/>
      <c r="D46" s="39"/>
      <c r="E46" s="39"/>
      <c r="F46" s="39">
        <f>SUM(テーブル1356[[#This Row],[ケアレスミス]:[解釈]])</f>
        <v>0</v>
      </c>
    </row>
    <row r="47" spans="1:6" x14ac:dyDescent="0.55000000000000004">
      <c r="A47" s="48"/>
      <c r="B47" s="38"/>
      <c r="C47" s="39"/>
      <c r="D47" s="39"/>
      <c r="E47" s="39"/>
      <c r="F47" s="39">
        <f>SUM(テーブル1356[[#This Row],[ケアレスミス]:[解釈]])</f>
        <v>0</v>
      </c>
    </row>
    <row r="48" spans="1:6" x14ac:dyDescent="0.55000000000000004">
      <c r="A48" s="48"/>
      <c r="B48" s="38"/>
      <c r="C48" s="39"/>
      <c r="D48" s="39"/>
      <c r="E48" s="39"/>
      <c r="F48" s="39">
        <f>SUM(テーブル1356[[#This Row],[ケアレスミス]:[解釈]])</f>
        <v>0</v>
      </c>
    </row>
    <row r="49" spans="1:6" x14ac:dyDescent="0.55000000000000004">
      <c r="A49" s="48"/>
      <c r="B49" s="2"/>
      <c r="C49" s="1"/>
      <c r="D49" s="1"/>
      <c r="E49" s="1"/>
      <c r="F49" s="39">
        <f>SUM(テーブル1356[[#This Row],[ケアレスミス]:[解釈]])</f>
        <v>0</v>
      </c>
    </row>
    <row r="50" spans="1:6" x14ac:dyDescent="0.55000000000000004">
      <c r="A50" s="48"/>
      <c r="B50" s="2"/>
      <c r="C50" s="1"/>
      <c r="D50" s="1"/>
      <c r="E50" s="1"/>
      <c r="F50" s="39">
        <f>SUM(テーブル1356[[#This Row],[ケアレスミス]:[解釈]])</f>
        <v>0</v>
      </c>
    </row>
    <row r="51" spans="1:6" x14ac:dyDescent="0.55000000000000004">
      <c r="A51" s="48"/>
      <c r="B51" s="2"/>
      <c r="C51" s="1"/>
      <c r="D51" s="1"/>
      <c r="E51" s="1"/>
      <c r="F51" s="39">
        <f>SUM(テーブル1356[[#This Row],[ケアレスミス]:[解釈]])</f>
        <v>0</v>
      </c>
    </row>
    <row r="52" spans="1:6" x14ac:dyDescent="0.55000000000000004">
      <c r="A52" s="48"/>
      <c r="B52" s="2"/>
      <c r="C52" s="1"/>
      <c r="D52" s="1"/>
      <c r="E52" s="1"/>
      <c r="F52" s="37">
        <f>SUM(テーブル1356[[#This Row],[ケアレスミス]:[解釈]])</f>
        <v>0</v>
      </c>
    </row>
    <row r="53" spans="1:6" x14ac:dyDescent="0.55000000000000004">
      <c r="A53" s="48"/>
      <c r="B53" s="2"/>
      <c r="C53" s="1"/>
      <c r="D53" s="1"/>
      <c r="E53" s="1"/>
      <c r="F53" s="37">
        <f>SUM(テーブル1356[[#This Row],[ケアレスミス]:[解釈]])</f>
        <v>0</v>
      </c>
    </row>
    <row r="54" spans="1:6" x14ac:dyDescent="0.55000000000000004">
      <c r="A54" s="48"/>
      <c r="B54" s="2"/>
      <c r="C54" s="1"/>
      <c r="D54" s="1"/>
      <c r="E54" s="1"/>
      <c r="F54" s="37">
        <f>SUM(テーブル1356[[#This Row],[ケアレスミス]:[解釈]])</f>
        <v>0</v>
      </c>
    </row>
    <row r="55" spans="1:6" x14ac:dyDescent="0.55000000000000004">
      <c r="A55" s="34"/>
      <c r="B55" s="2"/>
      <c r="C55" s="1"/>
      <c r="D55" s="1"/>
      <c r="E55" s="1"/>
      <c r="F55" s="37">
        <f>SUM(テーブル1356[[#This Row],[ケアレスミス]:[解釈]])</f>
        <v>0</v>
      </c>
    </row>
    <row r="56" spans="1:6" x14ac:dyDescent="0.55000000000000004">
      <c r="A56" s="34"/>
      <c r="B56" s="2"/>
      <c r="C56" s="1"/>
      <c r="D56" s="1"/>
      <c r="E56" s="1"/>
      <c r="F56" s="37">
        <f>SUM(テーブル1356[[#This Row],[ケアレスミス]:[解釈]])</f>
        <v>0</v>
      </c>
    </row>
    <row r="57" spans="1:6" x14ac:dyDescent="0.55000000000000004">
      <c r="A57" s="34"/>
      <c r="B57" s="2"/>
      <c r="C57" s="1"/>
      <c r="D57" s="1"/>
      <c r="E57" s="1"/>
      <c r="F57" s="37">
        <f>SUM(テーブル1356[[#This Row],[ケアレスミス]:[解釈]])</f>
        <v>0</v>
      </c>
    </row>
    <row r="58" spans="1:6" x14ac:dyDescent="0.55000000000000004">
      <c r="A58" s="41" t="s">
        <v>86</v>
      </c>
      <c r="B58" s="38"/>
      <c r="C58" s="39">
        <f>SUBTOTAL(109,テーブル1356[ケアレスミス])</f>
        <v>0</v>
      </c>
      <c r="D58" s="39">
        <f>SUBTOTAL(109,テーブル1356[インシデント])</f>
        <v>0</v>
      </c>
      <c r="E58" s="39">
        <f>SUBTOTAL(109,テーブル1356[解釈])</f>
        <v>0</v>
      </c>
      <c r="F58" s="40">
        <f>SUBTOTAL(109,テーブル1356[FB数合計])</f>
        <v>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3B30-440B-4B2A-BB22-0B30AA333161}">
  <sheetPr codeName="Sheet20"/>
  <dimension ref="B3:J98"/>
  <sheetViews>
    <sheetView topLeftCell="A21" workbookViewId="0">
      <selection activeCell="H4" sqref="H4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590</v>
      </c>
    </row>
    <row r="6" spans="2:2" x14ac:dyDescent="0.55000000000000004">
      <c r="B6" s="43" t="s">
        <v>596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/>
      <c r="D27" s="44"/>
      <c r="E27" s="44"/>
      <c r="F27" s="44"/>
      <c r="G27" s="44"/>
      <c r="H27" s="44"/>
      <c r="I27" s="1"/>
      <c r="J27" s="1"/>
    </row>
    <row r="28" spans="2:10" x14ac:dyDescent="0.55000000000000004">
      <c r="B28" s="1" t="s">
        <v>28</v>
      </c>
      <c r="C28" s="1"/>
      <c r="D28" s="1"/>
      <c r="E28" s="1"/>
      <c r="F28" s="1"/>
      <c r="G28" s="1"/>
      <c r="H28" s="1"/>
      <c r="I28" s="1"/>
      <c r="J28" s="1"/>
    </row>
    <row r="29" spans="2:10" x14ac:dyDescent="0.55000000000000004">
      <c r="B29" s="1" t="s">
        <v>29</v>
      </c>
      <c r="C29" s="1"/>
      <c r="D29" s="1"/>
      <c r="E29" s="1"/>
      <c r="F29" s="1"/>
      <c r="G29" s="1"/>
      <c r="H29" s="1"/>
      <c r="I29" s="1"/>
      <c r="J29" s="1"/>
    </row>
    <row r="30" spans="2:10" x14ac:dyDescent="0.55000000000000004">
      <c r="B30" s="1" t="s">
        <v>68</v>
      </c>
      <c r="C30" s="1"/>
      <c r="D30" s="1"/>
      <c r="E30" s="1"/>
      <c r="F30" s="1"/>
      <c r="G30" s="1"/>
      <c r="H30" s="1"/>
      <c r="I30" s="1"/>
      <c r="J30" s="1"/>
    </row>
    <row r="31" spans="2:10" x14ac:dyDescent="0.55000000000000004">
      <c r="B31" s="1" t="s">
        <v>36</v>
      </c>
      <c r="C31" s="1"/>
      <c r="D31" s="1"/>
      <c r="E31" s="1"/>
      <c r="F31" s="1"/>
      <c r="G31" s="1"/>
      <c r="H31" s="1"/>
      <c r="I31" s="1"/>
      <c r="J31" s="1"/>
    </row>
    <row r="32" spans="2:10" x14ac:dyDescent="0.55000000000000004">
      <c r="B32" s="1" t="s">
        <v>320</v>
      </c>
      <c r="C32" s="1"/>
      <c r="D32" s="1"/>
      <c r="E32" s="1"/>
      <c r="F32" s="1"/>
      <c r="G32" s="1"/>
      <c r="H32" s="1"/>
      <c r="I32" s="1"/>
      <c r="J32" s="1"/>
    </row>
    <row r="33" spans="2:10" x14ac:dyDescent="0.55000000000000004">
      <c r="B33" s="1" t="s">
        <v>321</v>
      </c>
      <c r="C33" s="1"/>
      <c r="D33" s="1"/>
      <c r="E33" s="1"/>
      <c r="F33" s="1"/>
      <c r="G33" s="1"/>
      <c r="H33" s="1"/>
      <c r="I33" s="1"/>
      <c r="J33" s="1"/>
    </row>
    <row r="34" spans="2:10" x14ac:dyDescent="0.55000000000000004">
      <c r="B34" s="1" t="s">
        <v>27</v>
      </c>
      <c r="C34" s="1"/>
      <c r="D34" s="1"/>
      <c r="E34" s="1"/>
      <c r="F34" s="1"/>
      <c r="G34" s="1"/>
      <c r="H34" s="1"/>
      <c r="I34" s="1"/>
      <c r="J34" s="1"/>
    </row>
    <row r="35" spans="2:10" x14ac:dyDescent="0.55000000000000004">
      <c r="B35" s="1"/>
      <c r="C35" s="1"/>
      <c r="D35" s="1"/>
      <c r="E35" s="1"/>
      <c r="F35" s="1"/>
      <c r="G35" s="1"/>
      <c r="H35" s="1"/>
      <c r="I35" s="1"/>
      <c r="J35" s="1"/>
    </row>
    <row r="38" spans="2:10" x14ac:dyDescent="0.55000000000000004">
      <c r="B38" s="43" t="s">
        <v>597</v>
      </c>
    </row>
    <row r="58" spans="2:10" x14ac:dyDescent="0.55000000000000004">
      <c r="B58" s="1" t="s">
        <v>67</v>
      </c>
      <c r="C58" s="44">
        <v>45444</v>
      </c>
      <c r="D58" s="44"/>
      <c r="E58" s="44"/>
      <c r="F58" s="44"/>
      <c r="G58" s="44"/>
      <c r="H58" s="44"/>
      <c r="I58" s="1"/>
      <c r="J58" s="1"/>
    </row>
    <row r="59" spans="2:10" x14ac:dyDescent="0.55000000000000004">
      <c r="B59" s="1" t="s">
        <v>28</v>
      </c>
      <c r="C59" s="1"/>
      <c r="D59" s="1"/>
      <c r="E59" s="1"/>
      <c r="F59" s="1"/>
      <c r="G59" s="1"/>
      <c r="H59" s="1"/>
      <c r="I59" s="1"/>
      <c r="J59" s="1"/>
    </row>
    <row r="60" spans="2:10" x14ac:dyDescent="0.55000000000000004">
      <c r="B60" s="1" t="s">
        <v>29</v>
      </c>
      <c r="C60" s="1"/>
      <c r="D60" s="1"/>
      <c r="E60" s="1"/>
      <c r="F60" s="1"/>
      <c r="G60" s="1"/>
      <c r="H60" s="1"/>
      <c r="I60" s="1"/>
      <c r="J60" s="1"/>
    </row>
    <row r="61" spans="2:10" x14ac:dyDescent="0.55000000000000004">
      <c r="B61" s="1" t="s">
        <v>68</v>
      </c>
      <c r="C61" s="1"/>
      <c r="D61" s="1"/>
      <c r="E61" s="1"/>
      <c r="F61" s="1"/>
      <c r="G61" s="1"/>
      <c r="H61" s="1"/>
      <c r="I61" s="1"/>
      <c r="J61" s="1"/>
    </row>
    <row r="62" spans="2:10" x14ac:dyDescent="0.55000000000000004">
      <c r="B62" s="1" t="s">
        <v>36</v>
      </c>
      <c r="C62" s="1"/>
      <c r="D62" s="1"/>
      <c r="E62" s="1"/>
      <c r="F62" s="1"/>
      <c r="G62" s="1"/>
      <c r="H62" s="1"/>
      <c r="I62" s="1"/>
      <c r="J62" s="1"/>
    </row>
    <row r="63" spans="2:10" x14ac:dyDescent="0.55000000000000004">
      <c r="B63" s="1" t="s">
        <v>320</v>
      </c>
      <c r="C63" s="1"/>
      <c r="D63" s="1"/>
      <c r="E63" s="1"/>
      <c r="F63" s="1"/>
      <c r="G63" s="1"/>
      <c r="H63" s="1"/>
      <c r="I63" s="1"/>
      <c r="J63" s="1"/>
    </row>
    <row r="64" spans="2:10" x14ac:dyDescent="0.55000000000000004">
      <c r="B64" s="1" t="s">
        <v>321</v>
      </c>
      <c r="C64" s="1"/>
      <c r="D64" s="1"/>
      <c r="E64" s="1"/>
      <c r="F64" s="1"/>
      <c r="G64" s="1"/>
      <c r="H64" s="1"/>
      <c r="I64" s="1"/>
      <c r="J64" s="1"/>
    </row>
    <row r="65" spans="2:10" x14ac:dyDescent="0.55000000000000004">
      <c r="B65" s="1" t="s">
        <v>27</v>
      </c>
      <c r="C65" s="1"/>
      <c r="D65" s="1"/>
      <c r="E65" s="1"/>
      <c r="F65" s="1"/>
      <c r="G65" s="1"/>
      <c r="H65" s="1"/>
      <c r="I65" s="1"/>
      <c r="J65" s="1"/>
    </row>
    <row r="66" spans="2:10" x14ac:dyDescent="0.55000000000000004">
      <c r="B66" s="1"/>
      <c r="C66" s="1"/>
      <c r="D66" s="1"/>
      <c r="E66" s="1"/>
      <c r="F66" s="1"/>
      <c r="G66" s="1"/>
      <c r="H66" s="1"/>
      <c r="I66" s="1"/>
      <c r="J66" s="1"/>
    </row>
    <row r="70" spans="2:10" x14ac:dyDescent="0.55000000000000004">
      <c r="B70" s="43" t="s">
        <v>598</v>
      </c>
    </row>
    <row r="71" spans="2:10" x14ac:dyDescent="0.55000000000000004">
      <c r="B71" s="43"/>
    </row>
    <row r="72" spans="2:10" x14ac:dyDescent="0.55000000000000004">
      <c r="B72" s="43"/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90" spans="2:10" x14ac:dyDescent="0.55000000000000004">
      <c r="B90" s="1" t="s">
        <v>67</v>
      </c>
      <c r="C90" s="44">
        <v>45444</v>
      </c>
      <c r="D90" s="44"/>
      <c r="E90" s="44"/>
      <c r="F90" s="44"/>
      <c r="G90" s="44"/>
      <c r="H90" s="44"/>
      <c r="I90" s="1"/>
      <c r="J90" s="1"/>
    </row>
    <row r="91" spans="2:10" x14ac:dyDescent="0.55000000000000004">
      <c r="B91" s="1" t="s">
        <v>28</v>
      </c>
      <c r="C91" s="1"/>
      <c r="D91" s="1"/>
      <c r="E91" s="1"/>
      <c r="F91" s="1"/>
      <c r="G91" s="1"/>
      <c r="H91" s="1"/>
      <c r="I91" s="1"/>
      <c r="J91" s="1"/>
    </row>
    <row r="92" spans="2:10" x14ac:dyDescent="0.55000000000000004">
      <c r="B92" s="1" t="s">
        <v>29</v>
      </c>
      <c r="C92" s="1"/>
      <c r="D92" s="1"/>
      <c r="E92" s="1"/>
      <c r="F92" s="1"/>
      <c r="G92" s="1"/>
      <c r="H92" s="1"/>
      <c r="I92" s="1"/>
      <c r="J92" s="1"/>
    </row>
    <row r="93" spans="2:10" x14ac:dyDescent="0.55000000000000004">
      <c r="B93" s="1" t="s">
        <v>68</v>
      </c>
      <c r="C93" s="1"/>
      <c r="D93" s="1"/>
      <c r="E93" s="1"/>
      <c r="F93" s="1"/>
      <c r="G93" s="1"/>
      <c r="H93" s="1"/>
      <c r="I93" s="1"/>
      <c r="J93" s="1"/>
    </row>
    <row r="94" spans="2:10" x14ac:dyDescent="0.55000000000000004">
      <c r="B94" s="1" t="s">
        <v>36</v>
      </c>
      <c r="C94" s="1"/>
      <c r="D94" s="1"/>
      <c r="E94" s="1"/>
      <c r="F94" s="1"/>
      <c r="G94" s="1"/>
      <c r="H94" s="1"/>
      <c r="I94" s="1"/>
      <c r="J94" s="1"/>
    </row>
    <row r="95" spans="2:10" x14ac:dyDescent="0.55000000000000004">
      <c r="B95" s="1" t="s">
        <v>320</v>
      </c>
      <c r="C95" s="1"/>
      <c r="D95" s="1"/>
      <c r="E95" s="1"/>
      <c r="F95" s="1"/>
      <c r="G95" s="1"/>
      <c r="H95" s="1"/>
      <c r="I95" s="1"/>
      <c r="J95" s="1"/>
    </row>
    <row r="96" spans="2:10" x14ac:dyDescent="0.55000000000000004">
      <c r="B96" s="1" t="s">
        <v>321</v>
      </c>
      <c r="C96" s="1"/>
      <c r="D96" s="1"/>
      <c r="E96" s="1"/>
      <c r="F96" s="1"/>
      <c r="G96" s="1"/>
      <c r="H96" s="1"/>
      <c r="I96" s="1"/>
      <c r="J96" s="1"/>
    </row>
    <row r="97" spans="2:10" x14ac:dyDescent="0.55000000000000004">
      <c r="B97" s="1" t="s">
        <v>27</v>
      </c>
      <c r="C97" s="1"/>
      <c r="D97" s="1"/>
      <c r="E97" s="1"/>
      <c r="F97" s="1"/>
      <c r="G97" s="1"/>
      <c r="H97" s="1"/>
      <c r="I97" s="1"/>
      <c r="J97" s="1"/>
    </row>
    <row r="98" spans="2:10" x14ac:dyDescent="0.55000000000000004">
      <c r="B98" s="1"/>
      <c r="C98" s="1"/>
      <c r="D98" s="1"/>
      <c r="E98" s="1"/>
      <c r="F98" s="1"/>
      <c r="G98" s="1"/>
      <c r="H98" s="1"/>
      <c r="I98" s="1"/>
      <c r="J98" s="1"/>
    </row>
  </sheetData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524CC-D056-4E46-9182-E6944DFECDE0}">
  <sheetPr codeName="Sheet36">
    <tabColor theme="9" tint="0.79998168889431442"/>
  </sheetPr>
  <dimension ref="A2:G28"/>
  <sheetViews>
    <sheetView zoomScale="85" zoomScaleNormal="85" workbookViewId="0">
      <selection activeCell="E5" sqref="E5"/>
    </sheetView>
  </sheetViews>
  <sheetFormatPr defaultColWidth="9" defaultRowHeight="18" x14ac:dyDescent="0.55000000000000004"/>
  <cols>
    <col min="1" max="1" width="3.58203125" style="104" customWidth="1"/>
    <col min="2" max="2" width="7.08203125" style="105" customWidth="1"/>
    <col min="3" max="3" width="14.08203125" style="106" bestFit="1" customWidth="1"/>
    <col min="4" max="4" width="21.08203125" style="107" bestFit="1" customWidth="1"/>
    <col min="5" max="5" width="103.08203125" style="107" customWidth="1"/>
    <col min="6" max="7" width="17" style="107" bestFit="1" customWidth="1"/>
    <col min="8" max="16384" width="9" style="98"/>
  </cols>
  <sheetData>
    <row r="2" spans="2:7" x14ac:dyDescent="0.55000000000000004">
      <c r="B2" s="94" t="s">
        <v>648</v>
      </c>
      <c r="C2" s="95"/>
      <c r="D2" s="96"/>
      <c r="E2" s="96"/>
      <c r="F2" s="96"/>
      <c r="G2" s="97"/>
    </row>
    <row r="3" spans="2:7" ht="30" x14ac:dyDescent="0.55000000000000004">
      <c r="B3" s="99" t="s">
        <v>649</v>
      </c>
      <c r="C3" s="100" t="s">
        <v>650</v>
      </c>
      <c r="D3" s="101" t="s">
        <v>651</v>
      </c>
      <c r="E3" s="102" t="s">
        <v>652</v>
      </c>
      <c r="F3" s="101" t="s">
        <v>653</v>
      </c>
      <c r="G3" s="101" t="s">
        <v>654</v>
      </c>
    </row>
    <row r="4" spans="2:7" x14ac:dyDescent="0.55000000000000004">
      <c r="B4" s="99">
        <v>2</v>
      </c>
      <c r="C4" s="103">
        <v>45576</v>
      </c>
      <c r="D4" s="102" t="s">
        <v>655</v>
      </c>
      <c r="E4" s="101" t="s">
        <v>656</v>
      </c>
      <c r="F4" s="102"/>
      <c r="G4" s="102"/>
    </row>
    <row r="5" spans="2:7" x14ac:dyDescent="0.55000000000000004">
      <c r="B5" s="99">
        <v>2.0099999999999998</v>
      </c>
      <c r="C5" s="103">
        <v>45596</v>
      </c>
      <c r="D5" s="102" t="s">
        <v>687</v>
      </c>
      <c r="E5" s="101"/>
      <c r="F5" s="102"/>
      <c r="G5" s="102"/>
    </row>
    <row r="6" spans="2:7" x14ac:dyDescent="0.55000000000000004">
      <c r="B6" s="99"/>
      <c r="C6" s="103"/>
      <c r="D6" s="102"/>
      <c r="E6" s="101"/>
      <c r="F6" s="102"/>
      <c r="G6" s="102"/>
    </row>
    <row r="7" spans="2:7" x14ac:dyDescent="0.55000000000000004">
      <c r="B7" s="99"/>
      <c r="C7" s="103"/>
      <c r="D7" s="102"/>
      <c r="E7" s="101"/>
      <c r="F7" s="102"/>
      <c r="G7" s="102"/>
    </row>
    <row r="8" spans="2:7" x14ac:dyDescent="0.55000000000000004">
      <c r="B8" s="99"/>
      <c r="C8" s="103"/>
      <c r="D8" s="102"/>
      <c r="E8" s="101"/>
      <c r="F8" s="102"/>
      <c r="G8" s="102"/>
    </row>
    <row r="9" spans="2:7" x14ac:dyDescent="0.55000000000000004">
      <c r="B9" s="99"/>
      <c r="C9" s="103"/>
      <c r="D9" s="102"/>
      <c r="E9" s="101"/>
      <c r="F9" s="102"/>
      <c r="G9" s="102"/>
    </row>
    <row r="10" spans="2:7" x14ac:dyDescent="0.55000000000000004">
      <c r="B10" s="99"/>
      <c r="C10" s="103"/>
      <c r="D10" s="102"/>
      <c r="E10" s="101"/>
      <c r="F10" s="102"/>
      <c r="G10" s="102"/>
    </row>
    <row r="11" spans="2:7" x14ac:dyDescent="0.55000000000000004">
      <c r="B11" s="99"/>
      <c r="C11" s="103"/>
      <c r="D11" s="102"/>
      <c r="E11" s="101"/>
      <c r="F11" s="102"/>
      <c r="G11" s="102"/>
    </row>
    <row r="12" spans="2:7" x14ac:dyDescent="0.55000000000000004">
      <c r="B12" s="99"/>
      <c r="C12" s="103"/>
      <c r="D12" s="102"/>
      <c r="E12" s="101"/>
      <c r="F12" s="102"/>
      <c r="G12" s="102"/>
    </row>
    <row r="13" spans="2:7" x14ac:dyDescent="0.55000000000000004">
      <c r="B13" s="99"/>
      <c r="C13" s="103"/>
      <c r="D13" s="102"/>
      <c r="E13" s="102"/>
      <c r="F13" s="102"/>
      <c r="G13" s="102"/>
    </row>
    <row r="14" spans="2:7" x14ac:dyDescent="0.55000000000000004">
      <c r="B14" s="99"/>
      <c r="C14" s="100"/>
      <c r="D14" s="102"/>
      <c r="E14" s="102"/>
      <c r="F14" s="102"/>
      <c r="G14" s="102"/>
    </row>
    <row r="15" spans="2:7" x14ac:dyDescent="0.55000000000000004">
      <c r="B15" s="99"/>
      <c r="C15" s="100"/>
      <c r="D15" s="102"/>
      <c r="E15" s="102"/>
      <c r="F15" s="102"/>
      <c r="G15" s="102"/>
    </row>
    <row r="16" spans="2:7" x14ac:dyDescent="0.55000000000000004">
      <c r="B16" s="99"/>
      <c r="C16" s="100"/>
      <c r="D16" s="102"/>
      <c r="E16" s="102"/>
      <c r="F16" s="102"/>
      <c r="G16" s="102"/>
    </row>
    <row r="17" spans="2:7" x14ac:dyDescent="0.55000000000000004">
      <c r="B17" s="99"/>
      <c r="C17" s="100"/>
      <c r="D17" s="102"/>
      <c r="E17" s="102"/>
      <c r="F17" s="102"/>
      <c r="G17" s="102"/>
    </row>
    <row r="18" spans="2:7" x14ac:dyDescent="0.55000000000000004">
      <c r="B18" s="99"/>
      <c r="C18" s="100"/>
      <c r="D18" s="102"/>
      <c r="E18" s="102"/>
      <c r="F18" s="102"/>
      <c r="G18" s="102"/>
    </row>
    <row r="19" spans="2:7" x14ac:dyDescent="0.55000000000000004">
      <c r="B19" s="99"/>
      <c r="C19" s="100"/>
      <c r="D19" s="102"/>
      <c r="E19" s="102"/>
      <c r="F19" s="102"/>
      <c r="G19" s="102"/>
    </row>
    <row r="20" spans="2:7" x14ac:dyDescent="0.55000000000000004">
      <c r="B20" s="99"/>
      <c r="C20" s="100"/>
      <c r="D20" s="102"/>
      <c r="E20" s="102"/>
      <c r="F20" s="102"/>
      <c r="G20" s="102"/>
    </row>
    <row r="21" spans="2:7" x14ac:dyDescent="0.55000000000000004">
      <c r="B21" s="99"/>
      <c r="C21" s="100"/>
      <c r="D21" s="102"/>
      <c r="E21" s="102"/>
      <c r="F21" s="102"/>
      <c r="G21" s="102"/>
    </row>
    <row r="22" spans="2:7" x14ac:dyDescent="0.55000000000000004">
      <c r="B22" s="99"/>
      <c r="C22" s="100"/>
      <c r="D22" s="102"/>
      <c r="E22" s="102"/>
      <c r="F22" s="102"/>
      <c r="G22" s="102"/>
    </row>
    <row r="23" spans="2:7" x14ac:dyDescent="0.55000000000000004">
      <c r="B23" s="99"/>
      <c r="C23" s="100"/>
      <c r="D23" s="102"/>
      <c r="E23" s="102"/>
      <c r="F23" s="102"/>
      <c r="G23" s="102"/>
    </row>
    <row r="24" spans="2:7" x14ac:dyDescent="0.55000000000000004">
      <c r="B24" s="99"/>
      <c r="C24" s="100"/>
      <c r="D24" s="102"/>
      <c r="E24" s="102"/>
      <c r="F24" s="102"/>
      <c r="G24" s="102"/>
    </row>
    <row r="25" spans="2:7" x14ac:dyDescent="0.55000000000000004">
      <c r="B25" s="99"/>
      <c r="C25" s="100"/>
      <c r="D25" s="102"/>
      <c r="E25" s="102"/>
      <c r="F25" s="102"/>
      <c r="G25" s="102"/>
    </row>
    <row r="26" spans="2:7" x14ac:dyDescent="0.55000000000000004">
      <c r="B26" s="99"/>
      <c r="C26" s="100"/>
      <c r="D26" s="102"/>
      <c r="E26" s="102"/>
      <c r="F26" s="102"/>
      <c r="G26" s="102"/>
    </row>
    <row r="27" spans="2:7" x14ac:dyDescent="0.55000000000000004">
      <c r="B27" s="99"/>
      <c r="C27" s="100"/>
      <c r="D27" s="102"/>
      <c r="E27" s="102"/>
      <c r="F27" s="102"/>
      <c r="G27" s="102"/>
    </row>
    <row r="28" spans="2:7" x14ac:dyDescent="0.55000000000000004">
      <c r="B28" s="99"/>
      <c r="C28" s="100"/>
      <c r="D28" s="102"/>
      <c r="E28" s="102"/>
      <c r="F28" s="102"/>
      <c r="G28" s="102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61EF2-DDBF-45E0-AF01-F025AEFDA4F7}">
  <sheetPr codeName="Sheet34">
    <tabColor theme="0" tint="-0.249977111117893"/>
  </sheetPr>
  <dimension ref="A1"/>
  <sheetViews>
    <sheetView workbookViewId="0">
      <selection activeCell="E11" sqref="E11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42DEC-9116-4499-A38A-83400A966D43}">
  <sheetPr codeName="Sheet29"/>
  <dimension ref="B3:J92"/>
  <sheetViews>
    <sheetView topLeftCell="A13" workbookViewId="0">
      <selection activeCell="H24" sqref="H24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9" width="9.8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461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45170</v>
      </c>
      <c r="D27" s="44">
        <v>45200</v>
      </c>
      <c r="E27" s="44">
        <v>45231</v>
      </c>
      <c r="F27" s="44">
        <v>45261</v>
      </c>
      <c r="G27" s="44">
        <v>45292</v>
      </c>
      <c r="H27" s="44">
        <v>45323</v>
      </c>
      <c r="I27" s="44">
        <v>45352</v>
      </c>
      <c r="J27" s="1"/>
    </row>
    <row r="28" spans="2:10" x14ac:dyDescent="0.55000000000000004">
      <c r="B28" s="1" t="s">
        <v>39</v>
      </c>
      <c r="C28" s="1">
        <v>1</v>
      </c>
      <c r="D28" s="1">
        <v>0</v>
      </c>
      <c r="E28" s="1">
        <v>0</v>
      </c>
      <c r="F28" s="1">
        <v>0</v>
      </c>
      <c r="G28" s="1">
        <v>2</v>
      </c>
      <c r="H28" s="1">
        <v>0</v>
      </c>
      <c r="I28" s="1">
        <v>0</v>
      </c>
      <c r="J28" s="1"/>
    </row>
    <row r="29" spans="2:10" x14ac:dyDescent="0.55000000000000004">
      <c r="B29" s="1" t="s">
        <v>28</v>
      </c>
      <c r="C29" s="1">
        <v>1</v>
      </c>
      <c r="D29" s="1">
        <v>6</v>
      </c>
      <c r="E29" s="1">
        <v>2</v>
      </c>
      <c r="F29" s="1">
        <v>0</v>
      </c>
      <c r="G29" s="1">
        <v>19</v>
      </c>
      <c r="H29" s="1">
        <v>5</v>
      </c>
      <c r="I29" s="1">
        <v>2</v>
      </c>
      <c r="J29" s="1"/>
    </row>
    <row r="30" spans="2:10" x14ac:dyDescent="0.55000000000000004">
      <c r="B30" s="1" t="s">
        <v>66</v>
      </c>
      <c r="C30" s="1">
        <v>0</v>
      </c>
      <c r="D30" s="1">
        <v>0</v>
      </c>
      <c r="E30" s="1">
        <v>0</v>
      </c>
      <c r="F30" s="1">
        <v>5</v>
      </c>
      <c r="G30" s="1">
        <v>2</v>
      </c>
      <c r="H30" s="1">
        <v>2</v>
      </c>
      <c r="I30" s="1">
        <v>1</v>
      </c>
      <c r="J30" s="1"/>
    </row>
    <row r="31" spans="2:10" x14ac:dyDescent="0.55000000000000004">
      <c r="B31" s="1" t="s">
        <v>68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1</v>
      </c>
      <c r="I31" s="1">
        <v>7</v>
      </c>
      <c r="J31" s="1"/>
    </row>
    <row r="32" spans="2:10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1</v>
      </c>
      <c r="G32" s="1">
        <v>0</v>
      </c>
      <c r="H32" s="1">
        <v>0</v>
      </c>
      <c r="I32" s="1">
        <v>0</v>
      </c>
      <c r="J32" s="1"/>
    </row>
    <row r="33" spans="2:10" x14ac:dyDescent="0.55000000000000004">
      <c r="B33" s="1" t="s">
        <v>40</v>
      </c>
      <c r="C33" s="1">
        <v>0</v>
      </c>
      <c r="D33" s="1">
        <v>0</v>
      </c>
      <c r="E33" s="1">
        <v>0</v>
      </c>
      <c r="F33" s="1">
        <v>3</v>
      </c>
      <c r="G33" s="1">
        <v>0</v>
      </c>
      <c r="H33" s="1">
        <v>0</v>
      </c>
      <c r="I33" s="1">
        <v>0</v>
      </c>
      <c r="J33" s="1"/>
    </row>
    <row r="36" spans="2:10" x14ac:dyDescent="0.55000000000000004">
      <c r="B36" s="43" t="s">
        <v>462</v>
      </c>
    </row>
    <row r="56" spans="2:10" x14ac:dyDescent="0.55000000000000004">
      <c r="B56" s="1" t="s">
        <v>67</v>
      </c>
      <c r="C56" s="44">
        <v>45170</v>
      </c>
      <c r="D56" s="44">
        <v>45200</v>
      </c>
      <c r="E56" s="44">
        <v>45231</v>
      </c>
      <c r="F56" s="44">
        <v>45261</v>
      </c>
      <c r="G56" s="44">
        <v>45292</v>
      </c>
      <c r="H56" s="44">
        <v>45323</v>
      </c>
      <c r="I56" s="44">
        <v>45352</v>
      </c>
      <c r="J56" s="1"/>
    </row>
    <row r="57" spans="2:10" x14ac:dyDescent="0.55000000000000004">
      <c r="B57" s="1" t="s">
        <v>39</v>
      </c>
      <c r="C57" s="1">
        <v>0</v>
      </c>
      <c r="D57" s="1">
        <v>0</v>
      </c>
      <c r="E57" s="1">
        <v>0</v>
      </c>
      <c r="F57" s="1">
        <v>0</v>
      </c>
      <c r="G57" s="1">
        <v>1</v>
      </c>
      <c r="H57" s="1">
        <v>0</v>
      </c>
      <c r="I57" s="1">
        <v>0</v>
      </c>
      <c r="J57" s="1"/>
    </row>
    <row r="58" spans="2:10" x14ac:dyDescent="0.55000000000000004">
      <c r="B58" s="1" t="s">
        <v>28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/>
    </row>
    <row r="59" spans="2:10" x14ac:dyDescent="0.55000000000000004">
      <c r="B59" s="1" t="s">
        <v>66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/>
    </row>
    <row r="60" spans="2:10" x14ac:dyDescent="0.55000000000000004">
      <c r="B60" s="1" t="s">
        <v>68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/>
    </row>
    <row r="61" spans="2:10" x14ac:dyDescent="0.55000000000000004">
      <c r="B61" s="1" t="s">
        <v>27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/>
    </row>
    <row r="62" spans="2:10" x14ac:dyDescent="0.55000000000000004">
      <c r="B62" s="1" t="s">
        <v>40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/>
    </row>
    <row r="66" spans="2:2" x14ac:dyDescent="0.55000000000000004">
      <c r="B66" s="43" t="s">
        <v>72</v>
      </c>
    </row>
    <row r="67" spans="2:2" x14ac:dyDescent="0.55000000000000004">
      <c r="B67" s="43"/>
    </row>
    <row r="68" spans="2:2" x14ac:dyDescent="0.55000000000000004">
      <c r="B68" s="43"/>
    </row>
    <row r="69" spans="2:2" x14ac:dyDescent="0.55000000000000004">
      <c r="B69" s="43"/>
    </row>
    <row r="70" spans="2:2" x14ac:dyDescent="0.55000000000000004">
      <c r="B70" s="43"/>
    </row>
    <row r="71" spans="2:2" x14ac:dyDescent="0.55000000000000004">
      <c r="B71" s="43"/>
    </row>
    <row r="72" spans="2:2" x14ac:dyDescent="0.55000000000000004">
      <c r="B72" s="43"/>
    </row>
    <row r="73" spans="2:2" x14ac:dyDescent="0.55000000000000004">
      <c r="B73" s="43"/>
    </row>
    <row r="74" spans="2:2" x14ac:dyDescent="0.55000000000000004">
      <c r="B74" s="43"/>
    </row>
    <row r="75" spans="2:2" x14ac:dyDescent="0.55000000000000004">
      <c r="B75" s="43"/>
    </row>
    <row r="76" spans="2:2" x14ac:dyDescent="0.55000000000000004">
      <c r="B76" s="43"/>
    </row>
    <row r="77" spans="2:2" x14ac:dyDescent="0.55000000000000004">
      <c r="B77" s="43"/>
    </row>
    <row r="78" spans="2:2" x14ac:dyDescent="0.55000000000000004">
      <c r="B78" s="43"/>
    </row>
    <row r="86" spans="2:10" x14ac:dyDescent="0.55000000000000004">
      <c r="B86" s="1" t="s">
        <v>67</v>
      </c>
      <c r="C86" s="44">
        <v>45170</v>
      </c>
      <c r="D86" s="44">
        <v>45200</v>
      </c>
      <c r="E86" s="44">
        <v>45231</v>
      </c>
      <c r="F86" s="44">
        <v>45261</v>
      </c>
      <c r="G86" s="44">
        <v>45292</v>
      </c>
      <c r="H86" s="44">
        <v>45323</v>
      </c>
      <c r="I86" s="44">
        <v>45352</v>
      </c>
      <c r="J86" s="1"/>
    </row>
    <row r="87" spans="2:10" x14ac:dyDescent="0.55000000000000004">
      <c r="B87" s="1" t="s">
        <v>39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/>
    </row>
    <row r="88" spans="2:10" x14ac:dyDescent="0.55000000000000004">
      <c r="B88" s="1" t="s">
        <v>28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/>
    </row>
    <row r="89" spans="2:10" x14ac:dyDescent="0.55000000000000004">
      <c r="B89" s="1" t="s">
        <v>66</v>
      </c>
      <c r="C89" s="1">
        <v>0</v>
      </c>
      <c r="D89" s="1">
        <v>0</v>
      </c>
      <c r="E89" s="1">
        <v>0</v>
      </c>
      <c r="F89" s="1">
        <v>2</v>
      </c>
      <c r="G89" s="1">
        <v>2</v>
      </c>
      <c r="H89" s="1">
        <v>2</v>
      </c>
      <c r="I89" s="1">
        <v>0</v>
      </c>
      <c r="J89" s="1"/>
    </row>
    <row r="90" spans="2:10" x14ac:dyDescent="0.55000000000000004">
      <c r="B90" s="1" t="s">
        <v>68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1</v>
      </c>
      <c r="J90" s="1"/>
    </row>
    <row r="91" spans="2:10" x14ac:dyDescent="0.55000000000000004">
      <c r="B91" s="1" t="s">
        <v>27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/>
    </row>
    <row r="92" spans="2:10" x14ac:dyDescent="0.55000000000000004">
      <c r="B92" s="1" t="s">
        <v>40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/>
    </row>
  </sheetData>
  <phoneticPr fontId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E1A9D-024D-493D-A111-418855827F80}">
  <sheetPr codeName="Sheet4"/>
  <dimension ref="B3:J92"/>
  <sheetViews>
    <sheetView topLeftCell="A78" workbookViewId="0">
      <selection activeCell="K100" sqref="K100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9" width="9.8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154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45170</v>
      </c>
      <c r="D27" s="44">
        <v>45200</v>
      </c>
      <c r="E27" s="44">
        <v>45231</v>
      </c>
      <c r="F27" s="44">
        <v>45261</v>
      </c>
      <c r="G27" s="44">
        <v>45292</v>
      </c>
      <c r="H27" s="44">
        <v>45323</v>
      </c>
      <c r="I27" s="44">
        <v>45352</v>
      </c>
      <c r="J27" s="1"/>
    </row>
    <row r="28" spans="2:10" x14ac:dyDescent="0.55000000000000004">
      <c r="B28" s="1" t="s">
        <v>39</v>
      </c>
      <c r="C28" s="1">
        <v>1</v>
      </c>
      <c r="D28" s="1">
        <v>0</v>
      </c>
      <c r="E28" s="1">
        <v>5</v>
      </c>
      <c r="F28" s="1">
        <v>1</v>
      </c>
      <c r="G28" s="1">
        <v>1</v>
      </c>
      <c r="H28" s="1">
        <v>4</v>
      </c>
      <c r="I28" s="1">
        <v>0</v>
      </c>
      <c r="J28" s="1"/>
    </row>
    <row r="29" spans="2:10" x14ac:dyDescent="0.55000000000000004">
      <c r="B29" s="1" t="s">
        <v>28</v>
      </c>
      <c r="C29" s="1">
        <v>10</v>
      </c>
      <c r="D29" s="1">
        <v>1</v>
      </c>
      <c r="E29" s="1">
        <v>5</v>
      </c>
      <c r="F29" s="1">
        <v>9</v>
      </c>
      <c r="G29" s="1">
        <v>0</v>
      </c>
      <c r="H29" s="1">
        <v>2</v>
      </c>
      <c r="I29" s="1">
        <v>1</v>
      </c>
      <c r="J29" s="1"/>
    </row>
    <row r="30" spans="2:10" x14ac:dyDescent="0.55000000000000004">
      <c r="B30" s="1" t="s">
        <v>66</v>
      </c>
      <c r="C30" s="1">
        <v>3</v>
      </c>
      <c r="D30" s="1">
        <v>1</v>
      </c>
      <c r="E30" s="1">
        <v>3</v>
      </c>
      <c r="F30" s="1">
        <v>2</v>
      </c>
      <c r="G30" s="1">
        <v>2</v>
      </c>
      <c r="H30" s="1">
        <v>4</v>
      </c>
      <c r="I30" s="1">
        <v>2</v>
      </c>
      <c r="J30" s="1"/>
    </row>
    <row r="31" spans="2:10" x14ac:dyDescent="0.55000000000000004">
      <c r="B31" s="1" t="s">
        <v>68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/>
    </row>
    <row r="32" spans="2:10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/>
    </row>
    <row r="33" spans="2:10" x14ac:dyDescent="0.55000000000000004">
      <c r="B33" s="1" t="s">
        <v>40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/>
    </row>
    <row r="36" spans="2:10" x14ac:dyDescent="0.55000000000000004">
      <c r="B36" s="43" t="s">
        <v>155</v>
      </c>
    </row>
    <row r="56" spans="2:10" x14ac:dyDescent="0.55000000000000004">
      <c r="B56" s="1" t="s">
        <v>67</v>
      </c>
      <c r="C56" s="44">
        <v>45170</v>
      </c>
      <c r="D56" s="44">
        <v>45200</v>
      </c>
      <c r="E56" s="44">
        <v>45231</v>
      </c>
      <c r="F56" s="44">
        <v>45261</v>
      </c>
      <c r="G56" s="44">
        <v>45292</v>
      </c>
      <c r="H56" s="44">
        <v>45323</v>
      </c>
      <c r="I56" s="44">
        <v>45352</v>
      </c>
      <c r="J56" s="1"/>
    </row>
    <row r="57" spans="2:10" x14ac:dyDescent="0.55000000000000004">
      <c r="B57" s="1" t="s">
        <v>39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/>
    </row>
    <row r="58" spans="2:10" x14ac:dyDescent="0.55000000000000004">
      <c r="B58" s="1" t="s">
        <v>28</v>
      </c>
      <c r="C58" s="1">
        <v>1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/>
    </row>
    <row r="59" spans="2:10" x14ac:dyDescent="0.55000000000000004">
      <c r="B59" s="1" t="s">
        <v>66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/>
    </row>
    <row r="60" spans="2:10" x14ac:dyDescent="0.55000000000000004">
      <c r="B60" s="1" t="s">
        <v>68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/>
    </row>
    <row r="61" spans="2:10" x14ac:dyDescent="0.55000000000000004">
      <c r="B61" s="1" t="s">
        <v>27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/>
    </row>
    <row r="62" spans="2:10" x14ac:dyDescent="0.55000000000000004">
      <c r="B62" s="1" t="s">
        <v>40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/>
    </row>
    <row r="66" spans="2:2" x14ac:dyDescent="0.55000000000000004">
      <c r="B66" s="43" t="s">
        <v>156</v>
      </c>
    </row>
    <row r="67" spans="2:2" x14ac:dyDescent="0.55000000000000004">
      <c r="B67" s="43"/>
    </row>
    <row r="68" spans="2:2" x14ac:dyDescent="0.55000000000000004">
      <c r="B68" s="43"/>
    </row>
    <row r="69" spans="2:2" x14ac:dyDescent="0.55000000000000004">
      <c r="B69" s="43"/>
    </row>
    <row r="70" spans="2:2" x14ac:dyDescent="0.55000000000000004">
      <c r="B70" s="43"/>
    </row>
    <row r="71" spans="2:2" x14ac:dyDescent="0.55000000000000004">
      <c r="B71" s="43"/>
    </row>
    <row r="72" spans="2:2" x14ac:dyDescent="0.55000000000000004">
      <c r="B72" s="43"/>
    </row>
    <row r="73" spans="2:2" x14ac:dyDescent="0.55000000000000004">
      <c r="B73" s="43"/>
    </row>
    <row r="74" spans="2:2" x14ac:dyDescent="0.55000000000000004">
      <c r="B74" s="43"/>
    </row>
    <row r="75" spans="2:2" x14ac:dyDescent="0.55000000000000004">
      <c r="B75" s="43"/>
    </row>
    <row r="76" spans="2:2" x14ac:dyDescent="0.55000000000000004">
      <c r="B76" s="43"/>
    </row>
    <row r="77" spans="2:2" x14ac:dyDescent="0.55000000000000004">
      <c r="B77" s="43"/>
    </row>
    <row r="78" spans="2:2" x14ac:dyDescent="0.55000000000000004">
      <c r="B78" s="43"/>
    </row>
    <row r="86" spans="2:10" x14ac:dyDescent="0.55000000000000004">
      <c r="B86" s="1" t="s">
        <v>67</v>
      </c>
      <c r="C86" s="44">
        <v>45170</v>
      </c>
      <c r="D86" s="44">
        <v>45200</v>
      </c>
      <c r="E86" s="44">
        <v>45231</v>
      </c>
      <c r="F86" s="44">
        <v>45261</v>
      </c>
      <c r="G86" s="44">
        <v>45292</v>
      </c>
      <c r="H86" s="44">
        <v>45323</v>
      </c>
      <c r="I86" s="44">
        <v>45352</v>
      </c>
      <c r="J86" s="1"/>
    </row>
    <row r="87" spans="2:10" x14ac:dyDescent="0.55000000000000004">
      <c r="B87" s="1" t="s">
        <v>39</v>
      </c>
      <c r="C87" s="1">
        <v>0</v>
      </c>
      <c r="D87" s="1">
        <v>0</v>
      </c>
      <c r="E87" s="1">
        <v>1</v>
      </c>
      <c r="F87" s="1">
        <v>0</v>
      </c>
      <c r="G87" s="1">
        <v>0</v>
      </c>
      <c r="H87" s="1">
        <v>0</v>
      </c>
      <c r="I87" s="1">
        <v>1</v>
      </c>
      <c r="J87" s="1"/>
    </row>
    <row r="88" spans="2:10" x14ac:dyDescent="0.55000000000000004">
      <c r="B88" s="1" t="s">
        <v>28</v>
      </c>
      <c r="C88" s="1">
        <v>2</v>
      </c>
      <c r="D88" s="1">
        <v>0</v>
      </c>
      <c r="E88" s="1">
        <v>0</v>
      </c>
      <c r="F88" s="1">
        <v>0</v>
      </c>
      <c r="G88" s="1">
        <v>2</v>
      </c>
      <c r="H88" s="1">
        <v>0</v>
      </c>
      <c r="I88" s="1">
        <v>0</v>
      </c>
      <c r="J88" s="1"/>
    </row>
    <row r="89" spans="2:10" x14ac:dyDescent="0.55000000000000004">
      <c r="B89" s="1" t="s">
        <v>66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/>
    </row>
    <row r="90" spans="2:10" x14ac:dyDescent="0.55000000000000004">
      <c r="B90" s="1" t="s">
        <v>68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/>
    </row>
    <row r="91" spans="2:10" x14ac:dyDescent="0.55000000000000004">
      <c r="B91" s="1" t="s">
        <v>27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/>
    </row>
    <row r="92" spans="2:10" x14ac:dyDescent="0.55000000000000004">
      <c r="B92" s="1" t="s">
        <v>40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/>
    </row>
  </sheetData>
  <phoneticPr fontId="1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DACC1-428E-487F-A567-53DC69052343}">
  <sheetPr codeName="Sheet6"/>
  <dimension ref="B3:J98"/>
  <sheetViews>
    <sheetView topLeftCell="A15" workbookViewId="0">
      <selection activeCell="K40" sqref="K40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171</v>
      </c>
    </row>
    <row r="6" spans="2:2" x14ac:dyDescent="0.55000000000000004">
      <c r="B6" s="43" t="s">
        <v>205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45292</v>
      </c>
      <c r="D27" s="44">
        <v>45323</v>
      </c>
      <c r="E27" s="44">
        <v>45352</v>
      </c>
      <c r="F27" s="44"/>
      <c r="G27" s="44"/>
      <c r="H27" s="44"/>
      <c r="I27" s="1"/>
      <c r="J27" s="1"/>
    </row>
    <row r="28" spans="2:10" x14ac:dyDescent="0.55000000000000004">
      <c r="B28" s="1" t="s">
        <v>184</v>
      </c>
      <c r="C28" s="1">
        <v>0</v>
      </c>
      <c r="D28" s="1">
        <v>0</v>
      </c>
      <c r="E28" s="1">
        <v>0</v>
      </c>
      <c r="F28" s="1"/>
      <c r="G28" s="1"/>
      <c r="H28" s="1"/>
      <c r="I28" s="1"/>
      <c r="J28" s="1"/>
    </row>
    <row r="29" spans="2:10" x14ac:dyDescent="0.55000000000000004">
      <c r="B29" s="1" t="s">
        <v>185</v>
      </c>
      <c r="C29" s="1">
        <v>2</v>
      </c>
      <c r="D29" s="1">
        <v>4</v>
      </c>
      <c r="E29" s="1">
        <v>9</v>
      </c>
      <c r="F29" s="1"/>
      <c r="G29" s="1"/>
      <c r="H29" s="1"/>
      <c r="I29" s="1"/>
      <c r="J29" s="1"/>
    </row>
    <row r="30" spans="2:10" x14ac:dyDescent="0.55000000000000004">
      <c r="B30" s="1" t="s">
        <v>186</v>
      </c>
      <c r="C30" s="1">
        <v>0</v>
      </c>
      <c r="D30" s="1">
        <v>0</v>
      </c>
      <c r="E30" s="1">
        <v>0</v>
      </c>
      <c r="F30" s="1"/>
      <c r="G30" s="1"/>
      <c r="H30" s="1"/>
      <c r="I30" s="1"/>
      <c r="J30" s="1"/>
    </row>
    <row r="31" spans="2:10" x14ac:dyDescent="0.55000000000000004">
      <c r="B31" s="1" t="s">
        <v>187</v>
      </c>
      <c r="C31" s="1">
        <v>1</v>
      </c>
      <c r="D31" s="1">
        <v>0</v>
      </c>
      <c r="E31" s="1">
        <v>0</v>
      </c>
      <c r="F31" s="1"/>
      <c r="G31" s="1"/>
      <c r="H31" s="1"/>
      <c r="I31" s="1"/>
      <c r="J31" s="1"/>
    </row>
    <row r="32" spans="2:10" x14ac:dyDescent="0.55000000000000004">
      <c r="B32" s="1" t="s">
        <v>188</v>
      </c>
      <c r="C32" s="1">
        <v>0</v>
      </c>
      <c r="D32" s="1">
        <v>0</v>
      </c>
      <c r="E32" s="1">
        <v>0</v>
      </c>
      <c r="F32" s="1"/>
      <c r="G32" s="1"/>
      <c r="H32" s="1"/>
      <c r="I32" s="1"/>
      <c r="J32" s="1"/>
    </row>
    <row r="33" spans="2:10" x14ac:dyDescent="0.55000000000000004">
      <c r="B33" s="1" t="s">
        <v>189</v>
      </c>
      <c r="C33" s="1">
        <v>3</v>
      </c>
      <c r="D33" s="1">
        <v>3</v>
      </c>
      <c r="E33" s="1">
        <v>5</v>
      </c>
      <c r="F33" s="1"/>
      <c r="G33" s="1"/>
      <c r="H33" s="1"/>
      <c r="I33" s="1"/>
      <c r="J33" s="1"/>
    </row>
    <row r="34" spans="2:10" x14ac:dyDescent="0.55000000000000004">
      <c r="B34" s="1" t="s">
        <v>190</v>
      </c>
      <c r="C34" s="1">
        <v>1</v>
      </c>
      <c r="D34" s="1">
        <v>0</v>
      </c>
      <c r="E34" s="1">
        <v>4</v>
      </c>
      <c r="F34" s="1"/>
      <c r="G34" s="1"/>
      <c r="H34" s="1"/>
      <c r="I34" s="1"/>
      <c r="J34" s="1"/>
    </row>
    <row r="35" spans="2:10" x14ac:dyDescent="0.55000000000000004">
      <c r="B35" s="1" t="s">
        <v>191</v>
      </c>
      <c r="C35" s="1">
        <v>0</v>
      </c>
      <c r="D35" s="1">
        <v>2</v>
      </c>
      <c r="E35" s="1">
        <v>3</v>
      </c>
      <c r="F35" s="1"/>
      <c r="G35" s="1"/>
      <c r="H35" s="1"/>
      <c r="I35" s="1"/>
      <c r="J35" s="1"/>
    </row>
    <row r="38" spans="2:10" x14ac:dyDescent="0.55000000000000004">
      <c r="B38" s="43" t="s">
        <v>203</v>
      </c>
    </row>
    <row r="58" spans="2:10" x14ac:dyDescent="0.55000000000000004">
      <c r="B58" s="1" t="s">
        <v>67</v>
      </c>
      <c r="C58" s="44">
        <v>45292</v>
      </c>
      <c r="D58" s="44">
        <v>45323</v>
      </c>
      <c r="E58" s="44">
        <v>45352</v>
      </c>
      <c r="F58" s="44"/>
      <c r="G58" s="44"/>
      <c r="H58" s="44"/>
      <c r="I58" s="1"/>
      <c r="J58" s="1"/>
    </row>
    <row r="59" spans="2:10" x14ac:dyDescent="0.55000000000000004">
      <c r="B59" s="1" t="s">
        <v>68</v>
      </c>
      <c r="C59" s="1">
        <v>0</v>
      </c>
      <c r="D59" s="1">
        <v>0</v>
      </c>
      <c r="E59" s="1">
        <v>0</v>
      </c>
      <c r="F59" s="1"/>
      <c r="G59" s="1"/>
      <c r="H59" s="1"/>
      <c r="I59" s="1"/>
      <c r="J59" s="1"/>
    </row>
    <row r="60" spans="2:10" x14ac:dyDescent="0.55000000000000004">
      <c r="B60" s="1" t="s">
        <v>99</v>
      </c>
      <c r="C60" s="1">
        <v>0</v>
      </c>
      <c r="D60" s="1">
        <v>0</v>
      </c>
      <c r="E60" s="1">
        <v>0</v>
      </c>
      <c r="F60" s="1"/>
      <c r="G60" s="1"/>
      <c r="H60" s="1"/>
      <c r="I60" s="1"/>
      <c r="J60" s="1"/>
    </row>
    <row r="61" spans="2:10" x14ac:dyDescent="0.55000000000000004">
      <c r="B61" s="1" t="s">
        <v>2</v>
      </c>
      <c r="C61" s="1">
        <v>0</v>
      </c>
      <c r="D61" s="1">
        <v>0</v>
      </c>
      <c r="E61" s="1">
        <v>0</v>
      </c>
      <c r="F61" s="1"/>
      <c r="G61" s="1"/>
      <c r="H61" s="1"/>
      <c r="I61" s="1"/>
      <c r="J61" s="1"/>
    </row>
    <row r="62" spans="2:10" x14ac:dyDescent="0.55000000000000004">
      <c r="B62" s="1" t="s">
        <v>15</v>
      </c>
      <c r="C62" s="1">
        <v>0</v>
      </c>
      <c r="D62" s="1">
        <v>0</v>
      </c>
      <c r="E62" s="1">
        <v>0</v>
      </c>
      <c r="F62" s="1"/>
      <c r="G62" s="1"/>
      <c r="H62" s="1"/>
      <c r="I62" s="1"/>
      <c r="J62" s="1"/>
    </row>
    <row r="63" spans="2:10" x14ac:dyDescent="0.55000000000000004">
      <c r="B63" s="1" t="s">
        <v>149</v>
      </c>
      <c r="C63" s="1">
        <v>0</v>
      </c>
      <c r="D63" s="1">
        <v>0</v>
      </c>
      <c r="E63" s="1">
        <v>0</v>
      </c>
      <c r="F63" s="1"/>
      <c r="G63" s="1"/>
      <c r="H63" s="1"/>
      <c r="I63" s="1"/>
      <c r="J63" s="1"/>
    </row>
    <row r="64" spans="2:10" x14ac:dyDescent="0.55000000000000004">
      <c r="B64" s="1" t="s">
        <v>147</v>
      </c>
      <c r="C64" s="1">
        <v>0</v>
      </c>
      <c r="D64" s="1">
        <v>0</v>
      </c>
      <c r="E64" s="1">
        <v>0</v>
      </c>
      <c r="F64" s="1"/>
      <c r="G64" s="1"/>
      <c r="H64" s="1"/>
      <c r="I64" s="1"/>
      <c r="J64" s="1"/>
    </row>
    <row r="65" spans="2:10" x14ac:dyDescent="0.55000000000000004">
      <c r="B65" s="1" t="s">
        <v>148</v>
      </c>
      <c r="C65" s="1">
        <v>0</v>
      </c>
      <c r="D65" s="1">
        <v>0</v>
      </c>
      <c r="E65" s="1">
        <v>0</v>
      </c>
      <c r="F65" s="1"/>
      <c r="G65" s="1"/>
      <c r="H65" s="1"/>
      <c r="I65" s="1"/>
      <c r="J65" s="1"/>
    </row>
    <row r="66" spans="2:10" x14ac:dyDescent="0.55000000000000004">
      <c r="B66" s="1" t="s">
        <v>40</v>
      </c>
      <c r="C66" s="1">
        <v>0</v>
      </c>
      <c r="D66" s="1">
        <v>0</v>
      </c>
      <c r="E66" s="1">
        <v>0</v>
      </c>
      <c r="F66" s="1"/>
      <c r="G66" s="1"/>
      <c r="H66" s="1"/>
      <c r="I66" s="1"/>
      <c r="J66" s="1"/>
    </row>
    <row r="70" spans="2:10" x14ac:dyDescent="0.55000000000000004">
      <c r="B70" s="43" t="s">
        <v>204</v>
      </c>
    </row>
    <row r="71" spans="2:10" x14ac:dyDescent="0.55000000000000004">
      <c r="B71" s="43"/>
    </row>
    <row r="72" spans="2:10" x14ac:dyDescent="0.55000000000000004">
      <c r="B72" s="43"/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90" spans="2:10" x14ac:dyDescent="0.55000000000000004">
      <c r="B90" s="1" t="s">
        <v>67</v>
      </c>
      <c r="C90" s="44">
        <v>45292</v>
      </c>
      <c r="D90" s="44">
        <v>45323</v>
      </c>
      <c r="E90" s="44">
        <v>45352</v>
      </c>
      <c r="F90" s="44"/>
      <c r="G90" s="44"/>
      <c r="H90" s="44"/>
      <c r="I90" s="1"/>
      <c r="J90" s="1"/>
    </row>
    <row r="91" spans="2:10" x14ac:dyDescent="0.55000000000000004">
      <c r="B91" s="1" t="s">
        <v>68</v>
      </c>
      <c r="C91" s="1">
        <v>0</v>
      </c>
      <c r="D91" s="1">
        <v>0</v>
      </c>
      <c r="E91" s="1">
        <v>0</v>
      </c>
      <c r="F91" s="1"/>
      <c r="G91" s="1"/>
      <c r="H91" s="1"/>
      <c r="I91" s="1"/>
      <c r="J91" s="1"/>
    </row>
    <row r="92" spans="2:10" x14ac:dyDescent="0.55000000000000004">
      <c r="B92" s="1" t="s">
        <v>99</v>
      </c>
      <c r="C92" s="1">
        <v>0</v>
      </c>
      <c r="D92" s="1">
        <v>0</v>
      </c>
      <c r="E92" s="1">
        <v>0</v>
      </c>
      <c r="F92" s="1"/>
      <c r="G92" s="1"/>
      <c r="H92" s="1"/>
      <c r="I92" s="1"/>
      <c r="J92" s="1"/>
    </row>
    <row r="93" spans="2:10" x14ac:dyDescent="0.55000000000000004">
      <c r="B93" s="1" t="s">
        <v>2</v>
      </c>
      <c r="C93" s="1">
        <v>0</v>
      </c>
      <c r="D93" s="1">
        <v>0</v>
      </c>
      <c r="E93" s="1">
        <v>0</v>
      </c>
      <c r="F93" s="1"/>
      <c r="G93" s="1"/>
      <c r="H93" s="1"/>
      <c r="I93" s="1"/>
      <c r="J93" s="1"/>
    </row>
    <row r="94" spans="2:10" x14ac:dyDescent="0.55000000000000004">
      <c r="B94" s="1" t="s">
        <v>15</v>
      </c>
      <c r="C94" s="1">
        <v>0</v>
      </c>
      <c r="D94" s="1">
        <v>0</v>
      </c>
      <c r="E94" s="1">
        <v>11</v>
      </c>
      <c r="F94" s="1"/>
      <c r="G94" s="1"/>
      <c r="H94" s="1"/>
      <c r="I94" s="1"/>
      <c r="J94" s="1"/>
    </row>
    <row r="95" spans="2:10" x14ac:dyDescent="0.55000000000000004">
      <c r="B95" s="1" t="s">
        <v>149</v>
      </c>
      <c r="C95" s="1">
        <v>0</v>
      </c>
      <c r="D95" s="1">
        <v>0</v>
      </c>
      <c r="E95" s="1">
        <v>0</v>
      </c>
      <c r="F95" s="1"/>
      <c r="G95" s="1"/>
      <c r="H95" s="1"/>
      <c r="I95" s="1"/>
      <c r="J95" s="1"/>
    </row>
    <row r="96" spans="2:10" x14ac:dyDescent="0.55000000000000004">
      <c r="B96" s="1" t="s">
        <v>147</v>
      </c>
      <c r="C96" s="1">
        <v>0</v>
      </c>
      <c r="D96" s="1">
        <v>0</v>
      </c>
      <c r="E96" s="1">
        <v>2</v>
      </c>
      <c r="F96" s="1"/>
      <c r="G96" s="1"/>
      <c r="H96" s="1"/>
      <c r="I96" s="1"/>
      <c r="J96" s="1"/>
    </row>
    <row r="97" spans="2:10" x14ac:dyDescent="0.55000000000000004">
      <c r="B97" s="1" t="s">
        <v>148</v>
      </c>
      <c r="C97" s="1">
        <v>0</v>
      </c>
      <c r="D97" s="1">
        <v>0</v>
      </c>
      <c r="E97" s="1">
        <v>0</v>
      </c>
      <c r="F97" s="1"/>
      <c r="G97" s="1"/>
      <c r="H97" s="1"/>
      <c r="I97" s="1"/>
      <c r="J97" s="1"/>
    </row>
    <row r="98" spans="2:10" x14ac:dyDescent="0.55000000000000004">
      <c r="B98" s="1" t="s">
        <v>40</v>
      </c>
      <c r="C98" s="1">
        <v>0</v>
      </c>
      <c r="D98" s="1">
        <v>0</v>
      </c>
      <c r="E98" s="1">
        <v>2</v>
      </c>
      <c r="F98" s="1"/>
      <c r="G98" s="1"/>
      <c r="H98" s="1"/>
      <c r="I98" s="1"/>
      <c r="J98" s="1"/>
    </row>
  </sheetData>
  <phoneticPr fontId="1"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17563-DA02-4944-B1DD-0FAB518888F8}">
  <sheetPr codeName="Sheet12"/>
  <dimension ref="A1:T70"/>
  <sheetViews>
    <sheetView topLeftCell="G55" workbookViewId="0">
      <selection activeCell="N70" sqref="N70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12" max="12" width="18.4140625" customWidth="1"/>
    <col min="13" max="13" width="17.5" customWidth="1"/>
    <col min="14" max="14" width="26.08203125" bestFit="1" customWidth="1"/>
    <col min="15" max="15" width="19.5" customWidth="1"/>
    <col min="16" max="16" width="14.83203125" customWidth="1"/>
    <col min="17" max="17" width="14.4140625" customWidth="1"/>
    <col min="18" max="18" width="18.25" bestFit="1" customWidth="1"/>
    <col min="19" max="19" width="18.1640625" bestFit="1" customWidth="1"/>
    <col min="20" max="20" width="26.08203125" bestFit="1" customWidth="1"/>
    <col min="21" max="21" width="12.33203125" bestFit="1" customWidth="1"/>
    <col min="22" max="22" width="12.25" bestFit="1" customWidth="1"/>
  </cols>
  <sheetData>
    <row r="1" spans="1:20" x14ac:dyDescent="0.55000000000000004">
      <c r="A1" s="12" t="s">
        <v>16</v>
      </c>
      <c r="B1" s="8"/>
      <c r="C1" s="5"/>
      <c r="D1" s="5"/>
      <c r="E1" s="5"/>
      <c r="F1" s="5"/>
      <c r="G1" s="5"/>
    </row>
    <row r="2" spans="1:20" x14ac:dyDescent="0.55000000000000004">
      <c r="A2" s="5"/>
      <c r="B2" s="8"/>
      <c r="C2" s="5"/>
      <c r="D2" s="5"/>
      <c r="E2" s="5"/>
      <c r="F2" s="5"/>
      <c r="G2" s="5"/>
    </row>
    <row r="3" spans="1:20" x14ac:dyDescent="0.55000000000000004">
      <c r="A3" s="1" t="s">
        <v>23</v>
      </c>
      <c r="B3" s="2" t="s">
        <v>35</v>
      </c>
      <c r="C3" s="2" t="s">
        <v>37</v>
      </c>
      <c r="D3" s="2" t="s">
        <v>37</v>
      </c>
      <c r="E3" s="2" t="s">
        <v>38</v>
      </c>
      <c r="F3" s="2" t="s">
        <v>38</v>
      </c>
      <c r="G3" s="2" t="s">
        <v>38</v>
      </c>
    </row>
    <row r="4" spans="1:20" x14ac:dyDescent="0.55000000000000004">
      <c r="A4" s="1" t="s">
        <v>34</v>
      </c>
      <c r="B4" s="2" t="s">
        <v>29</v>
      </c>
      <c r="C4" s="2" t="s">
        <v>28</v>
      </c>
      <c r="D4" s="2" t="s">
        <v>36</v>
      </c>
      <c r="E4" s="2" t="s">
        <v>36</v>
      </c>
      <c r="F4" s="2" t="s">
        <v>39</v>
      </c>
      <c r="G4" s="2" t="s">
        <v>28</v>
      </c>
      <c r="K4" t="s">
        <v>48</v>
      </c>
      <c r="L4" t="s">
        <v>55</v>
      </c>
      <c r="M4" t="s">
        <v>56</v>
      </c>
      <c r="N4" t="s">
        <v>57</v>
      </c>
      <c r="O4" t="s">
        <v>58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</row>
    <row r="5" spans="1:20" x14ac:dyDescent="0.55000000000000004">
      <c r="A5" s="24" t="s">
        <v>17</v>
      </c>
      <c r="B5" s="25">
        <v>1</v>
      </c>
      <c r="C5" s="25">
        <v>0</v>
      </c>
      <c r="D5" s="25">
        <v>0</v>
      </c>
      <c r="E5" s="25">
        <v>0</v>
      </c>
      <c r="F5" s="26">
        <v>0</v>
      </c>
      <c r="G5" s="26">
        <v>0</v>
      </c>
      <c r="K5" t="s">
        <v>44</v>
      </c>
      <c r="L5">
        <f>SUMIF(B4:G4,K5,B5:G5)</f>
        <v>1</v>
      </c>
      <c r="M5">
        <f>SUMIF(B4:G4,K5,B6:G6)</f>
        <v>1</v>
      </c>
      <c r="N5">
        <f>SUMIF(B4:G4,K5,B7:G7)</f>
        <v>0</v>
      </c>
      <c r="O5">
        <f>SUMIF(B4:G4,K5,B8:G8)</f>
        <v>1</v>
      </c>
      <c r="P5">
        <f>SUMIF(B4:G4,K5,B9:G9)</f>
        <v>0</v>
      </c>
      <c r="Q5">
        <f>SUMIF(B4:G4,K5,B10:G10)</f>
        <v>0</v>
      </c>
      <c r="R5">
        <f>SUMIF(B4:G4,K5,B11:G11)</f>
        <v>0</v>
      </c>
      <c r="S5">
        <f>SUMIF(B4:G4,K5,B12:G12)</f>
        <v>0</v>
      </c>
      <c r="T5">
        <f>SUMIF(B4:G4,K5,B13:G13)</f>
        <v>0</v>
      </c>
    </row>
    <row r="6" spans="1:20" x14ac:dyDescent="0.55000000000000004">
      <c r="A6" s="24" t="s">
        <v>18</v>
      </c>
      <c r="B6" s="25">
        <v>1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K6" t="s">
        <v>45</v>
      </c>
      <c r="L6">
        <f>SUMIF(B4:G4,K6,B5:G5)</f>
        <v>0</v>
      </c>
      <c r="M6">
        <f>SUMIF(B4:G4,K6,B6:G6)</f>
        <v>0</v>
      </c>
      <c r="N6">
        <f>SUMIF(B4:G4,K6,B7:G7)</f>
        <v>0</v>
      </c>
      <c r="O6">
        <f>SUMIF(B4:G4,K6,B8:G8)</f>
        <v>1</v>
      </c>
      <c r="P6">
        <f>SUMIF(B4:G4,K6,B9:G9)</f>
        <v>0</v>
      </c>
      <c r="Q6">
        <f>SUMIF(B4:G4,K6,B10:G10)</f>
        <v>0</v>
      </c>
      <c r="R6">
        <f>SUMIF(B4:G4,K6,B11:G11)</f>
        <v>18</v>
      </c>
      <c r="S6">
        <f>SUMIF(B4:G4,K6,B12:G12)</f>
        <v>0</v>
      </c>
      <c r="T6">
        <f>SUMIF(B4:G4,K6,B13:G13)</f>
        <v>0</v>
      </c>
    </row>
    <row r="7" spans="1:20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K7" t="s">
        <v>46</v>
      </c>
      <c r="L7">
        <f>SUMIF(B4:G4,K7,B5:G5)</f>
        <v>0</v>
      </c>
      <c r="M7">
        <f ca="1">SUMIF(B4:G4,K7,B6:B6)</f>
        <v>0</v>
      </c>
      <c r="N7">
        <f>SUMIF(B4:G4,K7,B7:G7)</f>
        <v>0</v>
      </c>
      <c r="O7">
        <f>SUMIF(B4:G4,K7,B8:G8)</f>
        <v>0</v>
      </c>
      <c r="P7">
        <f>SUMIF(B4:G4,K7,B9:G9)</f>
        <v>0</v>
      </c>
      <c r="Q7">
        <f>SUMIF(B4:G4,K7,B10:G10)</f>
        <v>0</v>
      </c>
      <c r="R7">
        <f>SUMIF(B4:G4,K7,B11:G11)</f>
        <v>2</v>
      </c>
      <c r="S7">
        <f>SUMIF(B4:G4,K7,B12:G12)</f>
        <v>0</v>
      </c>
      <c r="T7">
        <f>SUMIF(B4:G4,K7,B13:G13)</f>
        <v>2</v>
      </c>
    </row>
    <row r="8" spans="1:20" x14ac:dyDescent="0.55000000000000004">
      <c r="A8" s="17" t="s">
        <v>20</v>
      </c>
      <c r="B8" s="18">
        <v>0</v>
      </c>
      <c r="C8" s="18">
        <v>1</v>
      </c>
      <c r="D8" s="18">
        <v>0</v>
      </c>
      <c r="E8" s="18">
        <v>0</v>
      </c>
      <c r="F8" s="22">
        <v>1</v>
      </c>
      <c r="G8" s="22">
        <v>0</v>
      </c>
    </row>
    <row r="9" spans="1:20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K9" s="43" t="s">
        <v>47</v>
      </c>
    </row>
    <row r="10" spans="1:20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K10" s="42"/>
      <c r="L10" s="42" t="s">
        <v>52</v>
      </c>
      <c r="M10" s="42" t="s">
        <v>53</v>
      </c>
      <c r="N10" s="42" t="s">
        <v>54</v>
      </c>
    </row>
    <row r="11" spans="1:20" x14ac:dyDescent="0.55000000000000004">
      <c r="A11" s="15" t="s">
        <v>24</v>
      </c>
      <c r="B11" s="16">
        <v>0</v>
      </c>
      <c r="C11" s="16">
        <v>0</v>
      </c>
      <c r="D11" s="16">
        <v>2</v>
      </c>
      <c r="E11" s="16">
        <v>0</v>
      </c>
      <c r="F11" s="23">
        <v>0</v>
      </c>
      <c r="G11" s="23">
        <v>18</v>
      </c>
      <c r="K11" s="1" t="s">
        <v>44</v>
      </c>
      <c r="L11" s="1">
        <f>(SUMIF(B4:G4,"ダイクス",B5:G5))+(SUMIF(B4:G4,"ダイクス",B8:G8))+(SUMIF(B4:G4,"ダイクス",B11:G11))</f>
        <v>2</v>
      </c>
      <c r="M11" s="1">
        <f>(SUMIF(B4:G4,"ダイクス",B6:G6))+(SUMIF(B4:G4,"ダイクス",B9:G9))+(SUMIF(B4:G4,"ダイクス",B12:G12))</f>
        <v>1</v>
      </c>
      <c r="N11" s="1">
        <f>(SUMIF(B4:G4,"ダイクス",B7:G7))+(SUMIF(B4:G4,"ダイクス",B10:G10))+(SUMIF(B4:G4,"ダイクス",B13:G13))</f>
        <v>0</v>
      </c>
    </row>
    <row r="12" spans="1:20" x14ac:dyDescent="0.55000000000000004">
      <c r="A12" s="15" t="s">
        <v>25</v>
      </c>
      <c r="B12" s="16">
        <v>0</v>
      </c>
      <c r="C12" s="16">
        <v>0</v>
      </c>
      <c r="D12" s="16">
        <v>0</v>
      </c>
      <c r="E12" s="16">
        <v>0</v>
      </c>
      <c r="F12" s="23">
        <v>0</v>
      </c>
      <c r="G12" s="23">
        <v>0</v>
      </c>
      <c r="K12" s="1" t="s">
        <v>45</v>
      </c>
      <c r="L12" s="1">
        <f>(SUMIF(B4:G4,"中野",B5:G5))+(SUMIF(B4:G4,"中野",B8:G8))+(SUMIF(B4:G4,"中野",B11:G11))</f>
        <v>19</v>
      </c>
      <c r="M12" s="1">
        <f>(SUMIF(B4:G4,"中野",B6:G6))+(SUMIF(B4:G4,"中野",B9:G9))+(SUMIF(B4:G4,"中野",B12:G12))</f>
        <v>0</v>
      </c>
      <c r="N12" s="1">
        <f>(SUMIF(B4:G4,"中野",B7:G7))+(SUMIF(B4:G4,"中野",B10:G10))+(SUMIF(B4:G4,"中野",B13:G13))</f>
        <v>0</v>
      </c>
    </row>
    <row r="13" spans="1:20" x14ac:dyDescent="0.55000000000000004">
      <c r="A13" s="15" t="s">
        <v>26</v>
      </c>
      <c r="B13" s="16">
        <v>0</v>
      </c>
      <c r="C13" s="16">
        <v>0</v>
      </c>
      <c r="D13" s="16">
        <v>2</v>
      </c>
      <c r="E13" s="16">
        <v>0</v>
      </c>
      <c r="F13" s="23">
        <v>0</v>
      </c>
      <c r="G13" s="23">
        <v>0</v>
      </c>
      <c r="K13" s="1" t="s">
        <v>64</v>
      </c>
      <c r="L13" s="1">
        <f>(SUMIF(B4:G4,"渡邊",B5:G5))+(SUMIF(B4:G4,"渡邊",B8:G8))+(SUMIF(B4:G4,"渡邊",B11:G11))</f>
        <v>2</v>
      </c>
      <c r="M13" s="1">
        <f>(SUMIF(B4:G4,"渡邊",B6:G6))+(SUMIF(B4:G4,"渡邊",B9:G9))+(SUMIF(B4:G4,"渡邊",B12:G12))</f>
        <v>0</v>
      </c>
      <c r="N13" s="1">
        <f>(SUMIF(B4:G4,"渡邊",B7:G7))+(SUMIF(B4:G4,"渡邊",B10:G10))+(SUMIF(B4:G4,"渡邊",B13:G13))</f>
        <v>2</v>
      </c>
    </row>
    <row r="14" spans="1:20" x14ac:dyDescent="0.55000000000000004">
      <c r="A14" s="24" t="s">
        <v>31</v>
      </c>
      <c r="B14" s="27">
        <f t="shared" ref="B14:G14" si="0">SUM(B5:B7)</f>
        <v>2</v>
      </c>
      <c r="C14" s="27">
        <f t="shared" si="0"/>
        <v>0</v>
      </c>
      <c r="D14" s="27">
        <f t="shared" si="0"/>
        <v>0</v>
      </c>
      <c r="E14" s="27">
        <f t="shared" si="0"/>
        <v>0</v>
      </c>
      <c r="F14" s="27">
        <f t="shared" si="0"/>
        <v>0</v>
      </c>
      <c r="G14" s="27">
        <f t="shared" si="0"/>
        <v>0</v>
      </c>
    </row>
    <row r="15" spans="1:20" x14ac:dyDescent="0.55000000000000004">
      <c r="A15" s="17" t="s">
        <v>32</v>
      </c>
      <c r="B15" s="20">
        <f t="shared" ref="B15:G15" si="1">SUM(B8:B10)</f>
        <v>0</v>
      </c>
      <c r="C15" s="20">
        <f t="shared" si="1"/>
        <v>1</v>
      </c>
      <c r="D15" s="20">
        <f t="shared" si="1"/>
        <v>0</v>
      </c>
      <c r="E15" s="20">
        <f t="shared" si="1"/>
        <v>0</v>
      </c>
      <c r="F15" s="20">
        <f t="shared" si="1"/>
        <v>1</v>
      </c>
      <c r="G15" s="20">
        <f t="shared" si="1"/>
        <v>0</v>
      </c>
    </row>
    <row r="16" spans="1:20" x14ac:dyDescent="0.55000000000000004">
      <c r="A16" s="15" t="s">
        <v>33</v>
      </c>
      <c r="B16" s="21">
        <f t="shared" ref="B16:G16" si="2">SUM(B11:B13)</f>
        <v>0</v>
      </c>
      <c r="C16" s="21">
        <f t="shared" si="2"/>
        <v>0</v>
      </c>
      <c r="D16" s="21">
        <f t="shared" si="2"/>
        <v>4</v>
      </c>
      <c r="E16" s="21">
        <f t="shared" si="2"/>
        <v>0</v>
      </c>
      <c r="F16" s="21">
        <f t="shared" si="2"/>
        <v>0</v>
      </c>
      <c r="G16" s="21">
        <f t="shared" si="2"/>
        <v>18</v>
      </c>
    </row>
    <row r="17" spans="1:20" x14ac:dyDescent="0.55000000000000004">
      <c r="A17" s="32"/>
      <c r="B17" s="31"/>
      <c r="C17" s="31"/>
      <c r="D17" s="31"/>
      <c r="E17" s="31"/>
      <c r="F17" s="31"/>
      <c r="G17" s="31"/>
    </row>
    <row r="18" spans="1:20" x14ac:dyDescent="0.55000000000000004">
      <c r="B18" s="31"/>
      <c r="C18" s="31"/>
      <c r="D18" s="31"/>
      <c r="E18" s="31"/>
      <c r="F18" s="31"/>
      <c r="G18" s="31"/>
    </row>
    <row r="21" spans="1:20" x14ac:dyDescent="0.55000000000000004">
      <c r="A21" s="1" t="s">
        <v>23</v>
      </c>
      <c r="B21" s="2" t="s">
        <v>30</v>
      </c>
      <c r="C21" s="2" t="s">
        <v>30</v>
      </c>
      <c r="D21" s="2" t="s">
        <v>30</v>
      </c>
      <c r="E21" s="2" t="s">
        <v>391</v>
      </c>
      <c r="F21" s="2" t="s">
        <v>391</v>
      </c>
      <c r="G21" s="2" t="s">
        <v>391</v>
      </c>
    </row>
    <row r="22" spans="1:20" x14ac:dyDescent="0.55000000000000004">
      <c r="A22" s="1" t="s">
        <v>34</v>
      </c>
      <c r="B22" s="2" t="s">
        <v>28</v>
      </c>
      <c r="C22" s="2" t="s">
        <v>36</v>
      </c>
      <c r="D22" s="2" t="s">
        <v>39</v>
      </c>
      <c r="E22" s="2" t="s">
        <v>386</v>
      </c>
      <c r="F22" s="2" t="s">
        <v>387</v>
      </c>
      <c r="G22" s="2" t="s">
        <v>388</v>
      </c>
      <c r="K22" t="s">
        <v>48</v>
      </c>
      <c r="L22" t="s">
        <v>55</v>
      </c>
      <c r="M22" t="s">
        <v>56</v>
      </c>
      <c r="N22" t="s">
        <v>57</v>
      </c>
      <c r="O22" t="s">
        <v>58</v>
      </c>
      <c r="P22" t="s">
        <v>59</v>
      </c>
      <c r="Q22" t="s">
        <v>60</v>
      </c>
      <c r="R22" t="s">
        <v>61</v>
      </c>
      <c r="S22" t="s">
        <v>62</v>
      </c>
      <c r="T22" t="s">
        <v>63</v>
      </c>
    </row>
    <row r="23" spans="1:20" x14ac:dyDescent="0.55000000000000004">
      <c r="A23" s="24" t="s">
        <v>17</v>
      </c>
      <c r="B23" s="26">
        <v>4</v>
      </c>
      <c r="C23" s="26">
        <v>0</v>
      </c>
      <c r="D23" s="26">
        <v>0</v>
      </c>
      <c r="E23" s="25">
        <v>1</v>
      </c>
      <c r="F23" s="26">
        <v>0</v>
      </c>
      <c r="G23" s="26">
        <v>0</v>
      </c>
      <c r="K23" t="s">
        <v>44</v>
      </c>
      <c r="L23">
        <f>SUMIF(B22:G22,K23,B23:G23)</f>
        <v>0</v>
      </c>
      <c r="M23">
        <f>SUMIF(B22:G22,K23,B24:G24)</f>
        <v>0</v>
      </c>
      <c r="N23">
        <f>SUMIF(B22:G22,K23,B25:G25)</f>
        <v>0</v>
      </c>
      <c r="O23">
        <f>SUMIF(B22:G22,K23,B26:G26)</f>
        <v>0</v>
      </c>
      <c r="P23">
        <f>SUMIF(B22:G22,K23,B27:G27)</f>
        <v>0</v>
      </c>
      <c r="Q23">
        <f>SUMIF(B22:G22,K23,B28:G28)</f>
        <v>0</v>
      </c>
      <c r="R23">
        <f>SUMIF(B22:G22,K23,B29:G29)</f>
        <v>0</v>
      </c>
      <c r="S23">
        <f>SUMIF(B22:G22,K23,B30:G30)</f>
        <v>0</v>
      </c>
      <c r="T23">
        <f>SUMIF(B22:G22,K23,B31:G31)</f>
        <v>0</v>
      </c>
    </row>
    <row r="24" spans="1:20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6">
        <v>0</v>
      </c>
      <c r="G24" s="26">
        <v>0</v>
      </c>
      <c r="K24" t="s">
        <v>45</v>
      </c>
      <c r="L24">
        <f>SUMIF(B22:G22,K24,B23:G23)</f>
        <v>4</v>
      </c>
      <c r="M24">
        <f>SUMIF(B22:G22,K24,B24:G24)</f>
        <v>0</v>
      </c>
      <c r="N24">
        <f>SUMIF(B22:G22,K24,B25:G25)</f>
        <v>0</v>
      </c>
      <c r="O24">
        <f>SUMIF(B22:G22,K24,B26:G26)</f>
        <v>1</v>
      </c>
      <c r="P24">
        <f>SUMIF(B22:G22,K24,B27:G27)</f>
        <v>0</v>
      </c>
      <c r="Q24">
        <f>SUMIF(B22:G22,K24,B28:G28)</f>
        <v>0</v>
      </c>
      <c r="R24">
        <f>SUMIF(B22:G22,K24,B29:G29)</f>
        <v>0</v>
      </c>
      <c r="S24">
        <f>SUMIF(B22:G22,K24,B30:G30)</f>
        <v>0</v>
      </c>
      <c r="T24">
        <f>SUMIF(B22:G22,K24,B31:G31)</f>
        <v>0</v>
      </c>
    </row>
    <row r="25" spans="1:20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6">
        <v>0</v>
      </c>
      <c r="G25" s="26">
        <v>0</v>
      </c>
      <c r="K25" t="s">
        <v>46</v>
      </c>
      <c r="L25">
        <f>SUMIF(B22:G22,K25,B23:G23)</f>
        <v>0</v>
      </c>
      <c r="M25">
        <f ca="1">SUMIF(B22:G22,K25,B24:B24)</f>
        <v>0</v>
      </c>
      <c r="N25">
        <f>SUMIF(B22:G22,K25,B25:G25)</f>
        <v>0</v>
      </c>
      <c r="O25">
        <f>SUMIF(B22:G22,K25,B26:G26)</f>
        <v>2</v>
      </c>
      <c r="P25">
        <f>SUMIF(B22:G22,K25,B27:G27)</f>
        <v>0</v>
      </c>
      <c r="Q25">
        <f>SUMIF(B22:G22,K25,B28:G28)</f>
        <v>2</v>
      </c>
      <c r="R25">
        <f>SUMIF(B22:G22,K25,B29:G29)</f>
        <v>0</v>
      </c>
      <c r="S25">
        <f>SUMIF(B22:G22,K25,B30:G30)</f>
        <v>0</v>
      </c>
      <c r="T25">
        <f>SUMIF(B22:G22,K25,B31:G31)</f>
        <v>0</v>
      </c>
    </row>
    <row r="26" spans="1:20" x14ac:dyDescent="0.55000000000000004">
      <c r="A26" s="17" t="s">
        <v>20</v>
      </c>
      <c r="B26" s="22">
        <v>0</v>
      </c>
      <c r="C26" s="22">
        <v>2</v>
      </c>
      <c r="D26" s="22">
        <v>0</v>
      </c>
      <c r="E26" s="18">
        <v>0</v>
      </c>
      <c r="F26" s="22">
        <v>1</v>
      </c>
      <c r="G26" s="22">
        <v>0</v>
      </c>
      <c r="K26" t="s">
        <v>386</v>
      </c>
      <c r="L26">
        <f>SUMIF(B22:G22,K26,B23:G23)</f>
        <v>1</v>
      </c>
      <c r="M26">
        <f ca="1">SUMIF(B22:G22,K26,B24:B24)</f>
        <v>0</v>
      </c>
      <c r="N26">
        <f ca="1">SUMIF(B2:G22,K26,B25:G25)</f>
        <v>0</v>
      </c>
      <c r="O26">
        <f>SUMIF(B22:G22,K26,B26:G26)</f>
        <v>0</v>
      </c>
      <c r="P26">
        <f>SUMIF(B22:G22,K26,B27:G27)</f>
        <v>0</v>
      </c>
      <c r="Q26">
        <f>SUMIF(B22:G22,K26,B28:G28)</f>
        <v>0</v>
      </c>
      <c r="R26">
        <f>SUMIF(B22:G22,K26,B29:G29)</f>
        <v>0</v>
      </c>
      <c r="S26">
        <f>SUMIF(B22:G22,K26,B30:G30)</f>
        <v>0</v>
      </c>
      <c r="T26">
        <f>SUMIF(B22:G22,K26,B31:G31)</f>
        <v>0</v>
      </c>
    </row>
    <row r="27" spans="1:20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22">
        <v>0</v>
      </c>
      <c r="G27" s="22">
        <v>0</v>
      </c>
      <c r="K27" s="43" t="s">
        <v>65</v>
      </c>
    </row>
    <row r="28" spans="1:20" x14ac:dyDescent="0.55000000000000004">
      <c r="A28" s="17" t="s">
        <v>22</v>
      </c>
      <c r="B28" s="22">
        <v>0</v>
      </c>
      <c r="C28" s="22">
        <v>2</v>
      </c>
      <c r="D28" s="22">
        <v>0</v>
      </c>
      <c r="E28" s="18">
        <v>0</v>
      </c>
      <c r="F28" s="22">
        <v>0</v>
      </c>
      <c r="G28" s="22">
        <v>0</v>
      </c>
      <c r="K28" s="42"/>
      <c r="L28" s="42" t="s">
        <v>52</v>
      </c>
      <c r="M28" s="42" t="s">
        <v>53</v>
      </c>
      <c r="N28" s="42" t="s">
        <v>54</v>
      </c>
    </row>
    <row r="29" spans="1:20" x14ac:dyDescent="0.55000000000000004">
      <c r="A29" s="15" t="s">
        <v>24</v>
      </c>
      <c r="B29" s="23">
        <v>0</v>
      </c>
      <c r="C29" s="23">
        <v>0</v>
      </c>
      <c r="D29" s="23">
        <v>0</v>
      </c>
      <c r="E29" s="16">
        <v>0</v>
      </c>
      <c r="F29" s="23">
        <v>0</v>
      </c>
      <c r="G29" s="23">
        <v>0</v>
      </c>
      <c r="K29" s="1" t="s">
        <v>44</v>
      </c>
      <c r="L29" s="1">
        <f>(SUMIF(B22:G22,"ダイクス",B23:G23))+(SUMIF(B22:G22,"ダイクス",B26:G26))+(SUMIF(B22:G22,"ダイクス",B29:G29))</f>
        <v>0</v>
      </c>
      <c r="M29" s="1">
        <f>(SUMIF(B22:G22,"ダイクス",B24:G24))+(SUMIF(B22:G22,"ダイクス",B27:G27))+(SUMIF(B22:G22,"ダイクス",B30:G30))</f>
        <v>0</v>
      </c>
      <c r="N29" s="1">
        <f>(SUMIF(B22:G22,"ダイクス",B25:G25))+(SUMIF(B22:G22,"ダイクス",B28:G28))+(SUMIF(B22:G22,"ダイクス",B31:G31))</f>
        <v>0</v>
      </c>
    </row>
    <row r="30" spans="1:20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23">
        <v>0</v>
      </c>
      <c r="G30" s="23">
        <v>0</v>
      </c>
      <c r="K30" s="1" t="s">
        <v>45</v>
      </c>
      <c r="L30" s="1">
        <f>(SUMIF(B22:G22,"中野",B23:G23))+(SUMIF(B22:G22,"中野",B26:G26))+(SUMIF(B22:G22,"中野",B29:G29))</f>
        <v>5</v>
      </c>
      <c r="M30" s="1">
        <f>(SUMIF(B22:G22,"中野",B24:G24))+(SUMIF(B22:G22,"中野",B27:G27))+(SUMIF(B22:G22,"中野",B30:G30))</f>
        <v>0</v>
      </c>
      <c r="N30" s="1">
        <f>(SUMIF(B22:G22,"中野",B25:G25))+(SUMIF(B22:G22,"中野",B28:G28))+(SUMIF(B22:G22,"中野",B31:G31))</f>
        <v>0</v>
      </c>
    </row>
    <row r="31" spans="1:20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23">
        <v>0</v>
      </c>
      <c r="G31" s="23">
        <v>0</v>
      </c>
      <c r="K31" s="1" t="s">
        <v>64</v>
      </c>
      <c r="L31" s="1">
        <f>(SUMIF(B22:G22,"渡邊",B23:G23))+(SUMIF(B22:G22,"渡邊",B26:G26))+(SUMIF(B22:G22,"渡邊",B29:G29))</f>
        <v>2</v>
      </c>
      <c r="M31" s="1">
        <f>(SUMIF(B22:G22,"渡邊",B24:G24))+(SUMIF(B22:G22,"渡邊",B27:G27))+(SUMIF(B22:G22,"渡邊",B30:G30))</f>
        <v>0</v>
      </c>
      <c r="N31" s="1">
        <f>(SUMIF(B22:G22,"渡邊",B25:G25))+(SUMIF(B22:G22,"渡邊",B28:G28))+(SUMIF(B22:G22,"渡邊",B31:G31))</f>
        <v>2</v>
      </c>
    </row>
    <row r="32" spans="1:20" x14ac:dyDescent="0.55000000000000004">
      <c r="A32" s="24" t="s">
        <v>31</v>
      </c>
      <c r="B32" s="27">
        <f t="shared" ref="B32:E32" si="3">SUM(B23:B25)</f>
        <v>4</v>
      </c>
      <c r="C32" s="27">
        <f t="shared" si="3"/>
        <v>0</v>
      </c>
      <c r="D32" s="27">
        <f t="shared" si="3"/>
        <v>0</v>
      </c>
      <c r="E32" s="27">
        <f t="shared" si="3"/>
        <v>1</v>
      </c>
      <c r="F32" s="27">
        <f t="shared" ref="F32:G32" si="4">SUM(F23:F25)</f>
        <v>0</v>
      </c>
      <c r="G32" s="27">
        <f t="shared" si="4"/>
        <v>0</v>
      </c>
      <c r="K32" s="1" t="s">
        <v>68</v>
      </c>
      <c r="L32" s="1">
        <f>(SUMIF(B22:G22,"江藤",B23:G23))+(SUMIF(B22:G22,"江藤",B26:G26))+(SUMIF(B22:G22,"江藤",B29:G29))</f>
        <v>1</v>
      </c>
      <c r="M32" s="1">
        <f>(SUMIF(B23:G23,"渡邊",B25:G25))+(SUMIF(B23:G23,"渡邊",B28:G28))+(SUMIF(B23:G23,"渡邊",B31:G31))</f>
        <v>0</v>
      </c>
      <c r="N32" s="1">
        <f>(SUMIF(B23:G23,"渡邊",B26:G26))+(SUMIF(B23:G23,"渡邊",B29:G29))+(SUMIF(B23:G23,"渡邊",B32:G32))</f>
        <v>0</v>
      </c>
    </row>
    <row r="33" spans="1:20" x14ac:dyDescent="0.55000000000000004">
      <c r="A33" s="17" t="s">
        <v>32</v>
      </c>
      <c r="B33" s="20">
        <f t="shared" ref="B33:E33" si="5">SUM(B26:B28)</f>
        <v>0</v>
      </c>
      <c r="C33" s="20">
        <f t="shared" si="5"/>
        <v>4</v>
      </c>
      <c r="D33" s="20">
        <f t="shared" si="5"/>
        <v>0</v>
      </c>
      <c r="E33" s="20">
        <f t="shared" si="5"/>
        <v>0</v>
      </c>
      <c r="F33" s="20">
        <f t="shared" ref="F33:G33" si="6">SUM(F26:F28)</f>
        <v>1</v>
      </c>
      <c r="G33" s="20">
        <f t="shared" si="6"/>
        <v>0</v>
      </c>
    </row>
    <row r="34" spans="1:20" x14ac:dyDescent="0.55000000000000004">
      <c r="A34" s="15" t="s">
        <v>33</v>
      </c>
      <c r="B34" s="21">
        <f t="shared" ref="B34:E34" si="7">SUM(B29:B31)</f>
        <v>0</v>
      </c>
      <c r="C34" s="21">
        <f t="shared" si="7"/>
        <v>0</v>
      </c>
      <c r="D34" s="21">
        <f t="shared" si="7"/>
        <v>0</v>
      </c>
      <c r="E34" s="21">
        <f t="shared" si="7"/>
        <v>0</v>
      </c>
      <c r="F34" s="21">
        <f t="shared" ref="F34:G34" si="8">SUM(F29:F31)</f>
        <v>0</v>
      </c>
      <c r="G34" s="21">
        <f t="shared" si="8"/>
        <v>0</v>
      </c>
    </row>
    <row r="39" spans="1:20" x14ac:dyDescent="0.55000000000000004">
      <c r="A39" s="1" t="s">
        <v>23</v>
      </c>
      <c r="B39" s="2" t="s">
        <v>389</v>
      </c>
      <c r="C39" s="2" t="s">
        <v>389</v>
      </c>
      <c r="D39" s="2" t="s">
        <v>389</v>
      </c>
      <c r="E39" s="2" t="s">
        <v>390</v>
      </c>
      <c r="F39" s="2" t="s">
        <v>390</v>
      </c>
      <c r="G39" s="2" t="s">
        <v>390</v>
      </c>
      <c r="K39" t="s">
        <v>13</v>
      </c>
      <c r="L39" t="s">
        <v>55</v>
      </c>
      <c r="M39" t="s">
        <v>56</v>
      </c>
      <c r="N39" t="s">
        <v>57</v>
      </c>
      <c r="O39" t="s">
        <v>58</v>
      </c>
      <c r="P39" t="s">
        <v>59</v>
      </c>
      <c r="Q39" t="s">
        <v>60</v>
      </c>
      <c r="R39" t="s">
        <v>61</v>
      </c>
      <c r="S39" t="s">
        <v>62</v>
      </c>
      <c r="T39" t="s">
        <v>63</v>
      </c>
    </row>
    <row r="40" spans="1:20" x14ac:dyDescent="0.55000000000000004">
      <c r="A40" s="1" t="s">
        <v>34</v>
      </c>
      <c r="B40" s="2" t="s">
        <v>36</v>
      </c>
      <c r="C40" s="2" t="s">
        <v>68</v>
      </c>
      <c r="D40" s="2" t="s">
        <v>386</v>
      </c>
      <c r="E40" s="2" t="s">
        <v>386</v>
      </c>
      <c r="F40" s="2" t="s">
        <v>393</v>
      </c>
      <c r="G40" s="2" t="s">
        <v>387</v>
      </c>
      <c r="K40" t="s">
        <v>29</v>
      </c>
      <c r="L40">
        <f>SUMIF(B40:G40,K40,B41:G41)</f>
        <v>0</v>
      </c>
      <c r="M40">
        <f>SUMIF(B40:G40,K40,B42:G42)</f>
        <v>0</v>
      </c>
      <c r="N40">
        <f>SUMIF(B40:G40,K40,B43:G43)</f>
        <v>0</v>
      </c>
      <c r="O40">
        <f>SUMIF(B40:G40,K40,B44:G44)</f>
        <v>0</v>
      </c>
      <c r="P40">
        <f>SUMIF(B40:G40,K40,B45:G45)</f>
        <v>0</v>
      </c>
      <c r="Q40">
        <f>SUMIF(B40:G40,K40,B46:G46)</f>
        <v>0</v>
      </c>
      <c r="R40">
        <f>SUMIF(B40:G40,K40,B47:G47)</f>
        <v>0</v>
      </c>
      <c r="S40">
        <f>SUMIF(B40:G40,K40,B48:G48)</f>
        <v>0</v>
      </c>
      <c r="T40">
        <f>SUMIF(B40:G40,K40,B49:G49)</f>
        <v>0</v>
      </c>
    </row>
    <row r="41" spans="1:20" x14ac:dyDescent="0.55000000000000004">
      <c r="A41" s="24" t="s">
        <v>17</v>
      </c>
      <c r="B41" s="26">
        <v>0</v>
      </c>
      <c r="C41" s="26">
        <v>0</v>
      </c>
      <c r="D41" s="26">
        <v>0</v>
      </c>
      <c r="E41" s="25">
        <v>2</v>
      </c>
      <c r="F41" s="26">
        <v>0</v>
      </c>
      <c r="G41" s="26">
        <v>0</v>
      </c>
      <c r="K41" t="s">
        <v>28</v>
      </c>
      <c r="L41">
        <f>SUMIF(B40:G40,K41,B41:G41)</f>
        <v>0</v>
      </c>
      <c r="M41">
        <f>SUMIF(B40:G40,K41,B42:G42)</f>
        <v>0</v>
      </c>
      <c r="N41">
        <f>SUMIF(B40:G40,K41,B43:G43)</f>
        <v>0</v>
      </c>
      <c r="O41">
        <f>SUMIF(B40:G40,K41,B44:G44)</f>
        <v>0</v>
      </c>
      <c r="P41">
        <f>SUMIF(B40:G40,K41,B45:G45)</f>
        <v>0</v>
      </c>
      <c r="Q41">
        <f>SUMIF(B40:G40,K41,B46:G46)</f>
        <v>0</v>
      </c>
      <c r="R41">
        <f>SUMIF(B40:G40,K41,B47:G47)</f>
        <v>2</v>
      </c>
      <c r="S41">
        <f>SUMIF(B40:G40,K41,B48:G48)</f>
        <v>0</v>
      </c>
      <c r="T41">
        <f>SUMIF(B40:G40,K41,B49:G49)</f>
        <v>0</v>
      </c>
    </row>
    <row r="42" spans="1:20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6">
        <v>0</v>
      </c>
      <c r="G42" s="26">
        <v>0</v>
      </c>
      <c r="K42" t="s">
        <v>36</v>
      </c>
      <c r="L42">
        <f>SUMIF(B40:G40,K42,B41:G41)</f>
        <v>0</v>
      </c>
      <c r="M42">
        <f ca="1">SUMIF(B40:G40,K42,B42:B42)</f>
        <v>0</v>
      </c>
      <c r="N42">
        <f>SUMIF(B40:G40,K42,B43:G43)</f>
        <v>0</v>
      </c>
      <c r="O42">
        <f>SUMIF(B40:G40,K42,B44:G44)</f>
        <v>0</v>
      </c>
      <c r="P42">
        <f>SUMIF(B40:G40,K42,B45:G45)</f>
        <v>1</v>
      </c>
      <c r="Q42">
        <f>SUMIF(B40:G40,K42,B46:G46)</f>
        <v>0</v>
      </c>
      <c r="R42">
        <f>SUMIF(B40:G40,K42,B47:G47)</f>
        <v>0</v>
      </c>
      <c r="S42">
        <f>SUMIF(B40:G40,K42,B48:G48)</f>
        <v>0</v>
      </c>
      <c r="T42">
        <f>SUMIF(B40:G40,K42,B49:G49)</f>
        <v>0</v>
      </c>
    </row>
    <row r="43" spans="1:20" x14ac:dyDescent="0.55000000000000004">
      <c r="A43" s="24" t="s">
        <v>19</v>
      </c>
      <c r="B43" s="26">
        <v>0</v>
      </c>
      <c r="C43" s="26">
        <v>0</v>
      </c>
      <c r="D43" s="26">
        <v>0</v>
      </c>
      <c r="E43" s="25">
        <v>0</v>
      </c>
      <c r="F43" s="26">
        <v>0</v>
      </c>
      <c r="G43" s="26">
        <v>0</v>
      </c>
      <c r="K43" t="s">
        <v>386</v>
      </c>
      <c r="L43">
        <f>SUMIF(B40:G40,K43,B41:G41)</f>
        <v>2</v>
      </c>
      <c r="M43">
        <f ca="1">SUMIF(B40:G40,K43,B42:B42)</f>
        <v>0</v>
      </c>
      <c r="N43">
        <f>SUMIF(B40:G40,K43,B43:G43)</f>
        <v>0</v>
      </c>
      <c r="O43">
        <f>SUMIF(B40:G40,K43,B44:G44)</f>
        <v>0</v>
      </c>
      <c r="P43">
        <f>SUMIF(B40:G40,K43,B45:G45)</f>
        <v>0</v>
      </c>
      <c r="Q43">
        <f>SUMIF(B40:G40,K43,B46:G46)</f>
        <v>0</v>
      </c>
      <c r="R43">
        <f>SUMIF(B40:G40,K43,B47:G47)</f>
        <v>5</v>
      </c>
      <c r="S43">
        <f>SUMIF(B40:G40,K43,B48:G48)</f>
        <v>1</v>
      </c>
      <c r="T43">
        <f>SUMIF(B40:G40,K43,B49:G49)</f>
        <v>0</v>
      </c>
    </row>
    <row r="44" spans="1:20" x14ac:dyDescent="0.55000000000000004">
      <c r="A44" s="17" t="s">
        <v>20</v>
      </c>
      <c r="B44" s="22">
        <v>0</v>
      </c>
      <c r="C44" s="22">
        <v>0</v>
      </c>
      <c r="D44" s="22">
        <v>0</v>
      </c>
      <c r="E44" s="18">
        <v>0</v>
      </c>
      <c r="F44" s="22">
        <v>0</v>
      </c>
      <c r="G44" s="22">
        <v>0</v>
      </c>
      <c r="K44" s="43" t="s">
        <v>392</v>
      </c>
    </row>
    <row r="45" spans="1:20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22">
        <v>1</v>
      </c>
      <c r="G45" s="22">
        <v>0</v>
      </c>
      <c r="K45" s="42"/>
      <c r="L45" s="42" t="s">
        <v>0</v>
      </c>
      <c r="M45" s="42" t="s">
        <v>53</v>
      </c>
      <c r="N45" s="42" t="s">
        <v>54</v>
      </c>
    </row>
    <row r="46" spans="1:20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22">
        <v>0</v>
      </c>
      <c r="G46" s="22">
        <v>0</v>
      </c>
      <c r="K46" s="1" t="s">
        <v>29</v>
      </c>
      <c r="L46" s="1">
        <f>(SUMIF(B40:G40,"ダイクス",B41:G41))+(SUMIF(B40:G40,"ダイクス",B44:G44))+(SUMIF(B39:G39,"ダイクス",B47:G47))</f>
        <v>0</v>
      </c>
      <c r="M46" s="1">
        <f>(SUMIF(B40:G40,"ダイクス",B42:G42))+(SUMIF(B40:G40,"ダイクス",B45:G45))+(SUMIF(B40:G40,"ダイクス",B48:G48))</f>
        <v>0</v>
      </c>
      <c r="N46" s="1">
        <f>(SUMIF(B40:G40,"ダイクス",B43:G43))+(SUMIF(B40:G40,"ダイクス",B46:G46))+(SUMIF(B40:G40,"ダイクス",B49:G49))</f>
        <v>0</v>
      </c>
    </row>
    <row r="47" spans="1:20" x14ac:dyDescent="0.55000000000000004">
      <c r="A47" s="15" t="s">
        <v>24</v>
      </c>
      <c r="B47" s="23">
        <v>0</v>
      </c>
      <c r="C47" s="23">
        <v>0</v>
      </c>
      <c r="D47" s="23">
        <v>5</v>
      </c>
      <c r="E47" s="16">
        <v>0</v>
      </c>
      <c r="F47" s="23">
        <v>0</v>
      </c>
      <c r="G47" s="23">
        <v>2</v>
      </c>
      <c r="K47" s="1" t="s">
        <v>28</v>
      </c>
      <c r="L47" s="1">
        <f>(SUMIF(B40:G40,"中野",B41:G41))+(SUMIF(B40:G40,"中野",B44:G44))+(SUMIF(B40:G40,"中野",B47:G47))</f>
        <v>2</v>
      </c>
      <c r="M47" s="1">
        <f>(SUMIF(B40:G40,"中野",B42:G42))+(SUMIF(B40:G40,"中野",B45:G45))+(SUMIF(B40:G40,"中野",B48:G48))</f>
        <v>0</v>
      </c>
      <c r="N47" s="1">
        <f>(SUMIF(B40:G40,"中野",B43:G43))+(SUMIF(B40:G40,"中野",B46:G46))+(SUMIF(B40:G40,"中野",B49:G49))</f>
        <v>0</v>
      </c>
    </row>
    <row r="48" spans="1:20" x14ac:dyDescent="0.55000000000000004">
      <c r="A48" s="15" t="s">
        <v>25</v>
      </c>
      <c r="B48" s="23">
        <v>0</v>
      </c>
      <c r="C48" s="23">
        <v>0</v>
      </c>
      <c r="D48" s="23">
        <v>1</v>
      </c>
      <c r="E48" s="16">
        <v>0</v>
      </c>
      <c r="F48" s="23">
        <v>0</v>
      </c>
      <c r="G48" s="23">
        <v>0</v>
      </c>
      <c r="K48" s="1" t="s">
        <v>64</v>
      </c>
      <c r="L48" s="1">
        <f>(SUMIF(B40:G40,"渡邊",B41:G41))+(SUMIF(B40:G40,"渡邊",B44:G44))+(SUMIF(B40:G40,"渡邊",B47:G47))</f>
        <v>0</v>
      </c>
      <c r="M48" s="1">
        <f ca="1">(SUMIF(B40:G409,"渡邊",B42:G42))+(SUMIF(B40:G40,"渡邊",B45:G45))+(SUMIF(B40:G40,"渡邊",B48:G48))</f>
        <v>1</v>
      </c>
      <c r="N48" s="1">
        <f>(SUMIF(B40:G40,"渡邊",B43:G43))+(SUMIF(B40:G40,"渡邊",B46:G46))+(SUMIF(B40:G40,"渡邊",B49:G49))</f>
        <v>0</v>
      </c>
    </row>
    <row r="49" spans="1:20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23">
        <v>0</v>
      </c>
      <c r="G49" s="23">
        <v>0</v>
      </c>
      <c r="K49" s="1" t="s">
        <v>68</v>
      </c>
      <c r="L49" s="1">
        <f>(SUMIF(B40:G40,"江藤",B41:G41))+(SUMIF(B40:G40,"江藤",B44:G44))+(SUMIF(B40:G40,"江藤",B47:G47))</f>
        <v>7</v>
      </c>
      <c r="M49" s="1">
        <f>(SUMIF(B40:G40,"江藤",B42:G42))+(SUMIF(B40:G40,"江藤",B45:G45))+(SUMIF(B40:G40,"江藤",B48:G48))</f>
        <v>1</v>
      </c>
      <c r="N49" s="1">
        <f>(SUMIF(B40:G40,"江藤",B43:G43))+(SUMIF(B40:G40,"江藤",B46:G46))+(SUMIF(B40:G40,"江藤",B49:G49))</f>
        <v>0</v>
      </c>
    </row>
    <row r="50" spans="1:20" x14ac:dyDescent="0.55000000000000004">
      <c r="A50" s="24" t="s">
        <v>31</v>
      </c>
      <c r="B50" s="27">
        <f>SUM(B41:B49)</f>
        <v>0</v>
      </c>
      <c r="C50" s="27">
        <f>SUM(C41:C49)</f>
        <v>0</v>
      </c>
      <c r="D50" s="27">
        <f>SUM(D41:D44)</f>
        <v>0</v>
      </c>
      <c r="E50" s="27">
        <f>SUM(E41:E49)</f>
        <v>2</v>
      </c>
      <c r="F50" s="27">
        <f>SUM(F41:F49)</f>
        <v>1</v>
      </c>
      <c r="G50" s="27">
        <f>SUM(G41:G49)</f>
        <v>2</v>
      </c>
    </row>
    <row r="51" spans="1:20" x14ac:dyDescent="0.55000000000000004">
      <c r="A51" s="17" t="s">
        <v>32</v>
      </c>
      <c r="B51" s="20">
        <f t="shared" ref="B51:G51" si="9">SUM(B44:B46)</f>
        <v>0</v>
      </c>
      <c r="C51" s="20">
        <f t="shared" si="9"/>
        <v>0</v>
      </c>
      <c r="D51" s="20">
        <f t="shared" si="9"/>
        <v>0</v>
      </c>
      <c r="E51" s="20">
        <f t="shared" si="9"/>
        <v>0</v>
      </c>
      <c r="F51" s="20">
        <f t="shared" si="9"/>
        <v>1</v>
      </c>
      <c r="G51" s="20">
        <f t="shared" si="9"/>
        <v>0</v>
      </c>
    </row>
    <row r="52" spans="1:20" x14ac:dyDescent="0.55000000000000004">
      <c r="A52" s="15" t="s">
        <v>33</v>
      </c>
      <c r="B52" s="21">
        <f t="shared" ref="B52:G52" si="10">SUM(B47:B49)</f>
        <v>0</v>
      </c>
      <c r="C52" s="21">
        <f t="shared" si="10"/>
        <v>0</v>
      </c>
      <c r="D52" s="21">
        <f t="shared" si="10"/>
        <v>6</v>
      </c>
      <c r="E52" s="21">
        <f t="shared" si="10"/>
        <v>0</v>
      </c>
      <c r="F52" s="21">
        <f t="shared" si="10"/>
        <v>0</v>
      </c>
      <c r="G52" s="21">
        <f t="shared" si="10"/>
        <v>2</v>
      </c>
    </row>
    <row r="57" spans="1:20" x14ac:dyDescent="0.55000000000000004">
      <c r="A57" s="1" t="s">
        <v>23</v>
      </c>
      <c r="B57" s="2" t="s">
        <v>419</v>
      </c>
      <c r="C57" s="2" t="s">
        <v>419</v>
      </c>
      <c r="D57" s="2" t="s">
        <v>419</v>
      </c>
      <c r="E57" s="2" t="s">
        <v>420</v>
      </c>
      <c r="F57" s="2" t="s">
        <v>420</v>
      </c>
      <c r="G57" s="2" t="s">
        <v>420</v>
      </c>
      <c r="K57" t="s">
        <v>13</v>
      </c>
      <c r="L57" t="s">
        <v>55</v>
      </c>
      <c r="M57" t="s">
        <v>56</v>
      </c>
      <c r="N57" t="s">
        <v>57</v>
      </c>
      <c r="O57" t="s">
        <v>58</v>
      </c>
      <c r="P57" t="s">
        <v>59</v>
      </c>
      <c r="Q57" t="s">
        <v>60</v>
      </c>
      <c r="R57" t="s">
        <v>61</v>
      </c>
      <c r="S57" t="s">
        <v>62</v>
      </c>
      <c r="T57" t="s">
        <v>63</v>
      </c>
    </row>
    <row r="58" spans="1:20" x14ac:dyDescent="0.55000000000000004">
      <c r="A58" s="1" t="s">
        <v>34</v>
      </c>
      <c r="B58" s="2" t="s">
        <v>28</v>
      </c>
      <c r="C58" s="2" t="s">
        <v>68</v>
      </c>
      <c r="D58" s="2" t="s">
        <v>68</v>
      </c>
      <c r="E58" s="2" t="s">
        <v>68</v>
      </c>
      <c r="F58" s="2" t="s">
        <v>29</v>
      </c>
      <c r="G58" s="2" t="s">
        <v>36</v>
      </c>
      <c r="K58" t="s">
        <v>29</v>
      </c>
      <c r="L58">
        <f>SUMIF(B58:G58,K58,B59:G59)</f>
        <v>0</v>
      </c>
      <c r="M58">
        <f>SUMIF(B58:G58,K58,B60:G60)</f>
        <v>0</v>
      </c>
      <c r="N58">
        <f>SUMIF(B58:G58,K58,B61:G61)</f>
        <v>0</v>
      </c>
      <c r="O58">
        <f>SUMIF(B58:G58,K58,B62:G62)</f>
        <v>0</v>
      </c>
      <c r="P58">
        <f>SUMIF(B58:G58,K58,B63:G63)</f>
        <v>0</v>
      </c>
      <c r="Q58">
        <f>SUMIF(B58:G58,K58,B64:G64)</f>
        <v>0</v>
      </c>
      <c r="R58">
        <f>SUMIF(B58:G58,K58,B65:G65)</f>
        <v>0</v>
      </c>
      <c r="S58">
        <f>SUMIF(B58:G58,K58,B66:G66)</f>
        <v>0</v>
      </c>
      <c r="T58">
        <f>SUMIF(B58:G58,K58,B67:G67)</f>
        <v>0</v>
      </c>
    </row>
    <row r="59" spans="1:20" x14ac:dyDescent="0.55000000000000004">
      <c r="A59" s="24" t="s">
        <v>17</v>
      </c>
      <c r="B59" s="26">
        <v>0</v>
      </c>
      <c r="C59" s="26">
        <v>0</v>
      </c>
      <c r="D59" s="26">
        <v>0</v>
      </c>
      <c r="E59" s="25"/>
      <c r="F59" s="26"/>
      <c r="G59" s="26"/>
      <c r="K59" t="s">
        <v>28</v>
      </c>
      <c r="L59">
        <f>SUMIF(B58:G58,K59,B59:G59)</f>
        <v>0</v>
      </c>
      <c r="M59">
        <f>SUMIF(B58:G58,K59,B60:G60)</f>
        <v>0</v>
      </c>
      <c r="N59">
        <f>SUMIF(B58:G58,K59,B61:G61)</f>
        <v>0</v>
      </c>
      <c r="O59">
        <f>SUMIF(B58:G58,K59,B62:G62)</f>
        <v>0</v>
      </c>
      <c r="P59">
        <f>SUMIF(B58:G58,K59,B63:G63)</f>
        <v>0</v>
      </c>
      <c r="Q59">
        <f>SUMIF(B58:G58,K59,B64:G64)</f>
        <v>0</v>
      </c>
      <c r="R59">
        <f>SUMIF(B58:G58,K59,B65:G65)</f>
        <v>0</v>
      </c>
      <c r="S59">
        <f>SUMIF(B58:G58,K59,B66:G66)</f>
        <v>0</v>
      </c>
      <c r="T59">
        <f>SUMIF(B58:G58,K59,B67:G67)</f>
        <v>0</v>
      </c>
    </row>
    <row r="60" spans="1:20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/>
      <c r="F60" s="26"/>
      <c r="G60" s="26"/>
      <c r="K60" t="s">
        <v>36</v>
      </c>
      <c r="L60">
        <f>SUMIF(B58:G58,K60,B59:G59)</f>
        <v>0</v>
      </c>
      <c r="M60">
        <f ca="1">SUMIF(B58:G58,K60,B60:B60)</f>
        <v>0</v>
      </c>
      <c r="N60">
        <f>SUMIF(B58:G58,K60,B61:G61)</f>
        <v>0</v>
      </c>
      <c r="O60">
        <f>SUMIF(B58:G58,K60,B62:G62)</f>
        <v>0</v>
      </c>
      <c r="P60">
        <f>SUMIF(B58:G58,K60,B63:G63)</f>
        <v>0</v>
      </c>
      <c r="Q60">
        <f>SUMIF(B58:G58,K60,B64:G64)</f>
        <v>0</v>
      </c>
      <c r="R60">
        <f>SUMIF(B58:G58,K60,B65:G65)</f>
        <v>0</v>
      </c>
      <c r="S60">
        <f>SUMIF(B58:G58,K60,B66:G66)</f>
        <v>0</v>
      </c>
      <c r="T60">
        <f>SUMIF(B58:G58,K60,B67:G67)</f>
        <v>0</v>
      </c>
    </row>
    <row r="61" spans="1:20" x14ac:dyDescent="0.55000000000000004">
      <c r="A61" s="24" t="s">
        <v>19</v>
      </c>
      <c r="B61" s="26">
        <v>0</v>
      </c>
      <c r="C61" s="26">
        <v>0</v>
      </c>
      <c r="D61" s="26">
        <v>0</v>
      </c>
      <c r="E61" s="25"/>
      <c r="F61" s="26"/>
      <c r="G61" s="26"/>
      <c r="K61" t="s">
        <v>68</v>
      </c>
      <c r="L61">
        <f>SUMIF(B58:G58,K61,B59:G59)</f>
        <v>0</v>
      </c>
      <c r="M61">
        <f ca="1">SUMIF(B58:G58,K61,B60:B60)</f>
        <v>0</v>
      </c>
      <c r="N61">
        <f>SUMIF(B58:G58,K61,B61:G61)</f>
        <v>0</v>
      </c>
      <c r="O61">
        <f>SUMIF(B58:G58,K61,B62:G62)</f>
        <v>0</v>
      </c>
      <c r="P61">
        <f>SUMIF(B58:G58,K61,B63:G63)</f>
        <v>0</v>
      </c>
      <c r="Q61">
        <f>SUMIF(B58:G58,K61,B64:G64)</f>
        <v>0</v>
      </c>
      <c r="R61">
        <f>SUMIF(B58:G58,K61,B65:G65)</f>
        <v>0</v>
      </c>
      <c r="S61">
        <f>SUMIF(B58:G58,K61,B66:G66)</f>
        <v>0</v>
      </c>
      <c r="T61">
        <f>SUMIF(B58:G58,K61,B67:G67)</f>
        <v>0</v>
      </c>
    </row>
    <row r="62" spans="1:20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/>
      <c r="F62" s="22"/>
      <c r="G62" s="22"/>
      <c r="K62" t="s">
        <v>320</v>
      </c>
      <c r="L62">
        <f>SUMIF(B58:G58,K62,B59:G59)</f>
        <v>0</v>
      </c>
      <c r="M62">
        <f ca="1">SUMIF(B58:G58,K62,B60:B60)</f>
        <v>0</v>
      </c>
      <c r="N62">
        <f>SUMIF(B58:G58,K62,B61:G61)</f>
        <v>0</v>
      </c>
      <c r="O62">
        <f>SUMIF(B58:G58,K62,B62:G62)</f>
        <v>0</v>
      </c>
      <c r="P62">
        <f>SUMIF(B58:G58,K62,B63:G63)</f>
        <v>0</v>
      </c>
      <c r="Q62">
        <f>SUMIF(B58:G58,K62,B64:G64)</f>
        <v>0</v>
      </c>
      <c r="R62">
        <f>SUMIF(B58:G58,K62,B65:G65)</f>
        <v>0</v>
      </c>
      <c r="S62">
        <f>SUMIF(B58:G58,K62,B66:G66)</f>
        <v>0</v>
      </c>
      <c r="T62">
        <f>SUMIF(B58:G58,K62,B67:G67)</f>
        <v>0</v>
      </c>
    </row>
    <row r="63" spans="1:20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/>
      <c r="F63" s="22"/>
      <c r="G63" s="22"/>
      <c r="K63" s="43" t="s">
        <v>418</v>
      </c>
    </row>
    <row r="64" spans="1:20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/>
      <c r="F64" s="22"/>
      <c r="G64" s="22"/>
      <c r="K64" s="42"/>
      <c r="L64" s="42" t="s">
        <v>0</v>
      </c>
      <c r="M64" s="42" t="s">
        <v>53</v>
      </c>
      <c r="N64" s="42" t="s">
        <v>54</v>
      </c>
    </row>
    <row r="65" spans="1:14" x14ac:dyDescent="0.55000000000000004">
      <c r="A65" s="15" t="s">
        <v>24</v>
      </c>
      <c r="B65" s="23">
        <v>0</v>
      </c>
      <c r="C65" s="23">
        <v>0</v>
      </c>
      <c r="D65" s="23">
        <v>0</v>
      </c>
      <c r="E65" s="16"/>
      <c r="F65" s="23"/>
      <c r="G65" s="23"/>
      <c r="K65" s="1" t="s">
        <v>29</v>
      </c>
      <c r="L65" s="1">
        <f>(SUMIF(B58:G58,K65,B59:G59))+(SUMIF(B58:G58,K65,B62:G62))+(SUMIF(B57:G57,K65,B65:G65))</f>
        <v>0</v>
      </c>
      <c r="M65" s="1">
        <f>(SUMIF(B58:G58,K65,B60:G60))+(SUMIF(B58:G58,K65,B63:G63))+(SUMIF(B58:G58,K65,B66:G66))</f>
        <v>0</v>
      </c>
      <c r="N65" s="1">
        <f>(SUMIF(B58:G58,K65,B61:G61))+(SUMIF(B58:G58,K65,B64:G64))+(SUMIF(B58:G58,K65,B67:G67))</f>
        <v>0</v>
      </c>
    </row>
    <row r="66" spans="1:14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/>
      <c r="F66" s="23"/>
      <c r="G66" s="23"/>
      <c r="K66" s="1" t="s">
        <v>28</v>
      </c>
      <c r="L66" s="1">
        <f>(SUMIF(B58:G58,K66,B59:G59))+(SUMIF(B58:G58,K66,B62:G62))+(SUMIF(B58:G58,K66,B65:G65))</f>
        <v>0</v>
      </c>
      <c r="M66" s="1">
        <f>(SUMIF(B58:G58,K66,B60:G60))+(SUMIF(B58:G58,K66,B63:G63))+(SUMIF(B58:G58,K66,B66:G66))</f>
        <v>0</v>
      </c>
      <c r="N66" s="1">
        <f>(SUMIF(B58:G58,K66,B61:G61))+(SUMIF(B58:G58,K66,B64:G64))+(SUMIF(B58:G58,K66,B67:G67))</f>
        <v>0</v>
      </c>
    </row>
    <row r="67" spans="1:14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/>
      <c r="F67" s="23"/>
      <c r="G67" s="23"/>
      <c r="K67" s="1" t="s">
        <v>64</v>
      </c>
      <c r="L67" s="1">
        <f>(SUMIF(B58:G58,K67,B59:G59))+(SUMIF(B58:G58,K67,B62:G62))+(SUMIF(B58:G58,K67,B65:G65))</f>
        <v>0</v>
      </c>
      <c r="M67" s="1">
        <f ca="1">(SUMIF(B58:G427,K67,B60:G60))+(SUMIF(B58:G58,K67,B63:G63))+(SUMIF(B58:G58,K67,B66:G66))</f>
        <v>0</v>
      </c>
      <c r="N67" s="1">
        <f>(SUMIF(B58:G58,K67,B61:G61))+(SUMIF(B58:G58,K67,B64:G64))+(SUMIF(B58:G58,K67,B67:G67))</f>
        <v>0</v>
      </c>
    </row>
    <row r="68" spans="1:14" x14ac:dyDescent="0.55000000000000004">
      <c r="A68" s="24" t="s">
        <v>31</v>
      </c>
      <c r="B68" s="27">
        <f>SUM(B59:B67)</f>
        <v>0</v>
      </c>
      <c r="C68" s="27">
        <f>SUM(C59:C67)</f>
        <v>0</v>
      </c>
      <c r="D68" s="27">
        <f>SUM(D59:D62)</f>
        <v>0</v>
      </c>
      <c r="E68" s="27">
        <f>SUM(E59:E67)</f>
        <v>0</v>
      </c>
      <c r="F68" s="27">
        <f>SUM(F59:F67)</f>
        <v>0</v>
      </c>
      <c r="G68" s="27">
        <f>SUM(G59:G67)</f>
        <v>0</v>
      </c>
      <c r="K68" s="1" t="s">
        <v>68</v>
      </c>
      <c r="L68" s="1">
        <f>(SUMIF(B58:G58,K68,B59:G59))+(SUMIF(B58:G58,K68,B62:G62))+(SUMIF(B58:G58,K68,B65:G65))</f>
        <v>0</v>
      </c>
      <c r="M68" s="1">
        <f>(SUMIF(B58:G58,K68,B60:G60))+(SUMIF(B58:G58,K68,B63:G63))+(SUMIF(B58:G58,K68,B66:G66))</f>
        <v>0</v>
      </c>
      <c r="N68" s="1">
        <f>(SUMIF(B58:G58,K68,B61:G61))+(SUMIF(B58:G58,K68,B64:G64))+(SUMIF(B58:G58,K68,B67:G67))</f>
        <v>0</v>
      </c>
    </row>
    <row r="69" spans="1:14" x14ac:dyDescent="0.55000000000000004">
      <c r="A69" s="17" t="s">
        <v>32</v>
      </c>
      <c r="B69" s="20">
        <f t="shared" ref="B69:G69" si="11">SUM(B62:B64)</f>
        <v>0</v>
      </c>
      <c r="C69" s="20">
        <f t="shared" si="11"/>
        <v>0</v>
      </c>
      <c r="D69" s="20">
        <f t="shared" si="11"/>
        <v>0</v>
      </c>
      <c r="E69" s="20">
        <f t="shared" si="11"/>
        <v>0</v>
      </c>
      <c r="F69" s="20">
        <f t="shared" si="11"/>
        <v>0</v>
      </c>
      <c r="G69" s="20">
        <f t="shared" si="11"/>
        <v>0</v>
      </c>
      <c r="K69" s="1" t="s">
        <v>320</v>
      </c>
      <c r="L69" s="1" cm="1">
        <f t="array" ref="L69">(SUMIF(B59:G59,K69,B60:G60))+(SUMIF(B59:G59,K69,B63:G63))+(SUMIF(B59:G59,K69\,B66:G66))</f>
        <v>0</v>
      </c>
      <c r="M69" s="1">
        <f>(SUMIF(B59:G59,K69,B61:G61))+(SUMIF(B59:G59,K69,B64:G64))+(SUMIF(B59:G59,K69,B67:G67))</f>
        <v>0</v>
      </c>
      <c r="N69" s="1">
        <f>(SUMIF(B59:G59,K69,B62:G62))+(SUMIF(B59:G59,K69,B65:G65))+(SUMIF(B59:G59,K69,B68:G68))</f>
        <v>0</v>
      </c>
    </row>
    <row r="70" spans="1:14" x14ac:dyDescent="0.55000000000000004">
      <c r="A70" s="15" t="s">
        <v>33</v>
      </c>
      <c r="B70" s="21">
        <f t="shared" ref="B70:G70" si="12">SUM(B65:B67)</f>
        <v>0</v>
      </c>
      <c r="C70" s="21">
        <f t="shared" si="12"/>
        <v>0</v>
      </c>
      <c r="D70" s="21">
        <f t="shared" si="12"/>
        <v>0</v>
      </c>
      <c r="E70" s="21">
        <f t="shared" si="12"/>
        <v>0</v>
      </c>
      <c r="F70" s="21">
        <f t="shared" si="12"/>
        <v>0</v>
      </c>
      <c r="G70" s="21">
        <f t="shared" si="12"/>
        <v>0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6C29E-B264-4476-B8DC-7BC67A4FE9DE}">
  <sheetPr codeName="Sheet11"/>
  <dimension ref="A1:T70"/>
  <sheetViews>
    <sheetView topLeftCell="A61" workbookViewId="0">
      <selection activeCell="B6" sqref="B6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12" max="12" width="18.4140625" customWidth="1"/>
    <col min="13" max="13" width="17.5" customWidth="1"/>
    <col min="14" max="14" width="26.08203125" bestFit="1" customWidth="1"/>
    <col min="15" max="15" width="19.5" customWidth="1"/>
    <col min="16" max="16" width="14.83203125" customWidth="1"/>
    <col min="17" max="17" width="14.4140625" customWidth="1"/>
    <col min="18" max="18" width="18.25" bestFit="1" customWidth="1"/>
    <col min="19" max="19" width="18.1640625" bestFit="1" customWidth="1"/>
    <col min="20" max="20" width="26.08203125" bestFit="1" customWidth="1"/>
    <col min="21" max="21" width="12.33203125" bestFit="1" customWidth="1"/>
    <col min="22" max="22" width="12.25" bestFit="1" customWidth="1"/>
  </cols>
  <sheetData>
    <row r="1" spans="1:20" x14ac:dyDescent="0.55000000000000004">
      <c r="A1" s="12" t="s">
        <v>16</v>
      </c>
      <c r="B1" s="8"/>
      <c r="C1" s="5"/>
      <c r="D1" s="5"/>
      <c r="E1" s="5"/>
      <c r="F1" s="5"/>
      <c r="G1" s="5"/>
    </row>
    <row r="2" spans="1:20" x14ac:dyDescent="0.55000000000000004">
      <c r="A2" s="5"/>
      <c r="B2" s="8"/>
      <c r="C2" s="5"/>
      <c r="D2" s="5"/>
      <c r="E2" s="5"/>
      <c r="F2" s="5"/>
      <c r="G2" s="5"/>
    </row>
    <row r="3" spans="1:20" x14ac:dyDescent="0.55000000000000004">
      <c r="A3" s="1" t="s">
        <v>23</v>
      </c>
      <c r="B3" s="2" t="s">
        <v>74</v>
      </c>
      <c r="C3" s="2" t="s">
        <v>74</v>
      </c>
      <c r="D3" s="2" t="s">
        <v>74</v>
      </c>
      <c r="E3" s="2" t="s">
        <v>75</v>
      </c>
      <c r="F3" s="2" t="s">
        <v>76</v>
      </c>
      <c r="G3" s="2" t="s">
        <v>77</v>
      </c>
    </row>
    <row r="4" spans="1:20" x14ac:dyDescent="0.55000000000000004">
      <c r="A4" s="1" t="s">
        <v>34</v>
      </c>
      <c r="B4" s="2" t="s">
        <v>27</v>
      </c>
      <c r="C4" s="2" t="s">
        <v>29</v>
      </c>
      <c r="D4" s="2" t="s">
        <v>28</v>
      </c>
      <c r="E4" s="2" t="s">
        <v>28</v>
      </c>
      <c r="F4" s="2" t="s">
        <v>27</v>
      </c>
      <c r="G4" s="2" t="s">
        <v>29</v>
      </c>
      <c r="K4" t="s">
        <v>13</v>
      </c>
      <c r="L4" t="s">
        <v>55</v>
      </c>
      <c r="M4" t="s">
        <v>56</v>
      </c>
      <c r="N4" t="s">
        <v>57</v>
      </c>
      <c r="O4" t="s">
        <v>58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</row>
    <row r="5" spans="1:20" x14ac:dyDescent="0.55000000000000004">
      <c r="A5" s="24" t="s">
        <v>17</v>
      </c>
      <c r="B5" s="25">
        <v>0</v>
      </c>
      <c r="C5" s="25">
        <v>0</v>
      </c>
      <c r="D5" s="25">
        <v>0</v>
      </c>
      <c r="E5" s="25">
        <v>0</v>
      </c>
      <c r="F5" s="26">
        <v>0</v>
      </c>
      <c r="G5" s="26">
        <v>0</v>
      </c>
      <c r="K5" t="s">
        <v>27</v>
      </c>
      <c r="L5">
        <f>SUMIF(B4:G4,K5,B5:G5)</f>
        <v>0</v>
      </c>
      <c r="M5">
        <f>SUMIF(B4:G4,K5,B6:G6)</f>
        <v>0</v>
      </c>
      <c r="N5">
        <f>SUMIF(B4:G4,K5,B7:G7)</f>
        <v>0</v>
      </c>
      <c r="O5">
        <f>SUMIF(B4:G4,K5,B8:G8)</f>
        <v>0</v>
      </c>
      <c r="P5">
        <f>SUMIF(B4:G4,K5,B9:G9)</f>
        <v>0</v>
      </c>
      <c r="Q5">
        <f>SUMIF(B4:G4,K5,B10:G10)</f>
        <v>0</v>
      </c>
      <c r="R5">
        <f>SUMIF(B4:G4,K5,B11:G11)</f>
        <v>0</v>
      </c>
      <c r="S5">
        <f>SUMIF(B4:G4,K5,B12:G12)</f>
        <v>0</v>
      </c>
      <c r="T5">
        <f>SUMIF(B4:G4,K5,B13:G13)</f>
        <v>0</v>
      </c>
    </row>
    <row r="6" spans="1:20" x14ac:dyDescent="0.55000000000000004">
      <c r="A6" s="24" t="s">
        <v>18</v>
      </c>
      <c r="B6" s="25">
        <v>0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K6" t="s">
        <v>29</v>
      </c>
      <c r="L6">
        <f>SUMIF(B4:G4,K6,B5:G5)</f>
        <v>0</v>
      </c>
      <c r="M6">
        <f>SUMIF(B4:G4,K6,B6:G6)</f>
        <v>0</v>
      </c>
      <c r="N6">
        <f>SUMIF(B4:G4,K6,B7:G7)</f>
        <v>0</v>
      </c>
      <c r="O6">
        <f>SUMIF(B4:G4,K6,B8:G8)</f>
        <v>0</v>
      </c>
      <c r="P6">
        <f>SUMIF(B4:G4,K6,B9:G9)</f>
        <v>0</v>
      </c>
      <c r="Q6">
        <f>SUMIF(B4:G4,K6,B10:G10)</f>
        <v>0</v>
      </c>
      <c r="R6">
        <f>SUMIF(B4:G4,K6,B11:G11)</f>
        <v>1</v>
      </c>
      <c r="S6">
        <f>SUMIF(B4:G4,K6,B12:G12)</f>
        <v>0</v>
      </c>
      <c r="T6">
        <f>SUMIF(B4:G4,K6,B13:G13)</f>
        <v>0</v>
      </c>
    </row>
    <row r="7" spans="1:20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K7" t="s">
        <v>28</v>
      </c>
      <c r="L7">
        <f>SUMIF(B4:G4,K7,B5:G5)</f>
        <v>0</v>
      </c>
      <c r="M7">
        <f ca="1">SUMIF(B4:G4,K7,B6:B6)</f>
        <v>0</v>
      </c>
      <c r="N7">
        <f>SUMIF(B4:G4,K7,B7:G7)</f>
        <v>0</v>
      </c>
      <c r="O7">
        <f>SUMIF(B4:G4,K7,B8:G8)</f>
        <v>0</v>
      </c>
      <c r="P7">
        <f>SUMIF(B4:G4,K7,B9:G9)</f>
        <v>0</v>
      </c>
      <c r="Q7">
        <f>SUMIF(B4:G4,K7,B10:G10)</f>
        <v>0</v>
      </c>
      <c r="R7">
        <f>SUMIF(B4:G4,K7,B11:G11)</f>
        <v>1</v>
      </c>
      <c r="S7">
        <f>SUMIF(B4:G4,K7,B12:G12)</f>
        <v>0</v>
      </c>
      <c r="T7">
        <f>SUMIF(B4:G4,K7,B13:G13)</f>
        <v>0</v>
      </c>
    </row>
    <row r="8" spans="1:20" x14ac:dyDescent="0.55000000000000004">
      <c r="A8" s="17" t="s">
        <v>20</v>
      </c>
      <c r="B8" s="18">
        <v>0</v>
      </c>
      <c r="C8" s="18">
        <v>0</v>
      </c>
      <c r="D8" s="18">
        <v>0</v>
      </c>
      <c r="E8" s="18">
        <v>0</v>
      </c>
      <c r="F8" s="22">
        <v>0</v>
      </c>
      <c r="G8" s="22">
        <v>0</v>
      </c>
    </row>
    <row r="9" spans="1:20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K9" s="43" t="s">
        <v>78</v>
      </c>
    </row>
    <row r="10" spans="1:20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K10" s="42"/>
      <c r="L10" s="42" t="s">
        <v>0</v>
      </c>
      <c r="M10" s="42" t="s">
        <v>53</v>
      </c>
      <c r="N10" s="42" t="s">
        <v>54</v>
      </c>
    </row>
    <row r="11" spans="1:20" x14ac:dyDescent="0.55000000000000004">
      <c r="A11" s="15" t="s">
        <v>24</v>
      </c>
      <c r="B11" s="16">
        <v>0</v>
      </c>
      <c r="C11" s="16">
        <v>0</v>
      </c>
      <c r="D11" s="16">
        <v>1</v>
      </c>
      <c r="E11" s="16">
        <v>0</v>
      </c>
      <c r="F11" s="23">
        <v>0</v>
      </c>
      <c r="G11" s="23">
        <v>1</v>
      </c>
      <c r="K11" s="1" t="s">
        <v>27</v>
      </c>
      <c r="L11" s="1">
        <f>(SUMIF(B4:G4,"木村",B5:G5))+(SUMIF(B4:G4,"木村",B8:G8))+(SUMIF(B4:G4,"木村",B11:G11))</f>
        <v>0</v>
      </c>
      <c r="M11" s="1">
        <f>(SUMIF(B4:G4,"ダイクス",B6:G6))+(SUMIF(B4:G4,"ダイクス",B9:G9))+(SUMIF(B4:G4,"ダイクス",B12:G12))</f>
        <v>0</v>
      </c>
      <c r="N11" s="1">
        <f>(SUMIF(B4:G4,"ダイクス",B7:G7))+(SUMIF(B4:G4,"ダイクス",B10:G10))+(SUMIF(B4:G4,"ダイクス",B13:G13))</f>
        <v>0</v>
      </c>
    </row>
    <row r="12" spans="1:20" x14ac:dyDescent="0.55000000000000004">
      <c r="A12" s="15" t="s">
        <v>25</v>
      </c>
      <c r="B12" s="16">
        <v>0</v>
      </c>
      <c r="C12" s="16">
        <v>0</v>
      </c>
      <c r="D12" s="16">
        <v>0</v>
      </c>
      <c r="E12" s="16">
        <v>0</v>
      </c>
      <c r="F12" s="23">
        <v>0</v>
      </c>
      <c r="G12" s="23">
        <v>0</v>
      </c>
      <c r="K12" s="1" t="s">
        <v>29</v>
      </c>
      <c r="L12" s="1">
        <f>(SUMIF(B4:G4,K12,B5:G5))+(SUMIF(B4:G4,K12,B8:G8))+(SUMIF(B4:G4,K12,B11:G11))</f>
        <v>1</v>
      </c>
      <c r="M12" s="1">
        <f>(SUMIF(B4:G4,"中野",B6:G6))+(SUMIF(B4:G4,"中野",B9:G9))+(SUMIF(B4:G4,"中野",B12:G12))</f>
        <v>0</v>
      </c>
      <c r="N12" s="1">
        <f>(SUMIF(B4:G4,"中野",B7:G7))+(SUMIF(B4:G4,"中野",B10:G10))+(SUMIF(B4:G4,"中野",B13:G13))</f>
        <v>0</v>
      </c>
    </row>
    <row r="13" spans="1:20" x14ac:dyDescent="0.55000000000000004">
      <c r="A13" s="15" t="s">
        <v>26</v>
      </c>
      <c r="B13" s="16">
        <v>0</v>
      </c>
      <c r="C13" s="16">
        <v>0</v>
      </c>
      <c r="D13" s="16">
        <v>0</v>
      </c>
      <c r="E13" s="16">
        <v>0</v>
      </c>
      <c r="F13" s="23">
        <v>0</v>
      </c>
      <c r="G13" s="23">
        <v>0</v>
      </c>
      <c r="K13" s="1" t="s">
        <v>28</v>
      </c>
      <c r="L13" s="1">
        <f>(SUMIF(B4:G4,K13,B5:G5))+(SUMIF(B4:G4,K13,B8:G8))+(SUMIF(B4:G4,K13,B11:G11))</f>
        <v>1</v>
      </c>
      <c r="M13" s="1">
        <f>(SUMIF(B4:G4,K13,B6:G6))+(SUMIF(B4:G4,K13,B9:G9))+(SUMIF(B4:G4,K13,B12:G12))</f>
        <v>0</v>
      </c>
      <c r="N13" s="1">
        <f>(SUMIF(B4:G4,K13,B7:G7))+(SUMIF(B4:G4,K13,B10:G10))+(SUMIF(B4:G4,K13,B13:G13))</f>
        <v>0</v>
      </c>
    </row>
    <row r="14" spans="1:20" x14ac:dyDescent="0.55000000000000004">
      <c r="A14" s="24" t="s">
        <v>31</v>
      </c>
      <c r="B14" s="27">
        <f t="shared" ref="B14:G14" si="0">SUM(B5:B7)</f>
        <v>0</v>
      </c>
      <c r="C14" s="27">
        <f t="shared" si="0"/>
        <v>0</v>
      </c>
      <c r="D14" s="27">
        <f t="shared" si="0"/>
        <v>0</v>
      </c>
      <c r="E14" s="27">
        <f t="shared" si="0"/>
        <v>0</v>
      </c>
      <c r="F14" s="27">
        <f t="shared" si="0"/>
        <v>0</v>
      </c>
      <c r="G14" s="27">
        <f t="shared" si="0"/>
        <v>0</v>
      </c>
    </row>
    <row r="15" spans="1:20" x14ac:dyDescent="0.55000000000000004">
      <c r="A15" s="17" t="s">
        <v>32</v>
      </c>
      <c r="B15" s="20">
        <f t="shared" ref="B15:G15" si="1">SUM(B8:B10)</f>
        <v>0</v>
      </c>
      <c r="C15" s="20">
        <f t="shared" si="1"/>
        <v>0</v>
      </c>
      <c r="D15" s="20">
        <f t="shared" si="1"/>
        <v>0</v>
      </c>
      <c r="E15" s="20">
        <f t="shared" si="1"/>
        <v>0</v>
      </c>
      <c r="F15" s="20">
        <f t="shared" si="1"/>
        <v>0</v>
      </c>
      <c r="G15" s="20">
        <f t="shared" si="1"/>
        <v>0</v>
      </c>
    </row>
    <row r="16" spans="1:20" x14ac:dyDescent="0.55000000000000004">
      <c r="A16" s="15" t="s">
        <v>33</v>
      </c>
      <c r="B16" s="21">
        <f t="shared" ref="B16:G16" si="2">SUM(B11:B13)</f>
        <v>0</v>
      </c>
      <c r="C16" s="21">
        <f t="shared" si="2"/>
        <v>0</v>
      </c>
      <c r="D16" s="21">
        <f t="shared" si="2"/>
        <v>1</v>
      </c>
      <c r="E16" s="21">
        <f t="shared" si="2"/>
        <v>0</v>
      </c>
      <c r="F16" s="21">
        <f t="shared" si="2"/>
        <v>0</v>
      </c>
      <c r="G16" s="21">
        <f t="shared" si="2"/>
        <v>1</v>
      </c>
    </row>
    <row r="17" spans="1:20" x14ac:dyDescent="0.55000000000000004">
      <c r="A17" s="32"/>
      <c r="B17" s="31"/>
      <c r="C17" s="31"/>
      <c r="D17" s="31"/>
      <c r="E17" s="31"/>
      <c r="F17" s="31"/>
      <c r="G17" s="31"/>
    </row>
    <row r="18" spans="1:20" x14ac:dyDescent="0.55000000000000004">
      <c r="B18" s="31"/>
      <c r="C18" s="31"/>
      <c r="D18" s="31"/>
      <c r="E18" s="31"/>
      <c r="F18" s="31"/>
      <c r="G18" s="31"/>
    </row>
    <row r="21" spans="1:20" x14ac:dyDescent="0.55000000000000004">
      <c r="A21" s="1" t="s">
        <v>23</v>
      </c>
      <c r="B21" s="2" t="s">
        <v>80</v>
      </c>
      <c r="C21" s="2" t="s">
        <v>80</v>
      </c>
      <c r="D21" s="2" t="s">
        <v>80</v>
      </c>
      <c r="E21" s="2" t="s">
        <v>81</v>
      </c>
      <c r="F21" s="2" t="s">
        <v>81</v>
      </c>
      <c r="G21" s="2" t="s">
        <v>81</v>
      </c>
    </row>
    <row r="22" spans="1:20" x14ac:dyDescent="0.55000000000000004">
      <c r="A22" s="1" t="s">
        <v>34</v>
      </c>
      <c r="B22" s="2" t="s">
        <v>29</v>
      </c>
      <c r="C22" s="2" t="s">
        <v>28</v>
      </c>
      <c r="D22" s="2" t="s">
        <v>27</v>
      </c>
      <c r="E22" s="2" t="s">
        <v>27</v>
      </c>
      <c r="F22" s="2" t="s">
        <v>29</v>
      </c>
      <c r="G22" s="2" t="s">
        <v>28</v>
      </c>
      <c r="K22" t="s">
        <v>13</v>
      </c>
      <c r="L22" t="s">
        <v>55</v>
      </c>
      <c r="M22" t="s">
        <v>56</v>
      </c>
      <c r="N22" t="s">
        <v>57</v>
      </c>
      <c r="O22" t="s">
        <v>58</v>
      </c>
      <c r="P22" t="s">
        <v>59</v>
      </c>
      <c r="Q22" t="s">
        <v>60</v>
      </c>
      <c r="R22" t="s">
        <v>61</v>
      </c>
      <c r="S22" t="s">
        <v>62</v>
      </c>
      <c r="T22" t="s">
        <v>63</v>
      </c>
    </row>
    <row r="23" spans="1:20" x14ac:dyDescent="0.55000000000000004">
      <c r="A23" s="24" t="s">
        <v>17</v>
      </c>
      <c r="B23" s="26">
        <v>0</v>
      </c>
      <c r="C23" s="26">
        <v>0</v>
      </c>
      <c r="D23" s="26">
        <v>0</v>
      </c>
      <c r="E23" s="25">
        <v>0</v>
      </c>
      <c r="F23" s="25">
        <v>0</v>
      </c>
      <c r="G23" s="26">
        <v>0</v>
      </c>
      <c r="K23" t="s">
        <v>29</v>
      </c>
      <c r="L23">
        <f>SUMIF(B22:G22,K23,B23:G23)</f>
        <v>0</v>
      </c>
      <c r="M23">
        <f>SUMIF(B22:G22,K23,B24:G24)</f>
        <v>0</v>
      </c>
      <c r="N23">
        <f>SUMIF(B22:G22,K23,B25:G25)</f>
        <v>0</v>
      </c>
      <c r="O23">
        <f>SUMIF(B22:G22,K23,B26:G26)</f>
        <v>0</v>
      </c>
      <c r="P23">
        <f>SUMIF(B22:G22,K23,B27:G27)</f>
        <v>0</v>
      </c>
      <c r="Q23">
        <f>SUMIF(B22:G22,K23,B28:G28)</f>
        <v>0</v>
      </c>
      <c r="R23">
        <f>SUMIF(B22:G22,K23,B29:G29)</f>
        <v>0</v>
      </c>
      <c r="S23">
        <f>SUMIF(B22:G22,K23,B30:G30)</f>
        <v>0</v>
      </c>
      <c r="T23">
        <f>SUMIF(B22:G22,K23,B31:G31)</f>
        <v>0</v>
      </c>
    </row>
    <row r="24" spans="1:20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5">
        <v>0</v>
      </c>
      <c r="G24" s="26">
        <v>0</v>
      </c>
      <c r="K24" t="s">
        <v>28</v>
      </c>
      <c r="L24">
        <f>SUMIF(B22:G22,K24,B23:G23)</f>
        <v>0</v>
      </c>
      <c r="M24" cm="1">
        <f t="array" ref="M24">SUMIF(B22:G22,K24\,B24:G24)</f>
        <v>0</v>
      </c>
      <c r="N24">
        <f>SUMIF(B22:G22,K24,B25:G25)</f>
        <v>0</v>
      </c>
      <c r="O24">
        <f>SUMIF(B22:G22,K24,B26:G26)</f>
        <v>4</v>
      </c>
      <c r="P24">
        <f>SUMIF(B22:G22,K24,B27:G27)</f>
        <v>0</v>
      </c>
      <c r="Q24">
        <f>SUMIF(B22:G22,K24,B28:G28)</f>
        <v>0</v>
      </c>
      <c r="R24">
        <f>SUMIF(B22:G22,K24,B29:G29)</f>
        <v>2</v>
      </c>
      <c r="S24">
        <f>SUMIF(B22:G22,K24,B30:G30)</f>
        <v>0</v>
      </c>
      <c r="T24">
        <f>SUMIF(B22:G22,K24,B31:G31)</f>
        <v>0</v>
      </c>
    </row>
    <row r="25" spans="1:20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5">
        <v>0</v>
      </c>
      <c r="G25" s="26">
        <v>0</v>
      </c>
      <c r="K25" t="s">
        <v>27</v>
      </c>
      <c r="L25">
        <f>SUMIF(B22:G22,K25,B23:G23)</f>
        <v>0</v>
      </c>
      <c r="M25">
        <f ca="1">SUMIF(B22:G22,K25,B24:B24)</f>
        <v>0</v>
      </c>
      <c r="N25">
        <f>SUMIF(B22:G22,K25,B25:G25)</f>
        <v>0</v>
      </c>
      <c r="O25">
        <f>SUMIF(B22:G22,K25,B26:G26)</f>
        <v>0</v>
      </c>
      <c r="P25">
        <f>SUMIF(B22:G22,K25,B27:G27)</f>
        <v>0</v>
      </c>
      <c r="Q25">
        <f>SUMIF(B22:G22,K25,B28:G28)</f>
        <v>0</v>
      </c>
      <c r="R25">
        <f>SUMIF(B22:G22,K25,B29:G29)</f>
        <v>0</v>
      </c>
      <c r="S25">
        <f>SUMIF(B22:G22,K25,B30:G30)</f>
        <v>0</v>
      </c>
      <c r="T25">
        <f>SUMIF(B22:G22,K25,B31:G31)</f>
        <v>0</v>
      </c>
    </row>
    <row r="26" spans="1:20" x14ac:dyDescent="0.55000000000000004">
      <c r="A26" s="17" t="s">
        <v>20</v>
      </c>
      <c r="B26" s="22">
        <v>0</v>
      </c>
      <c r="C26" s="22">
        <v>4</v>
      </c>
      <c r="D26" s="22">
        <v>0</v>
      </c>
      <c r="E26" s="18">
        <v>0</v>
      </c>
      <c r="F26" s="18">
        <v>0</v>
      </c>
      <c r="G26" s="22">
        <v>0</v>
      </c>
    </row>
    <row r="27" spans="1:20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18">
        <v>0</v>
      </c>
      <c r="G27" s="22">
        <v>0</v>
      </c>
      <c r="K27" s="43" t="s">
        <v>79</v>
      </c>
    </row>
    <row r="28" spans="1:20" x14ac:dyDescent="0.55000000000000004">
      <c r="A28" s="17" t="s">
        <v>22</v>
      </c>
      <c r="B28" s="22">
        <v>0</v>
      </c>
      <c r="C28" s="22">
        <v>0</v>
      </c>
      <c r="D28" s="22">
        <v>0</v>
      </c>
      <c r="E28" s="18">
        <v>0</v>
      </c>
      <c r="F28" s="18">
        <v>0</v>
      </c>
      <c r="G28" s="22">
        <v>0</v>
      </c>
      <c r="K28" s="42"/>
      <c r="L28" s="42" t="s">
        <v>0</v>
      </c>
      <c r="M28" s="42" t="s">
        <v>53</v>
      </c>
      <c r="N28" s="42" t="s">
        <v>54</v>
      </c>
    </row>
    <row r="29" spans="1:20" x14ac:dyDescent="0.55000000000000004">
      <c r="A29" s="15" t="s">
        <v>24</v>
      </c>
      <c r="B29" s="23">
        <v>0</v>
      </c>
      <c r="C29" s="23">
        <v>0</v>
      </c>
      <c r="D29" s="23">
        <v>0</v>
      </c>
      <c r="E29" s="16">
        <v>0</v>
      </c>
      <c r="F29" s="16">
        <v>0</v>
      </c>
      <c r="G29" s="23">
        <v>2</v>
      </c>
      <c r="K29" s="1" t="s">
        <v>29</v>
      </c>
      <c r="L29" s="1">
        <f>(SUMIF(B22:G22,K29,B23:G23))+(SUMIF(B22:G22,K29,B26:G26))+(SUMIF(B22:G22,K29,B29:G29))</f>
        <v>0</v>
      </c>
      <c r="M29" s="1">
        <f>(SUMIF(B22:G22,K29,B24:G24))+(SUMIF(B22:G22,K29,B27:G27))+(SUMIF(B22:G22,K29,B30:G30))</f>
        <v>0</v>
      </c>
      <c r="N29" s="1">
        <f>(SUMIF(B22:G22,K29,B25:G25))+(SUMIF(B22:G22,K29,B28:G28))+(SUMIF(B22:G22,K29,B31:G31))</f>
        <v>0</v>
      </c>
    </row>
    <row r="30" spans="1:20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16">
        <v>0</v>
      </c>
      <c r="G30" s="23">
        <v>0</v>
      </c>
      <c r="K30" s="1" t="s">
        <v>28</v>
      </c>
      <c r="L30" s="1">
        <f>(SUMIF(B22:G22,K30,B23:G23))+(SUMIF(B22:G22,K30,B26:G26))+(SUMIF(B22:G22,K30,B29:G29))</f>
        <v>6</v>
      </c>
      <c r="M30" s="1">
        <f>(SUMIF(B22:G22,K30,B24:G24))+(SUMIF(B22:G22,K30,B27:G27))+(SUMIF(B22:G22,K30,B30:G30))</f>
        <v>0</v>
      </c>
      <c r="N30" s="1">
        <f>(SUMIF(B22:G22,K30,B25:G25))+(SUMIF(B22:G22,K30,B28:G28))+(SUMIF(B22:G22,K30,B31:G31))</f>
        <v>0</v>
      </c>
    </row>
    <row r="31" spans="1:20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16">
        <v>0</v>
      </c>
      <c r="G31" s="23">
        <v>0</v>
      </c>
      <c r="K31" s="1" t="s">
        <v>27</v>
      </c>
      <c r="L31" s="1">
        <f>(SUMIF(B22:G22,K31,B23:G23))+(SUMIF(B22:G22,K31,B26:G26))+(SUMIF(B22:G22,K31,B29:G29))</f>
        <v>0</v>
      </c>
      <c r="M31" s="1">
        <f>(SUMIF(B22:G22,K31,B24:G24))+(SUMIF(B22:G22,K31,B27:G27))+(SUMIF(B22:G22,K31,B30:G30))</f>
        <v>0</v>
      </c>
      <c r="N31" s="1">
        <f>(SUMIF(B22:G22,K31,B25:G25))+(SUMIF(B22:G22,K31,B28:G28))+(SUMIF(B22:G22,K31,B31:G31))</f>
        <v>0</v>
      </c>
    </row>
    <row r="32" spans="1:20" x14ac:dyDescent="0.55000000000000004">
      <c r="A32" s="24" t="s">
        <v>31</v>
      </c>
      <c r="B32" s="27">
        <f t="shared" ref="B32:D32" si="3">SUM(B23:B25)</f>
        <v>0</v>
      </c>
      <c r="C32" s="27">
        <f t="shared" si="3"/>
        <v>0</v>
      </c>
      <c r="D32" s="27">
        <f t="shared" si="3"/>
        <v>0</v>
      </c>
      <c r="E32" s="27">
        <f t="shared" ref="E32:G32" si="4">SUM(E23:E25)</f>
        <v>0</v>
      </c>
      <c r="F32" s="27">
        <f t="shared" si="4"/>
        <v>0</v>
      </c>
      <c r="G32" s="27">
        <f t="shared" si="4"/>
        <v>0</v>
      </c>
    </row>
    <row r="33" spans="1:20" x14ac:dyDescent="0.55000000000000004">
      <c r="A33" s="17" t="s">
        <v>32</v>
      </c>
      <c r="B33" s="20">
        <f t="shared" ref="B33:D33" si="5">SUM(B26:B28)</f>
        <v>0</v>
      </c>
      <c r="C33" s="20">
        <f t="shared" si="5"/>
        <v>4</v>
      </c>
      <c r="D33" s="20">
        <f t="shared" si="5"/>
        <v>0</v>
      </c>
      <c r="E33" s="20">
        <f t="shared" ref="E33:G33" si="6">SUM(E26:E28)</f>
        <v>0</v>
      </c>
      <c r="F33" s="20">
        <f t="shared" si="6"/>
        <v>0</v>
      </c>
      <c r="G33" s="20">
        <f t="shared" si="6"/>
        <v>0</v>
      </c>
    </row>
    <row r="34" spans="1:20" x14ac:dyDescent="0.55000000000000004">
      <c r="A34" s="15" t="s">
        <v>33</v>
      </c>
      <c r="B34" s="21">
        <f t="shared" ref="B34:D34" si="7">SUM(B29:B31)</f>
        <v>0</v>
      </c>
      <c r="C34" s="21">
        <f t="shared" si="7"/>
        <v>0</v>
      </c>
      <c r="D34" s="21">
        <f t="shared" si="7"/>
        <v>0</v>
      </c>
      <c r="E34" s="21">
        <f t="shared" ref="E34:G34" si="8">SUM(E29:E31)</f>
        <v>0</v>
      </c>
      <c r="F34" s="21">
        <f t="shared" si="8"/>
        <v>0</v>
      </c>
      <c r="G34" s="21">
        <f t="shared" si="8"/>
        <v>2</v>
      </c>
    </row>
    <row r="39" spans="1:20" x14ac:dyDescent="0.55000000000000004">
      <c r="A39" s="1" t="s">
        <v>23</v>
      </c>
      <c r="B39" s="2" t="s">
        <v>83</v>
      </c>
      <c r="C39" s="2" t="s">
        <v>82</v>
      </c>
      <c r="D39" s="2" t="s">
        <v>82</v>
      </c>
      <c r="E39" s="2" t="s">
        <v>84</v>
      </c>
      <c r="F39" s="2" t="s">
        <v>84</v>
      </c>
      <c r="G39" s="2" t="s">
        <v>84</v>
      </c>
    </row>
    <row r="40" spans="1:20" x14ac:dyDescent="0.55000000000000004">
      <c r="A40" s="1" t="s">
        <v>34</v>
      </c>
      <c r="B40" s="2" t="s">
        <v>28</v>
      </c>
      <c r="C40" s="2" t="s">
        <v>27</v>
      </c>
      <c r="D40" s="2" t="s">
        <v>29</v>
      </c>
      <c r="E40" s="2" t="s">
        <v>29</v>
      </c>
      <c r="F40" s="2" t="s">
        <v>28</v>
      </c>
      <c r="G40" s="2" t="s">
        <v>27</v>
      </c>
      <c r="K40" t="s">
        <v>13</v>
      </c>
      <c r="L40" t="s">
        <v>55</v>
      </c>
      <c r="M40" t="s">
        <v>56</v>
      </c>
      <c r="N40" t="s">
        <v>57</v>
      </c>
      <c r="O40" t="s">
        <v>58</v>
      </c>
      <c r="P40" t="s">
        <v>59</v>
      </c>
      <c r="Q40" t="s">
        <v>60</v>
      </c>
      <c r="R40" t="s">
        <v>61</v>
      </c>
      <c r="S40" t="s">
        <v>62</v>
      </c>
      <c r="T40" t="s">
        <v>63</v>
      </c>
    </row>
    <row r="41" spans="1:20" x14ac:dyDescent="0.55000000000000004">
      <c r="A41" s="24" t="s">
        <v>17</v>
      </c>
      <c r="B41" s="26">
        <v>0</v>
      </c>
      <c r="C41" s="26">
        <v>0</v>
      </c>
      <c r="D41" s="26">
        <v>0</v>
      </c>
      <c r="E41" s="25">
        <v>0</v>
      </c>
      <c r="F41" s="25">
        <v>0</v>
      </c>
      <c r="G41" s="26">
        <v>0</v>
      </c>
      <c r="K41" t="s">
        <v>28</v>
      </c>
      <c r="L41">
        <f>SUMIF(B40:G40,K41,B41:G41)</f>
        <v>0</v>
      </c>
      <c r="M41">
        <f>SUMIF(B40:G40,K41,B42:G42)</f>
        <v>0</v>
      </c>
      <c r="N41">
        <f>SUMIF(B40:G40,K41,B43:G43)</f>
        <v>0</v>
      </c>
      <c r="O41">
        <f>SUMIF(B40:G40,K41,B44:G44)</f>
        <v>2</v>
      </c>
      <c r="P41">
        <f>SUMIF(B40:G40,K41,B45:G45)</f>
        <v>1</v>
      </c>
      <c r="Q41">
        <f>SUMIF(B40:G40,K41,B46:G46)</f>
        <v>0</v>
      </c>
      <c r="R41">
        <f>SUMIF(B40:G40,K41,B47:G47)</f>
        <v>0</v>
      </c>
      <c r="S41">
        <f>SUMIF(B40:G40,K41,B48:G48)</f>
        <v>0</v>
      </c>
      <c r="T41">
        <f>SUMIF(B40:G40,K41,B49:G49)</f>
        <v>0</v>
      </c>
    </row>
    <row r="42" spans="1:20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5">
        <v>0</v>
      </c>
      <c r="G42" s="26">
        <v>0</v>
      </c>
      <c r="K42" t="s">
        <v>27</v>
      </c>
      <c r="L42">
        <f>SUMIF(B40:G40,K42,B41:G41)</f>
        <v>0</v>
      </c>
      <c r="M42">
        <f>SUMIF(B40:G40,K42,B42:G42)</f>
        <v>0</v>
      </c>
      <c r="N42">
        <f>SUMIF(B40:G40,K42,B43:G43)</f>
        <v>0</v>
      </c>
      <c r="O42">
        <f>SUMIF(B40:G40,K42,B44:G44)</f>
        <v>0</v>
      </c>
      <c r="P42">
        <f>SUMIF(B40:G40,K42,B45:G45)</f>
        <v>0</v>
      </c>
      <c r="Q42">
        <f>SUMIF(B40:G40,K42,B46:G46)</f>
        <v>0</v>
      </c>
      <c r="R42">
        <f>SUMIF(B40:G40,K42,B47:G47)</f>
        <v>0</v>
      </c>
      <c r="S42">
        <f>SUMIF(B40:G40,K42,B48:G48)</f>
        <v>0</v>
      </c>
      <c r="T42">
        <f>SUMIF(B40:G40,K42,B49:G49)</f>
        <v>0</v>
      </c>
    </row>
    <row r="43" spans="1:20" x14ac:dyDescent="0.55000000000000004">
      <c r="A43" s="24" t="s">
        <v>19</v>
      </c>
      <c r="B43" s="26">
        <v>0</v>
      </c>
      <c r="C43" s="26">
        <v>0</v>
      </c>
      <c r="D43" s="26">
        <v>0</v>
      </c>
      <c r="E43" s="25">
        <v>0</v>
      </c>
      <c r="F43" s="25">
        <v>0</v>
      </c>
      <c r="G43" s="26">
        <v>0</v>
      </c>
      <c r="K43" t="s">
        <v>29</v>
      </c>
      <c r="L43">
        <f>SUMIF(B40:G40,K43,B41:G41)</f>
        <v>0</v>
      </c>
      <c r="M43">
        <f ca="1">SUMIF(B40:G40,K43,B42:B42)</f>
        <v>0</v>
      </c>
      <c r="N43">
        <f>SUMIF(B40:G40,K43,B43:G43)</f>
        <v>0</v>
      </c>
      <c r="O43">
        <f>SUMIF(B40:G40,K43,B44:G44)</f>
        <v>0</v>
      </c>
      <c r="P43">
        <f>SUMIF(B40:G40,K43,B45:G45)</f>
        <v>0</v>
      </c>
      <c r="Q43">
        <f>SUMIF(B40:G40,K43,B46:G46)</f>
        <v>0</v>
      </c>
      <c r="R43">
        <f>SUMIF(B40:G40,K43,B47:G47)</f>
        <v>0</v>
      </c>
      <c r="S43">
        <f>SUMIF(B40:G40,K43,B48:G48)</f>
        <v>0</v>
      </c>
      <c r="T43">
        <f>SUMIF(B40:G40,K43,B49:G49)</f>
        <v>0</v>
      </c>
    </row>
    <row r="44" spans="1:20" x14ac:dyDescent="0.55000000000000004">
      <c r="A44" s="17" t="s">
        <v>20</v>
      </c>
      <c r="B44" s="22">
        <v>0</v>
      </c>
      <c r="C44" s="22">
        <v>0</v>
      </c>
      <c r="D44" s="22">
        <v>0</v>
      </c>
      <c r="E44" s="18">
        <v>0</v>
      </c>
      <c r="F44" s="18">
        <v>2</v>
      </c>
      <c r="G44" s="22">
        <v>0</v>
      </c>
    </row>
    <row r="45" spans="1:20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18">
        <v>1</v>
      </c>
      <c r="G45" s="22">
        <v>0</v>
      </c>
      <c r="K45" s="43" t="s">
        <v>85</v>
      </c>
    </row>
    <row r="46" spans="1:20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18">
        <v>0</v>
      </c>
      <c r="G46" s="22">
        <v>0</v>
      </c>
      <c r="K46" s="42"/>
      <c r="L46" s="42" t="s">
        <v>0</v>
      </c>
      <c r="M46" s="42" t="s">
        <v>53</v>
      </c>
      <c r="N46" s="42" t="s">
        <v>54</v>
      </c>
    </row>
    <row r="47" spans="1:20" x14ac:dyDescent="0.55000000000000004">
      <c r="A47" s="15" t="s">
        <v>24</v>
      </c>
      <c r="B47" s="23">
        <v>0</v>
      </c>
      <c r="C47" s="23">
        <v>0</v>
      </c>
      <c r="D47" s="23">
        <v>0</v>
      </c>
      <c r="E47" s="16">
        <v>0</v>
      </c>
      <c r="F47" s="16">
        <v>0</v>
      </c>
      <c r="G47" s="23">
        <v>0</v>
      </c>
      <c r="K47" s="1" t="s">
        <v>29</v>
      </c>
      <c r="L47" s="1">
        <f>(SUMIF(B40:G40,K47,B41:G41))+(SUMIF(B40:G40,K47,B44:G44))+(SUMIF(B40:G40,K47,B47:G47))</f>
        <v>0</v>
      </c>
      <c r="M47" s="1">
        <f>(SUMIF(B40:G40,K47,B42:G42))+(SUMIF(B40:G40,K47,B45:G45))+(SUMIF(B40:G40,K47,B48:G48))</f>
        <v>0</v>
      </c>
      <c r="N47" s="1">
        <f>(SUMIF(B40:G40,K47,B43:G43))+(SUMIF(B40:G40,K47,B46:G46))+(SUMIF(B40:G40,K47,B49:G49))</f>
        <v>0</v>
      </c>
    </row>
    <row r="48" spans="1:20" x14ac:dyDescent="0.55000000000000004">
      <c r="A48" s="15" t="s">
        <v>25</v>
      </c>
      <c r="B48" s="23">
        <v>0</v>
      </c>
      <c r="C48" s="23">
        <v>0</v>
      </c>
      <c r="D48" s="23">
        <v>0</v>
      </c>
      <c r="E48" s="16">
        <v>0</v>
      </c>
      <c r="F48" s="16">
        <v>0</v>
      </c>
      <c r="G48" s="23">
        <v>0</v>
      </c>
      <c r="K48" s="1" t="s">
        <v>28</v>
      </c>
      <c r="L48" s="1">
        <f>(SUMIF(B40:G40,K48,B41:G41))+(SUMIF(B40:G40,K48,B44:G44))+(SUMIF(B40:G40,K48,B47:G47))</f>
        <v>2</v>
      </c>
      <c r="M48" s="1">
        <f>(SUMIF(B40:G40,K48,B42:G42))+(SUMIF(B40:G40,K48,B45:G45))+(SUMIF(B40:G40,K48,B48:G48))</f>
        <v>1</v>
      </c>
      <c r="N48" s="1">
        <f>(SUMIF(B40:G40,K48,B43:G43))+(SUMIF(B40:G40,K48,B46:G46))+(SUMIF(B40:G40,K48,B49:G49))</f>
        <v>0</v>
      </c>
    </row>
    <row r="49" spans="1:20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16">
        <v>0</v>
      </c>
      <c r="G49" s="23">
        <v>0</v>
      </c>
      <c r="K49" s="1" t="s">
        <v>27</v>
      </c>
      <c r="L49" s="1">
        <f>(SUMIF(B40:G40,K49,B41:G41))+(SUMIF(B40:G40,K49,B44:G44))+(SUMIF(B40:G40,K49,B47:G47))</f>
        <v>0</v>
      </c>
      <c r="M49" s="1">
        <f>(SUMIF(B40:G40,K49,B42:G42))+(SUMIF(B40:G40,K49,B45:G45))+(SUMIF(B40:G40,K49,B48:G48))</f>
        <v>0</v>
      </c>
      <c r="N49" s="1">
        <f>(SUMIF(B40:G40,K49,B43:G43))+(SUMIF(B40:G40,K49,B46:G46))+(SUMIF(B40:G40,K49,B49:G49))</f>
        <v>0</v>
      </c>
    </row>
    <row r="50" spans="1:20" x14ac:dyDescent="0.55000000000000004">
      <c r="A50" s="24" t="s">
        <v>31</v>
      </c>
      <c r="B50" s="27">
        <f t="shared" ref="B50:G50" si="9">SUM(B41:B43)</f>
        <v>0</v>
      </c>
      <c r="C50" s="27">
        <f t="shared" si="9"/>
        <v>0</v>
      </c>
      <c r="D50" s="27">
        <f t="shared" si="9"/>
        <v>0</v>
      </c>
      <c r="E50" s="27">
        <f t="shared" si="9"/>
        <v>0</v>
      </c>
      <c r="F50" s="27">
        <f t="shared" si="9"/>
        <v>0</v>
      </c>
      <c r="G50" s="27">
        <f t="shared" si="9"/>
        <v>0</v>
      </c>
    </row>
    <row r="51" spans="1:20" x14ac:dyDescent="0.55000000000000004">
      <c r="A51" s="17" t="s">
        <v>32</v>
      </c>
      <c r="B51" s="20">
        <f t="shared" ref="B51:G51" si="10">SUM(B44:B46)</f>
        <v>0</v>
      </c>
      <c r="C51" s="20">
        <f t="shared" si="10"/>
        <v>0</v>
      </c>
      <c r="D51" s="20">
        <f t="shared" si="10"/>
        <v>0</v>
      </c>
      <c r="E51" s="20">
        <f t="shared" si="10"/>
        <v>0</v>
      </c>
      <c r="F51" s="20">
        <f t="shared" si="10"/>
        <v>3</v>
      </c>
      <c r="G51" s="20">
        <f t="shared" si="10"/>
        <v>0</v>
      </c>
    </row>
    <row r="52" spans="1:20" x14ac:dyDescent="0.55000000000000004">
      <c r="A52" s="15" t="s">
        <v>33</v>
      </c>
      <c r="B52" s="21">
        <f t="shared" ref="B52:G52" si="11">SUM(B47:B49)</f>
        <v>0</v>
      </c>
      <c r="C52" s="21">
        <f t="shared" si="11"/>
        <v>0</v>
      </c>
      <c r="D52" s="21">
        <f t="shared" si="11"/>
        <v>0</v>
      </c>
      <c r="E52" s="21">
        <f t="shared" si="11"/>
        <v>0</v>
      </c>
      <c r="F52" s="21">
        <f t="shared" si="11"/>
        <v>0</v>
      </c>
      <c r="G52" s="21">
        <f t="shared" si="11"/>
        <v>0</v>
      </c>
    </row>
    <row r="57" spans="1:20" x14ac:dyDescent="0.55000000000000004">
      <c r="A57" s="1" t="s">
        <v>23</v>
      </c>
      <c r="B57" s="2" t="s">
        <v>87</v>
      </c>
      <c r="C57" s="2" t="s">
        <v>87</v>
      </c>
      <c r="D57" s="2" t="s">
        <v>87</v>
      </c>
      <c r="E57" s="2" t="s">
        <v>88</v>
      </c>
      <c r="F57" s="2" t="s">
        <v>88</v>
      </c>
      <c r="G57" s="2" t="s">
        <v>88</v>
      </c>
    </row>
    <row r="58" spans="1:20" x14ac:dyDescent="0.55000000000000004">
      <c r="A58" s="1" t="s">
        <v>34</v>
      </c>
      <c r="B58" s="2" t="s">
        <v>36</v>
      </c>
      <c r="C58" s="2" t="s">
        <v>40</v>
      </c>
      <c r="D58" s="2" t="s">
        <v>27</v>
      </c>
      <c r="E58" s="2" t="s">
        <v>29</v>
      </c>
      <c r="F58" s="2" t="s">
        <v>36</v>
      </c>
      <c r="G58" s="2" t="s">
        <v>40</v>
      </c>
      <c r="K58" t="s">
        <v>13</v>
      </c>
      <c r="L58" t="s">
        <v>55</v>
      </c>
      <c r="M58" t="s">
        <v>56</v>
      </c>
      <c r="N58" t="s">
        <v>57</v>
      </c>
      <c r="O58" t="s">
        <v>58</v>
      </c>
      <c r="P58" t="s">
        <v>59</v>
      </c>
      <c r="Q58" t="s">
        <v>60</v>
      </c>
      <c r="R58" t="s">
        <v>61</v>
      </c>
      <c r="S58" t="s">
        <v>62</v>
      </c>
      <c r="T58" t="s">
        <v>63</v>
      </c>
    </row>
    <row r="59" spans="1:20" x14ac:dyDescent="0.55000000000000004">
      <c r="A59" s="24" t="s">
        <v>17</v>
      </c>
      <c r="B59" s="26">
        <v>2</v>
      </c>
      <c r="C59" s="26">
        <v>0</v>
      </c>
      <c r="D59" s="26">
        <v>0</v>
      </c>
      <c r="E59" s="25">
        <v>0</v>
      </c>
      <c r="F59" s="25">
        <v>0</v>
      </c>
      <c r="G59" s="26">
        <v>0</v>
      </c>
      <c r="K59" t="s">
        <v>36</v>
      </c>
      <c r="L59">
        <f>SUMIF(B58:G58,K59,B59:G59)</f>
        <v>2</v>
      </c>
      <c r="M59">
        <f>SUMIF(B58:G58,K59,B60:G60)</f>
        <v>0</v>
      </c>
      <c r="N59">
        <f>SUMIF(B58:G58,K59,B61:G61)</f>
        <v>2</v>
      </c>
      <c r="O59">
        <f>SUMIF(B58:G58,K59,B62:G62)</f>
        <v>3</v>
      </c>
      <c r="P59">
        <f>SUMIF(B58:G58,K59,B63:G63)</f>
        <v>0</v>
      </c>
      <c r="Q59">
        <f>SUMIF(B58:G58,K59,B64:G64)</f>
        <v>0</v>
      </c>
      <c r="R59">
        <f>SUMIF(B58:G58,K59,B65:G65)</f>
        <v>0</v>
      </c>
      <c r="S59">
        <f>SUMIF(B58:G58,K59,B66:G66)</f>
        <v>0</v>
      </c>
      <c r="T59">
        <f>SUMIF(B58:G58,K59,B67:G67)</f>
        <v>0</v>
      </c>
    </row>
    <row r="60" spans="1:20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>
        <v>0</v>
      </c>
      <c r="F60" s="25">
        <v>0</v>
      </c>
      <c r="G60" s="26">
        <v>0</v>
      </c>
      <c r="K60" t="s">
        <v>40</v>
      </c>
      <c r="L60">
        <f>SUMIF(B58:G58,K60,B59:G59)</f>
        <v>0</v>
      </c>
      <c r="M60">
        <f>SUMIF(B58:G58,K60,B60:G60)</f>
        <v>0</v>
      </c>
      <c r="N60">
        <f>SUMIF(B58:G58,K60,B61:G61)</f>
        <v>0</v>
      </c>
      <c r="O60">
        <f>SUMIF(B58:G58,K60,B62:G62)</f>
        <v>0</v>
      </c>
      <c r="P60">
        <f>SUMIF(B58:G58,K60,B63:G63)</f>
        <v>0</v>
      </c>
      <c r="Q60">
        <f>SUMIF(B58:G58,K60,B64:G64)</f>
        <v>0</v>
      </c>
      <c r="R60">
        <f>SUMIF(B58:G58,K60,B65:G65)</f>
        <v>3</v>
      </c>
      <c r="S60">
        <f>SUMIF(B58:G58,K60,B66:G66)</f>
        <v>0</v>
      </c>
      <c r="T60">
        <f>SUMIF(B58:G58,K60,B67:G67)</f>
        <v>0</v>
      </c>
    </row>
    <row r="61" spans="1:20" x14ac:dyDescent="0.55000000000000004">
      <c r="A61" s="24" t="s">
        <v>19</v>
      </c>
      <c r="B61" s="26">
        <v>2</v>
      </c>
      <c r="C61" s="26">
        <v>0</v>
      </c>
      <c r="D61" s="26">
        <v>0</v>
      </c>
      <c r="E61" s="25">
        <v>0</v>
      </c>
      <c r="F61" s="25">
        <v>0</v>
      </c>
      <c r="G61" s="26">
        <v>0</v>
      </c>
      <c r="K61" t="s">
        <v>27</v>
      </c>
      <c r="L61">
        <f>SUMIF(B58:G58,K61,B59:G59)</f>
        <v>0</v>
      </c>
      <c r="M61">
        <f ca="1">SUMIF(B58:G58,K61,B60:B60)</f>
        <v>0</v>
      </c>
      <c r="N61">
        <f>SUMIF(B58:G58,K61,B61:G61)</f>
        <v>0</v>
      </c>
      <c r="O61">
        <f>SUMIF(B58:G58,K61,B62:G62)</f>
        <v>0</v>
      </c>
      <c r="P61">
        <f>SUMIF(B58:G58,K61,B63:G63)</f>
        <v>0</v>
      </c>
      <c r="Q61">
        <f>SUMIF(B58:G58,K61,B64:G64)</f>
        <v>0</v>
      </c>
      <c r="R61">
        <f>SUMIF(B58:G58,K61,B65:G65)</f>
        <v>1</v>
      </c>
      <c r="S61">
        <f>SUMIF(B58:G58,K61,B66:G66)</f>
        <v>0</v>
      </c>
      <c r="T61">
        <f>SUMIF(B58:G58,K61,B67:G67)</f>
        <v>0</v>
      </c>
    </row>
    <row r="62" spans="1:20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>
        <v>0</v>
      </c>
      <c r="F62" s="18">
        <v>3</v>
      </c>
      <c r="G62" s="22">
        <v>0</v>
      </c>
      <c r="K62" t="s">
        <v>29</v>
      </c>
      <c r="L62">
        <f>SUMIF(B58:G58,K62,B59:G59)</f>
        <v>0</v>
      </c>
      <c r="M62">
        <f>SUMIF(B58:G58,K62,B60:G60)</f>
        <v>0</v>
      </c>
      <c r="N62">
        <f>SUMIF(B58:G58,K62,B61:G61)</f>
        <v>0</v>
      </c>
      <c r="O62">
        <f>SUMIF(B58:G58,K62,B62:G62)</f>
        <v>0</v>
      </c>
      <c r="P62">
        <f>SUMIF(B58:G58,K62,B63:G63)</f>
        <v>0</v>
      </c>
      <c r="Q62">
        <f>SUMIF(B58:G58,K62,B64:G64)</f>
        <v>0</v>
      </c>
      <c r="R62">
        <f>SUMIF(B58:G58,K62,B65:G65)</f>
        <v>0</v>
      </c>
      <c r="S62">
        <f>SUMIF(B58:G58,K62,B66:G66)</f>
        <v>0</v>
      </c>
      <c r="T62">
        <f>SUMIF(B58:G58,K62,B67:G67)</f>
        <v>0</v>
      </c>
    </row>
    <row r="63" spans="1:20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>
        <v>0</v>
      </c>
      <c r="F63" s="18">
        <v>0</v>
      </c>
      <c r="G63" s="22">
        <v>0</v>
      </c>
      <c r="K63" s="43"/>
    </row>
    <row r="64" spans="1:20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>
        <v>0</v>
      </c>
      <c r="F64" s="18">
        <v>0</v>
      </c>
      <c r="G64" s="22">
        <v>0</v>
      </c>
    </row>
    <row r="65" spans="1:14" x14ac:dyDescent="0.55000000000000004">
      <c r="A65" s="15" t="s">
        <v>24</v>
      </c>
      <c r="B65" s="23">
        <v>0</v>
      </c>
      <c r="C65" s="23">
        <v>0</v>
      </c>
      <c r="D65" s="23">
        <v>1</v>
      </c>
      <c r="E65" s="16">
        <v>0</v>
      </c>
      <c r="F65" s="16">
        <v>0</v>
      </c>
      <c r="G65" s="23">
        <v>3</v>
      </c>
      <c r="K65" s="43" t="s">
        <v>89</v>
      </c>
    </row>
    <row r="66" spans="1:14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>
        <v>0</v>
      </c>
      <c r="F66" s="16">
        <v>0</v>
      </c>
      <c r="G66" s="23">
        <v>0</v>
      </c>
      <c r="K66" s="42"/>
      <c r="L66" s="42" t="s">
        <v>0</v>
      </c>
      <c r="M66" s="42" t="s">
        <v>53</v>
      </c>
      <c r="N66" s="42" t="s">
        <v>54</v>
      </c>
    </row>
    <row r="67" spans="1:14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>
        <v>0</v>
      </c>
      <c r="F67" s="16">
        <v>0</v>
      </c>
      <c r="G67" s="23">
        <v>0</v>
      </c>
      <c r="K67" s="1" t="s">
        <v>36</v>
      </c>
      <c r="L67" s="1">
        <f>(SUMIF(B58:G58,K67,B59:G59))+(SUMIF(B58:G58,K67,B62:G62))+(SUMIF(B58:G58,K67,B65:G65))</f>
        <v>5</v>
      </c>
      <c r="M67" s="1">
        <f>(SUMIF(B59:G59,K67,B60:G60))+(SUMIF(B59:G59,K67,B63:G63))+(SUMIF(B59:G59,K67,B66:G66))</f>
        <v>0</v>
      </c>
      <c r="N67" s="1">
        <f>(SUMIF(B58:G58,K67,B61:G61))+(SUMIF(B58:G58,K67,B64:G64))+(SUMIF(B58:G58,K67,B67:G67))</f>
        <v>2</v>
      </c>
    </row>
    <row r="68" spans="1:14" x14ac:dyDescent="0.55000000000000004">
      <c r="A68" s="24" t="s">
        <v>31</v>
      </c>
      <c r="B68" s="27">
        <f t="shared" ref="B68:G68" si="12">SUM(B59:B61)</f>
        <v>4</v>
      </c>
      <c r="C68" s="27">
        <f t="shared" si="12"/>
        <v>0</v>
      </c>
      <c r="D68" s="27">
        <f t="shared" si="12"/>
        <v>0</v>
      </c>
      <c r="E68" s="27">
        <f t="shared" si="12"/>
        <v>0</v>
      </c>
      <c r="F68" s="27">
        <f t="shared" si="12"/>
        <v>0</v>
      </c>
      <c r="G68" s="27">
        <f t="shared" si="12"/>
        <v>0</v>
      </c>
      <c r="K68" s="1" t="s">
        <v>40</v>
      </c>
      <c r="L68" s="1">
        <f>(SUMIF(B58:G58,K68,B59:G59))+(SUMIF(B58:G58,K68,B62:G62))+(SUMIF(B58:G58,K68,B65:G65))</f>
        <v>3</v>
      </c>
      <c r="M68" s="1">
        <f>(SUMIF(B58:G58,K68,B60:G60))+(SUMIF(B58:G58,K68,B63:G63))+(SUMIF(B58:G58,K68,B66:G66))</f>
        <v>0</v>
      </c>
      <c r="N68" s="1">
        <f>(SUMIF(B58:G58,K68,B61:G61))+(SUMIF(B58:G58,K68,B64:G64))+(SUMIF(B58:G58,K68,B67:G67))</f>
        <v>0</v>
      </c>
    </row>
    <row r="69" spans="1:14" x14ac:dyDescent="0.55000000000000004">
      <c r="A69" s="17" t="s">
        <v>32</v>
      </c>
      <c r="B69" s="20">
        <f t="shared" ref="B69:G69" si="13">SUM(B62:B64)</f>
        <v>0</v>
      </c>
      <c r="C69" s="20">
        <f t="shared" si="13"/>
        <v>0</v>
      </c>
      <c r="D69" s="20">
        <f t="shared" si="13"/>
        <v>0</v>
      </c>
      <c r="E69" s="20">
        <f t="shared" si="13"/>
        <v>0</v>
      </c>
      <c r="F69" s="20">
        <f t="shared" si="13"/>
        <v>3</v>
      </c>
      <c r="G69" s="20">
        <f t="shared" si="13"/>
        <v>0</v>
      </c>
      <c r="K69" s="1" t="s">
        <v>27</v>
      </c>
      <c r="L69" s="1">
        <f>(SUMIF(B58:G58,K69,B59:G59))+(SUMIF(B58:G58,K69,B62:G62))+(SUMIF(B58:G58,K69,B65:G65))</f>
        <v>1</v>
      </c>
      <c r="M69" s="1">
        <f>(SUMIF(B58:G58,K69,B60:G60))+(SUMIF(B58:G58,K69,B63:G63))+(SUMIF(B58:G58,K69,B66:G66))</f>
        <v>0</v>
      </c>
      <c r="N69" s="1">
        <f>(SUMIF(B58:G58,K69,B61:G61))+(SUMIF(B58:G58,K69,B64:G64))+(SUMIF(B58:G58,K69,B67:G67))</f>
        <v>0</v>
      </c>
    </row>
    <row r="70" spans="1:14" x14ac:dyDescent="0.55000000000000004">
      <c r="A70" s="15" t="s">
        <v>33</v>
      </c>
      <c r="B70" s="21">
        <f t="shared" ref="B70:G70" si="14">SUM(B65:B67)</f>
        <v>0</v>
      </c>
      <c r="C70" s="21">
        <f t="shared" si="14"/>
        <v>0</v>
      </c>
      <c r="D70" s="21">
        <f t="shared" si="14"/>
        <v>1</v>
      </c>
      <c r="E70" s="21">
        <f t="shared" si="14"/>
        <v>0</v>
      </c>
      <c r="F70" s="21">
        <f t="shared" si="14"/>
        <v>0</v>
      </c>
      <c r="G70" s="21">
        <f t="shared" si="14"/>
        <v>3</v>
      </c>
      <c r="K70" s="1" t="s">
        <v>29</v>
      </c>
      <c r="L70" s="1">
        <f>(SUMIF(B58:G58,K70,B59:G59))+(SUMIF(B58:G58,K70,B62:G62))+(SUMIF(B58:G58,K70,B65:G65))</f>
        <v>0</v>
      </c>
      <c r="M70" s="1">
        <f>(SUMIF(B58:G58,K70,B60:G60))+(SUMIF(B58:G58,K70,B63:G63))+(SUMIF(B58:G58,K70,B66:G66))</f>
        <v>0</v>
      </c>
      <c r="N70" s="1">
        <f>(SUMIF(B58:G58,K70,B61:G61))+(SUMIF(B58:G58,K70,B64:G64))+(SUMIF(B58:G58,K70,B67:G67))</f>
        <v>0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901F-DB15-41F5-B606-09C2B39A77AA}">
  <sheetPr codeName="Sheet14"/>
  <dimension ref="A1:U70"/>
  <sheetViews>
    <sheetView topLeftCell="B55" workbookViewId="0">
      <selection activeCell="F74" sqref="F7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33203125" customWidth="1"/>
    <col min="9" max="9" width="12" customWidth="1"/>
    <col min="12" max="12" width="18.4140625" customWidth="1"/>
    <col min="13" max="13" width="17.5" customWidth="1"/>
    <col min="14" max="14" width="26.08203125" bestFit="1" customWidth="1"/>
    <col min="15" max="15" width="19.5" customWidth="1"/>
    <col min="16" max="16" width="14.83203125" customWidth="1"/>
    <col min="17" max="17" width="26.08203125" bestFit="1" customWidth="1"/>
    <col min="18" max="18" width="18.25" bestFit="1" customWidth="1"/>
    <col min="19" max="19" width="18.1640625" bestFit="1" customWidth="1"/>
    <col min="20" max="21" width="26.08203125" bestFit="1" customWidth="1"/>
    <col min="22" max="22" width="12.25" bestFit="1" customWidth="1"/>
  </cols>
  <sheetData>
    <row r="1" spans="1:20" x14ac:dyDescent="0.55000000000000004">
      <c r="A1" s="12" t="s">
        <v>168</v>
      </c>
      <c r="B1" s="8"/>
      <c r="C1" s="5"/>
      <c r="D1" s="5"/>
      <c r="E1" s="5"/>
      <c r="F1" s="5"/>
      <c r="G1" s="5"/>
    </row>
    <row r="2" spans="1:20" x14ac:dyDescent="0.55000000000000004">
      <c r="A2" s="5"/>
      <c r="B2" s="8"/>
      <c r="C2" s="5"/>
      <c r="D2" s="5"/>
      <c r="E2" s="5"/>
      <c r="F2" s="5"/>
      <c r="G2" s="5"/>
    </row>
    <row r="3" spans="1:20" x14ac:dyDescent="0.55000000000000004">
      <c r="A3" s="1" t="s">
        <v>23</v>
      </c>
      <c r="B3" s="50" t="s">
        <v>158</v>
      </c>
      <c r="C3" s="50" t="s">
        <v>158</v>
      </c>
      <c r="D3" s="50" t="s">
        <v>158</v>
      </c>
      <c r="E3" s="50" t="s">
        <v>158</v>
      </c>
      <c r="F3" s="50" t="s">
        <v>158</v>
      </c>
      <c r="G3" s="50" t="s">
        <v>158</v>
      </c>
      <c r="H3" s="54"/>
    </row>
    <row r="4" spans="1:20" x14ac:dyDescent="0.55000000000000004">
      <c r="A4" s="1" t="s">
        <v>34</v>
      </c>
      <c r="B4" s="2" t="s">
        <v>36</v>
      </c>
      <c r="C4" s="2" t="s">
        <v>28</v>
      </c>
      <c r="D4" s="2" t="s">
        <v>29</v>
      </c>
      <c r="E4" s="2" t="s">
        <v>29</v>
      </c>
      <c r="F4" s="2" t="s">
        <v>159</v>
      </c>
      <c r="G4" s="2" t="s">
        <v>28</v>
      </c>
      <c r="K4" t="s">
        <v>13</v>
      </c>
      <c r="L4" t="s">
        <v>55</v>
      </c>
      <c r="M4" t="s">
        <v>56</v>
      </c>
      <c r="N4" t="s">
        <v>57</v>
      </c>
      <c r="O4" t="s">
        <v>58</v>
      </c>
      <c r="P4" t="s">
        <v>59</v>
      </c>
      <c r="Q4" t="s">
        <v>60</v>
      </c>
      <c r="R4" t="s">
        <v>61</v>
      </c>
      <c r="S4" t="s">
        <v>62</v>
      </c>
      <c r="T4" t="s">
        <v>63</v>
      </c>
    </row>
    <row r="5" spans="1:20" x14ac:dyDescent="0.55000000000000004">
      <c r="A5" s="24" t="s">
        <v>17</v>
      </c>
      <c r="B5" s="25">
        <v>0</v>
      </c>
      <c r="C5" s="25">
        <v>0</v>
      </c>
      <c r="D5" s="25">
        <v>0</v>
      </c>
      <c r="E5" s="25">
        <v>1</v>
      </c>
      <c r="F5" s="26">
        <v>0</v>
      </c>
      <c r="G5" s="26">
        <v>0</v>
      </c>
      <c r="K5" t="s">
        <v>29</v>
      </c>
      <c r="L5">
        <f>SUMIF(B4:G4,K5,B5:G5)</f>
        <v>1</v>
      </c>
      <c r="M5">
        <f>SUMIF(B4:G4,K5,B6:G6)</f>
        <v>0</v>
      </c>
      <c r="N5">
        <f>SUMIF(B4:G4,K5,B7:G7)</f>
        <v>0</v>
      </c>
      <c r="O5">
        <f>SUMIF(B4:G4,K5,B8:G8)</f>
        <v>0</v>
      </c>
      <c r="P5">
        <f>SUMIF(B4:G4,K5,B9:G9)</f>
        <v>0</v>
      </c>
      <c r="Q5">
        <f>SUMIF(B4:G4,K5,B10:G10)</f>
        <v>0</v>
      </c>
      <c r="R5">
        <f>SUMIF(B4:G4,K5,B11:G11)</f>
        <v>0</v>
      </c>
      <c r="S5">
        <f>SUMIF(B4:G4,K5,B12:G12)</f>
        <v>0</v>
      </c>
      <c r="T5">
        <f>SUMIF(B4:G4,K5,B13:G13)</f>
        <v>0</v>
      </c>
    </row>
    <row r="6" spans="1:20" x14ac:dyDescent="0.55000000000000004">
      <c r="A6" s="24" t="s">
        <v>18</v>
      </c>
      <c r="B6" s="25">
        <v>0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K6" t="s">
        <v>28</v>
      </c>
      <c r="L6">
        <f>SUMIF(B4:G4,K6,B5:G5)</f>
        <v>0</v>
      </c>
      <c r="M6">
        <f>SUMIF(B4:G4,K6,B6:G6)</f>
        <v>0</v>
      </c>
      <c r="N6">
        <f>SUMIF(B4:G4,K6,B7:G7)</f>
        <v>0</v>
      </c>
      <c r="O6">
        <f>SUMIF(B4:G4,K6,B8:G8)</f>
        <v>0</v>
      </c>
      <c r="P6">
        <f>SUMIF(B4:G4,K6,B9:G9)</f>
        <v>0</v>
      </c>
      <c r="Q6">
        <f>SUMIF(B4:G4,K6,B10:G10)</f>
        <v>0</v>
      </c>
      <c r="R6">
        <f>SUMIF(B4:G4,K6,B11:G11)</f>
        <v>0</v>
      </c>
      <c r="S6">
        <f>SUMIF(B4:G4,K6,B12:G12)</f>
        <v>0</v>
      </c>
      <c r="T6">
        <f>SUMIF(B4:G4,K6,B13:G13)</f>
        <v>2</v>
      </c>
    </row>
    <row r="7" spans="1:20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K7" t="s">
        <v>36</v>
      </c>
      <c r="L7">
        <f>SUMIF(B4:G4,K7,B5:G5)</f>
        <v>0</v>
      </c>
      <c r="M7">
        <f ca="1">SUMIF(B4:G4,K7,B6:B6)</f>
        <v>0</v>
      </c>
      <c r="N7">
        <f>SUMIF(B4:G4,K7,B7:G7)</f>
        <v>0</v>
      </c>
      <c r="O7">
        <f>SUMIF(B4:G4,K7,B8:G8)</f>
        <v>2</v>
      </c>
      <c r="P7">
        <f>SUMIF(B4:G4,K7,B9:G9)</f>
        <v>0</v>
      </c>
      <c r="Q7">
        <f>SUMIF(B4:G4,K7,B10:G10)</f>
        <v>0</v>
      </c>
      <c r="R7">
        <f>SUMIF(B4:G4,K7,B11:G11)</f>
        <v>0</v>
      </c>
      <c r="S7">
        <f>SUMIF(B4:G4,K7,B12:G12)</f>
        <v>0</v>
      </c>
      <c r="T7">
        <f>SUMIF(B4:G4,K7,B13:G13)</f>
        <v>0</v>
      </c>
    </row>
    <row r="8" spans="1:20" x14ac:dyDescent="0.55000000000000004">
      <c r="A8" s="17" t="s">
        <v>20</v>
      </c>
      <c r="B8" s="18">
        <v>0</v>
      </c>
      <c r="C8" s="18">
        <v>0</v>
      </c>
      <c r="D8" s="18">
        <v>0</v>
      </c>
      <c r="E8" s="18">
        <v>0</v>
      </c>
      <c r="F8" s="22">
        <v>2</v>
      </c>
      <c r="G8" s="22">
        <v>0</v>
      </c>
    </row>
    <row r="9" spans="1:20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K9" s="43" t="s">
        <v>47</v>
      </c>
    </row>
    <row r="10" spans="1:20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K10" s="42"/>
      <c r="L10" s="42" t="s">
        <v>0</v>
      </c>
      <c r="M10" s="42" t="s">
        <v>53</v>
      </c>
      <c r="N10" s="42" t="s">
        <v>54</v>
      </c>
    </row>
    <row r="11" spans="1:20" x14ac:dyDescent="0.55000000000000004">
      <c r="A11" s="15" t="s">
        <v>24</v>
      </c>
      <c r="B11" s="16">
        <v>0</v>
      </c>
      <c r="C11" s="16">
        <v>0</v>
      </c>
      <c r="D11" s="16">
        <v>0</v>
      </c>
      <c r="E11" s="16">
        <v>0</v>
      </c>
      <c r="F11" s="23">
        <v>0</v>
      </c>
      <c r="G11" s="23">
        <v>0</v>
      </c>
      <c r="K11" s="1" t="s">
        <v>29</v>
      </c>
      <c r="L11" s="1">
        <f>(SUMIF(B4:G4,"ダイクス",B5:G5))+(SUMIF(B4:G4,"ダイクス",B8:G8))+(SUMIF(B4:G4,"ダイクス",B11:G11))</f>
        <v>1</v>
      </c>
      <c r="M11" s="1">
        <f>(SUMIF(B4:G4,"ダイクス",B6:G6))+(SUMIF(B4:G4,"ダイクス",B9:G9))+(SUMIF(B4:G4,"ダイクス",B12:G12))</f>
        <v>0</v>
      </c>
      <c r="N11" s="1">
        <f>(SUMIF(B4:G4,"ダイクス",B7:G7))+(SUMIF(B4:G4,"ダイクス",B10:G10))+(SUMIF(B4:G4,"ダイクス",B13:G13))</f>
        <v>0</v>
      </c>
    </row>
    <row r="12" spans="1:20" x14ac:dyDescent="0.55000000000000004">
      <c r="A12" s="15" t="s">
        <v>25</v>
      </c>
      <c r="B12" s="16">
        <v>0</v>
      </c>
      <c r="C12" s="16">
        <v>0</v>
      </c>
      <c r="D12" s="16">
        <v>0</v>
      </c>
      <c r="E12" s="16">
        <v>0</v>
      </c>
      <c r="F12" s="23">
        <v>0</v>
      </c>
      <c r="G12" s="23">
        <v>0</v>
      </c>
      <c r="K12" s="1" t="s">
        <v>28</v>
      </c>
      <c r="L12" s="1">
        <f>(SUMIF(B4:G4,"中野",B5:G5))+(SUMIF(B4:G4,"中野",B8:G8))+(SUMIF(B4:G4,"中野",B11:G11))</f>
        <v>0</v>
      </c>
      <c r="M12" s="1">
        <f>(SUMIF(B4:G4,"中野",B6:G6))+(SUMIF(B4:G4,"中野",B9:G9))+(SUMIF(B4:G4,"中野",B12:G12))</f>
        <v>0</v>
      </c>
      <c r="N12" s="1">
        <f>(SUMIF(B4:G4,"中野",B7:G7))+(SUMIF(B4:G4,"中野",B10:G10))+(SUMIF(B4:G4,"中野",B13:G13))</f>
        <v>2</v>
      </c>
    </row>
    <row r="13" spans="1:20" x14ac:dyDescent="0.55000000000000004">
      <c r="A13" s="15" t="s">
        <v>26</v>
      </c>
      <c r="B13" s="16">
        <v>0</v>
      </c>
      <c r="C13" s="16">
        <v>0</v>
      </c>
      <c r="D13" s="16">
        <v>0</v>
      </c>
      <c r="E13" s="16">
        <v>0</v>
      </c>
      <c r="F13" s="23">
        <v>0</v>
      </c>
      <c r="G13" s="23">
        <v>2</v>
      </c>
      <c r="K13" s="1" t="s">
        <v>64</v>
      </c>
      <c r="L13" s="1">
        <f>(SUMIF(B4:G4,"渡邊",B5:G5))+(SUMIF(B4:G4,"渡邊",B8:G8))+(SUMIF(B4:G4,"渡邊",B11:G11))</f>
        <v>2</v>
      </c>
      <c r="M13" s="1">
        <f>(SUMIF(B4:G4,"渡邊",B6:G6))+(SUMIF(B4:G4,"渡邊",B9:G9))+(SUMIF(B4:G4,"渡邊",B12:G12))</f>
        <v>0</v>
      </c>
      <c r="N13" s="1">
        <f>(SUMIF(B4:G4,"渡邊",B7:G7))+(SUMIF(B4:G4,"渡邊",B10:G10))+(SUMIF(B4:G4,"渡邊",B13:G13))</f>
        <v>0</v>
      </c>
    </row>
    <row r="14" spans="1:20" x14ac:dyDescent="0.55000000000000004">
      <c r="A14" s="24" t="s">
        <v>31</v>
      </c>
      <c r="B14" s="27">
        <f t="shared" ref="B14" si="0">SUM(B5:B7)</f>
        <v>0</v>
      </c>
      <c r="C14" s="27">
        <f>SUM(C5:C13)</f>
        <v>0</v>
      </c>
      <c r="D14" s="27">
        <f>SUM(D5:D13)</f>
        <v>0</v>
      </c>
      <c r="E14" s="27">
        <f>SUM(E5:E13)</f>
        <v>1</v>
      </c>
      <c r="F14" s="27">
        <f>SUM(F5:F13)</f>
        <v>2</v>
      </c>
      <c r="G14" s="27">
        <f>SUM(G5:G13)</f>
        <v>2</v>
      </c>
    </row>
    <row r="15" spans="1:20" x14ac:dyDescent="0.55000000000000004">
      <c r="A15" s="17" t="s">
        <v>32</v>
      </c>
      <c r="B15" s="20">
        <f t="shared" ref="B15:C15" si="1">SUM(B8:B10)</f>
        <v>0</v>
      </c>
      <c r="C15" s="20">
        <f t="shared" si="1"/>
        <v>0</v>
      </c>
      <c r="D15" s="20">
        <f t="shared" ref="D15:G15" si="2">SUM(D8:D10)</f>
        <v>0</v>
      </c>
      <c r="E15" s="20">
        <f t="shared" si="2"/>
        <v>0</v>
      </c>
      <c r="F15" s="20">
        <f t="shared" si="2"/>
        <v>2</v>
      </c>
      <c r="G15" s="20">
        <f t="shared" si="2"/>
        <v>0</v>
      </c>
    </row>
    <row r="16" spans="1:20" x14ac:dyDescent="0.55000000000000004">
      <c r="A16" s="15" t="s">
        <v>33</v>
      </c>
      <c r="B16" s="21">
        <f t="shared" ref="B16:C16" si="3">SUM(B11:B13)</f>
        <v>0</v>
      </c>
      <c r="C16" s="21">
        <f t="shared" si="3"/>
        <v>0</v>
      </c>
      <c r="D16" s="21">
        <f t="shared" ref="D16:G16" si="4">SUM(D11:D13)</f>
        <v>0</v>
      </c>
      <c r="E16" s="21">
        <f t="shared" si="4"/>
        <v>0</v>
      </c>
      <c r="F16" s="21">
        <f t="shared" si="4"/>
        <v>0</v>
      </c>
      <c r="G16" s="21">
        <f t="shared" si="4"/>
        <v>2</v>
      </c>
    </row>
    <row r="17" spans="1:20" x14ac:dyDescent="0.55000000000000004">
      <c r="A17" s="32"/>
      <c r="B17" s="31"/>
      <c r="C17" s="31"/>
      <c r="D17" s="31"/>
      <c r="E17" s="31"/>
      <c r="F17" s="31"/>
      <c r="G17" s="31"/>
    </row>
    <row r="18" spans="1:20" x14ac:dyDescent="0.55000000000000004">
      <c r="B18" s="31"/>
      <c r="C18" s="31"/>
      <c r="D18" s="31"/>
      <c r="E18" s="31"/>
      <c r="F18" s="31"/>
      <c r="G18" s="31"/>
    </row>
    <row r="21" spans="1:20" x14ac:dyDescent="0.55000000000000004">
      <c r="A21" s="1" t="s">
        <v>23</v>
      </c>
      <c r="B21" s="50" t="s">
        <v>160</v>
      </c>
      <c r="C21" s="50" t="s">
        <v>160</v>
      </c>
      <c r="D21" s="50" t="s">
        <v>160</v>
      </c>
      <c r="E21" s="50" t="s">
        <v>160</v>
      </c>
      <c r="F21" s="50" t="s">
        <v>160</v>
      </c>
      <c r="G21" s="50" t="s">
        <v>400</v>
      </c>
      <c r="H21" s="50" t="s">
        <v>160</v>
      </c>
      <c r="I21" s="50" t="s">
        <v>160</v>
      </c>
    </row>
    <row r="22" spans="1:20" x14ac:dyDescent="0.55000000000000004">
      <c r="A22" s="1" t="s">
        <v>34</v>
      </c>
      <c r="B22" s="2" t="s">
        <v>29</v>
      </c>
      <c r="C22" s="2" t="s">
        <v>36</v>
      </c>
      <c r="D22" s="2" t="s">
        <v>161</v>
      </c>
      <c r="E22" s="2" t="s">
        <v>162</v>
      </c>
      <c r="F22" s="2" t="s">
        <v>399</v>
      </c>
      <c r="G22" s="2" t="s">
        <v>393</v>
      </c>
      <c r="H22" s="2" t="s">
        <v>29</v>
      </c>
      <c r="I22" s="2" t="s">
        <v>399</v>
      </c>
      <c r="K22" t="s">
        <v>13</v>
      </c>
      <c r="L22" t="s">
        <v>55</v>
      </c>
      <c r="M22" t="s">
        <v>56</v>
      </c>
      <c r="N22" t="s">
        <v>57</v>
      </c>
      <c r="O22" t="s">
        <v>58</v>
      </c>
      <c r="P22" t="s">
        <v>59</v>
      </c>
      <c r="Q22" t="s">
        <v>60</v>
      </c>
      <c r="R22" t="s">
        <v>61</v>
      </c>
      <c r="S22" t="s">
        <v>62</v>
      </c>
      <c r="T22" t="s">
        <v>63</v>
      </c>
    </row>
    <row r="23" spans="1:20" x14ac:dyDescent="0.55000000000000004">
      <c r="A23" s="24" t="s">
        <v>17</v>
      </c>
      <c r="B23" s="26">
        <v>0</v>
      </c>
      <c r="C23" s="26">
        <v>0</v>
      </c>
      <c r="D23" s="26">
        <v>0</v>
      </c>
      <c r="E23" s="25">
        <v>0</v>
      </c>
      <c r="F23" s="25">
        <v>0</v>
      </c>
      <c r="G23" s="26">
        <v>0</v>
      </c>
      <c r="H23" s="25">
        <v>0</v>
      </c>
      <c r="I23" s="25">
        <v>0</v>
      </c>
      <c r="K23" t="s">
        <v>29</v>
      </c>
      <c r="L23">
        <f>SUMIF(B22:G22,K23,B23:G23)</f>
        <v>0</v>
      </c>
      <c r="M23">
        <f>SUMIF(B22:G22,K23,B24:G24)</f>
        <v>0</v>
      </c>
      <c r="N23">
        <f>SUMIF(B22:G22,K23,B25:G25)</f>
        <v>0</v>
      </c>
      <c r="O23">
        <f>SUMIF(B22:G22,K23,B26:G26)</f>
        <v>0</v>
      </c>
      <c r="P23">
        <f>SUMIF(B22:G22,K23,B27:G27)</f>
        <v>0</v>
      </c>
      <c r="Q23">
        <f>SUMIF(B22:G22,K23,B28:G28)</f>
        <v>0</v>
      </c>
      <c r="R23">
        <f>SUMIF(B22:G22,K23,B29:G29)</f>
        <v>0</v>
      </c>
      <c r="S23">
        <f>SUMIF(B22:G22,K23,B30:G30)</f>
        <v>0</v>
      </c>
      <c r="T23">
        <f>SUMIF(B22:G22,K23,B31:G31)</f>
        <v>0</v>
      </c>
    </row>
    <row r="24" spans="1:20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5">
        <v>0</v>
      </c>
      <c r="G24" s="26">
        <v>0</v>
      </c>
      <c r="H24" s="25">
        <v>0</v>
      </c>
      <c r="I24" s="25">
        <v>0</v>
      </c>
      <c r="K24" t="s">
        <v>28</v>
      </c>
      <c r="L24">
        <f>SUMIF(B22:G22,K24,B23:G23)</f>
        <v>0</v>
      </c>
      <c r="M24">
        <f>SUMIF(B22:G22,K24,B24:G24)</f>
        <v>0</v>
      </c>
      <c r="N24">
        <f>SUMIF(B22:G22,K24,B25:G25)</f>
        <v>0</v>
      </c>
      <c r="O24">
        <f>SUMIF(B22:G22,K24,B26:G26)</f>
        <v>0</v>
      </c>
      <c r="P24">
        <f>SUMIF(B22:G22,K24,B27:G27)</f>
        <v>0</v>
      </c>
      <c r="Q24">
        <f>SUMIF(B22:G22,K24,B28:G28)</f>
        <v>0</v>
      </c>
      <c r="R24">
        <f>SUMIF(B22:G22,K24,B29:G29)</f>
        <v>2</v>
      </c>
      <c r="S24">
        <f>SUMIF(B22:G22,K24,B30:G30)</f>
        <v>0</v>
      </c>
      <c r="T24">
        <f>SUMIF(B22:G22,K24,B31:G31)</f>
        <v>0</v>
      </c>
    </row>
    <row r="25" spans="1:20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5">
        <v>0</v>
      </c>
      <c r="G25" s="26">
        <v>0</v>
      </c>
      <c r="H25" s="25">
        <v>0</v>
      </c>
      <c r="I25" s="25">
        <v>0</v>
      </c>
      <c r="K25" t="s">
        <v>36</v>
      </c>
      <c r="L25">
        <f>SUMIF(B22:G22,K25,B23:G23)</f>
        <v>0</v>
      </c>
      <c r="M25">
        <f ca="1">SUMIF(B22:G22,K25,B24:B24)</f>
        <v>0</v>
      </c>
      <c r="N25">
        <f>SUMIF(B22:G22,K25,B25:G25)</f>
        <v>0</v>
      </c>
      <c r="O25">
        <f>SUMIF(B22:G22,K25,B26:G26)</f>
        <v>4</v>
      </c>
      <c r="P25">
        <f>SUMIF(B22:G22,K25,B27:G27)</f>
        <v>0</v>
      </c>
      <c r="Q25">
        <f>SUMIF(B22:G22,K25,B28:G28)</f>
        <v>0</v>
      </c>
      <c r="R25">
        <f>SUMIF(B22:G22,K25,B29:G29)</f>
        <v>0</v>
      </c>
      <c r="S25">
        <f>SUMIF(B22:G22,K25,B30:G30)</f>
        <v>0</v>
      </c>
      <c r="T25">
        <f>SUMIF(B22:G22,K25,B31:G31)</f>
        <v>0</v>
      </c>
    </row>
    <row r="26" spans="1:20" x14ac:dyDescent="0.55000000000000004">
      <c r="A26" s="17" t="s">
        <v>20</v>
      </c>
      <c r="B26" s="22">
        <v>0</v>
      </c>
      <c r="C26" s="22">
        <v>2</v>
      </c>
      <c r="D26" s="22">
        <v>0</v>
      </c>
      <c r="E26" s="18">
        <v>0</v>
      </c>
      <c r="F26" s="18">
        <v>0</v>
      </c>
      <c r="G26" s="22">
        <v>2</v>
      </c>
      <c r="H26" s="18">
        <v>0</v>
      </c>
      <c r="I26" s="18">
        <v>0</v>
      </c>
    </row>
    <row r="27" spans="1:20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18">
        <v>0</v>
      </c>
      <c r="G27" s="22">
        <v>0</v>
      </c>
      <c r="H27" s="18">
        <v>0</v>
      </c>
      <c r="I27" s="18">
        <v>0</v>
      </c>
      <c r="K27" s="43" t="s">
        <v>65</v>
      </c>
    </row>
    <row r="28" spans="1:20" x14ac:dyDescent="0.55000000000000004">
      <c r="A28" s="17" t="s">
        <v>22</v>
      </c>
      <c r="B28" s="22">
        <v>0</v>
      </c>
      <c r="C28" s="22">
        <v>0</v>
      </c>
      <c r="D28" s="22">
        <v>0</v>
      </c>
      <c r="E28" s="18">
        <v>0</v>
      </c>
      <c r="F28" s="18">
        <v>0</v>
      </c>
      <c r="G28" s="22">
        <v>0</v>
      </c>
      <c r="H28" s="18">
        <v>0</v>
      </c>
      <c r="I28" s="18">
        <v>0</v>
      </c>
      <c r="K28" s="42"/>
      <c r="L28" s="42" t="s">
        <v>0</v>
      </c>
      <c r="M28" s="42" t="s">
        <v>53</v>
      </c>
      <c r="N28" s="42" t="s">
        <v>54</v>
      </c>
    </row>
    <row r="29" spans="1:20" x14ac:dyDescent="0.55000000000000004">
      <c r="A29" s="15" t="s">
        <v>24</v>
      </c>
      <c r="B29" s="23">
        <v>0</v>
      </c>
      <c r="C29" s="23">
        <v>0</v>
      </c>
      <c r="D29" s="23">
        <v>2</v>
      </c>
      <c r="E29" s="16">
        <v>0</v>
      </c>
      <c r="F29" s="16">
        <v>0</v>
      </c>
      <c r="G29" s="23">
        <v>0</v>
      </c>
      <c r="H29" s="16">
        <v>4</v>
      </c>
      <c r="I29" s="16">
        <v>0</v>
      </c>
      <c r="K29" s="1" t="s">
        <v>29</v>
      </c>
      <c r="L29" s="1">
        <f>(SUMIF(B22:I22,"ダイクス",B23:I23))+(SUMIF(B22:I22,"ダイクス",B26:I26))+(SUMIF(B22:I22,"ダイクス",B29:I29))</f>
        <v>4</v>
      </c>
      <c r="M29" s="1">
        <f>(SUMIF(B22:I22,"ダイクス",B24:I24))+(SUMIF(B22:I22,"ダイクス",B27:I27))+(SUMIF(B22:I22,"ダイクス",B30:I30))</f>
        <v>0</v>
      </c>
      <c r="N29" s="1">
        <f>(SUMIF(B22:I22,"ダイクス",B25:I25))+(SUMIF(B22:I22,"ダイクス",B28:I28))+(SUMIF(B22:I22,"ダイクス",B31:I31))</f>
        <v>0</v>
      </c>
    </row>
    <row r="30" spans="1:20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16">
        <v>0</v>
      </c>
      <c r="G30" s="23">
        <v>0</v>
      </c>
      <c r="H30" s="16">
        <v>0</v>
      </c>
      <c r="I30" s="16">
        <v>0</v>
      </c>
      <c r="K30" s="1" t="s">
        <v>28</v>
      </c>
      <c r="L30" s="1">
        <f>(SUMIF(B22:I22,"中野",B23:I23))+(SUMIF(B22:I22,"中野",B26:I26))+(SUMIF(B22:I22,"中野",B29:IG29))</f>
        <v>2</v>
      </c>
      <c r="M30" s="1">
        <f>(SUMIF(B22:I22,"中野",B24:I24))+(SUMIF(B22:I22,"中野",B27:I27))+(SUMIF(B22:I22,"中野",B30:I30))</f>
        <v>0</v>
      </c>
      <c r="N30" s="1">
        <f>(SUMIF(B22:I22,"中野",B25:I25))+(SUMIF(B22:I22,"中野",B28:I28))+(SUMIF(B22:I22,"中野",B31:I31))</f>
        <v>0</v>
      </c>
    </row>
    <row r="31" spans="1:20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16">
        <v>0</v>
      </c>
      <c r="G31" s="23">
        <v>0</v>
      </c>
      <c r="H31" s="16">
        <v>0</v>
      </c>
      <c r="I31" s="16">
        <v>0</v>
      </c>
      <c r="K31" s="1" t="s">
        <v>64</v>
      </c>
      <c r="L31" s="1">
        <f>(SUMIF(B22:I22,"渡邊",B23:I23))+(SUMIF(B22:I22,"渡邊",B26:I26))+(SUMIF(B22:I22,"渡邊",B29:I29))</f>
        <v>4</v>
      </c>
      <c r="M31" s="1">
        <f>(SUMIF(B22:I22,"渡邊",B24:I24))+(SUMIF(B22:I22,"渡邊",B27:I27))+(SUMIF(B22:I22,"渡邊",B30:I30))</f>
        <v>0</v>
      </c>
      <c r="N31" s="1">
        <f>(SUMIF(B22:I22,"渡邊",B25:I25))+(SUMIF(B22:I22,"渡邊",B28:I28))+(SUMIF(B22:I22,"渡邊",B31:I31))</f>
        <v>0</v>
      </c>
    </row>
    <row r="32" spans="1:20" x14ac:dyDescent="0.55000000000000004">
      <c r="A32" s="24" t="s">
        <v>31</v>
      </c>
      <c r="B32" s="27">
        <f t="shared" ref="B32:D32" si="5">SUM(B23:B25)</f>
        <v>0</v>
      </c>
      <c r="C32" s="27">
        <f t="shared" si="5"/>
        <v>0</v>
      </c>
      <c r="D32" s="27">
        <f t="shared" si="5"/>
        <v>0</v>
      </c>
      <c r="E32" s="27">
        <f t="shared" ref="E32:F32" si="6">SUM(E23:E25)</f>
        <v>0</v>
      </c>
      <c r="F32" s="27">
        <f t="shared" si="6"/>
        <v>0</v>
      </c>
      <c r="G32" s="27">
        <f t="shared" ref="G32" si="7">SUM(G23:G25)</f>
        <v>0</v>
      </c>
      <c r="H32" s="27">
        <f t="shared" ref="H32:I32" si="8">SUM(H23:H25)</f>
        <v>0</v>
      </c>
      <c r="I32" s="27">
        <f t="shared" si="8"/>
        <v>0</v>
      </c>
      <c r="K32" s="1" t="s">
        <v>27</v>
      </c>
      <c r="L32" s="1">
        <f>(SUMIF(B22:I22,"木村",B23:I23))+(SUMIF(B22:I22,"木村",B26:I26))+(SUMIF(B23:I23,"木村",B29:I29))</f>
        <v>0</v>
      </c>
      <c r="M32" s="1">
        <f>(SUMIF(B22:I22,"渡邊",B24:I24))+(SUMIF(B22:I22,"渡邊",B27:I27))+(SUMIF(B22:I22,"渡邊",B30:I30))</f>
        <v>0</v>
      </c>
      <c r="N32" s="1">
        <f>(SUMIF(B22:I22,"木村",B25:I25))+(SUMIF(B22:I22,"渡邊",B28:I28))+(SUMIF(B22:I22,"渡邊",B31:I31))</f>
        <v>0</v>
      </c>
    </row>
    <row r="33" spans="1:20" x14ac:dyDescent="0.55000000000000004">
      <c r="A33" s="17" t="s">
        <v>32</v>
      </c>
      <c r="B33" s="20">
        <f t="shared" ref="B33:D33" si="9">SUM(B26:B28)</f>
        <v>0</v>
      </c>
      <c r="C33" s="20">
        <f t="shared" si="9"/>
        <v>2</v>
      </c>
      <c r="D33" s="20">
        <f t="shared" si="9"/>
        <v>0</v>
      </c>
      <c r="E33" s="20">
        <f t="shared" ref="E33:G33" si="10">SUM(E26:E28)</f>
        <v>0</v>
      </c>
      <c r="F33" s="20">
        <f t="shared" si="10"/>
        <v>0</v>
      </c>
      <c r="G33" s="20">
        <f t="shared" si="10"/>
        <v>2</v>
      </c>
      <c r="H33" s="20">
        <f t="shared" ref="H33:I33" si="11">SUM(H26:H28)</f>
        <v>0</v>
      </c>
      <c r="I33" s="20">
        <f t="shared" si="11"/>
        <v>0</v>
      </c>
    </row>
    <row r="34" spans="1:20" x14ac:dyDescent="0.55000000000000004">
      <c r="A34" s="15" t="s">
        <v>33</v>
      </c>
      <c r="B34" s="21">
        <f t="shared" ref="B34:D34" si="12">SUM(B29:B31)</f>
        <v>0</v>
      </c>
      <c r="C34" s="21">
        <f t="shared" si="12"/>
        <v>0</v>
      </c>
      <c r="D34" s="21">
        <f t="shared" si="12"/>
        <v>2</v>
      </c>
      <c r="E34" s="21">
        <f t="shared" ref="E34:G34" si="13">SUM(E29:E31)</f>
        <v>0</v>
      </c>
      <c r="F34" s="21">
        <f t="shared" si="13"/>
        <v>0</v>
      </c>
      <c r="G34" s="21">
        <f t="shared" si="13"/>
        <v>0</v>
      </c>
      <c r="H34" s="21">
        <f t="shared" ref="H34:I34" si="14">SUM(H29:H31)</f>
        <v>4</v>
      </c>
      <c r="I34" s="21">
        <f t="shared" si="14"/>
        <v>0</v>
      </c>
    </row>
    <row r="39" spans="1:20" x14ac:dyDescent="0.55000000000000004">
      <c r="A39" s="1" t="s">
        <v>23</v>
      </c>
      <c r="B39" s="50" t="s">
        <v>401</v>
      </c>
      <c r="C39" s="50" t="s">
        <v>401</v>
      </c>
      <c r="D39" s="50" t="s">
        <v>401</v>
      </c>
      <c r="E39" s="50" t="s">
        <v>401</v>
      </c>
      <c r="F39" s="50" t="s">
        <v>401</v>
      </c>
      <c r="G39" s="50" t="s">
        <v>402</v>
      </c>
    </row>
    <row r="40" spans="1:20" x14ac:dyDescent="0.55000000000000004">
      <c r="A40" s="1" t="s">
        <v>34</v>
      </c>
      <c r="B40" s="2" t="s">
        <v>29</v>
      </c>
      <c r="C40" s="2" t="s">
        <v>28</v>
      </c>
      <c r="D40" s="2" t="s">
        <v>36</v>
      </c>
      <c r="E40" s="2" t="s">
        <v>27</v>
      </c>
      <c r="F40" s="2" t="s">
        <v>388</v>
      </c>
      <c r="G40" s="2" t="s">
        <v>393</v>
      </c>
      <c r="K40" t="s">
        <v>13</v>
      </c>
      <c r="L40" t="s">
        <v>55</v>
      </c>
      <c r="M40" t="s">
        <v>56</v>
      </c>
      <c r="N40" t="s">
        <v>57</v>
      </c>
      <c r="O40" t="s">
        <v>58</v>
      </c>
      <c r="P40" t="s">
        <v>59</v>
      </c>
      <c r="Q40" t="s">
        <v>60</v>
      </c>
      <c r="R40" t="s">
        <v>61</v>
      </c>
      <c r="S40" t="s">
        <v>62</v>
      </c>
      <c r="T40" t="s">
        <v>63</v>
      </c>
    </row>
    <row r="41" spans="1:20" x14ac:dyDescent="0.55000000000000004">
      <c r="A41" s="24" t="s">
        <v>17</v>
      </c>
      <c r="B41" s="26">
        <v>0</v>
      </c>
      <c r="C41" s="26">
        <v>0</v>
      </c>
      <c r="D41" s="26">
        <v>0</v>
      </c>
      <c r="E41" s="25">
        <v>0</v>
      </c>
      <c r="F41" s="25">
        <v>0</v>
      </c>
      <c r="G41" s="26">
        <v>0</v>
      </c>
      <c r="K41" t="s">
        <v>29</v>
      </c>
      <c r="L41">
        <f>SUMIF(B40:G40,K41,B41:G41)</f>
        <v>0</v>
      </c>
      <c r="M41">
        <f>SUMIF(B40:G40,K41,B42:G42)</f>
        <v>0</v>
      </c>
      <c r="N41">
        <f>SUMIF(B40:G40,K41,B43:G43)</f>
        <v>0</v>
      </c>
      <c r="O41">
        <f>SUMIF(B40:G40,K41,B44:G44)</f>
        <v>0</v>
      </c>
      <c r="P41">
        <f>SUMIF(B40:G40,K41,B45:G45)</f>
        <v>0</v>
      </c>
      <c r="Q41">
        <f>SUMIF(B40:G40,K41,B46:G46)</f>
        <v>1</v>
      </c>
      <c r="R41">
        <f>SUMIF(B40:G40,K41,B47:G47)</f>
        <v>0</v>
      </c>
      <c r="S41">
        <f>SUMIF(B40:G40,K41,B48:G48)</f>
        <v>0</v>
      </c>
      <c r="T41">
        <f>SUMIF(B40:G40,K41,B49:G49)</f>
        <v>0</v>
      </c>
    </row>
    <row r="42" spans="1:20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5">
        <v>0</v>
      </c>
      <c r="G42" s="26">
        <v>0</v>
      </c>
      <c r="K42" t="s">
        <v>28</v>
      </c>
      <c r="L42">
        <f>SUMIF(B40:G40,K42,B41:G41)</f>
        <v>0</v>
      </c>
      <c r="M42">
        <f>SUMIF(B40:G40,K42,B42:G42)</f>
        <v>0</v>
      </c>
      <c r="N42">
        <f>SUMIF(B40:G40,K42,B43:G43)</f>
        <v>0</v>
      </c>
      <c r="O42">
        <f>SUMIF(B40:G40,K42,B44:G44)</f>
        <v>1</v>
      </c>
      <c r="P42">
        <f>SUMIF(B40:G40,K42,B45:G45)</f>
        <v>0</v>
      </c>
      <c r="Q42">
        <f>SUMIF(B40:G40,K42,B46:G46)</f>
        <v>0</v>
      </c>
      <c r="R42">
        <f>SUMIF(B40:G40,K42,B47:G47)</f>
        <v>0</v>
      </c>
      <c r="S42">
        <f>SUMIF(B40:G40,K42,B48:G48)</f>
        <v>0</v>
      </c>
      <c r="T42">
        <f>SUMIF(B40:G40,K42,B49:G49)</f>
        <v>0</v>
      </c>
    </row>
    <row r="43" spans="1:20" x14ac:dyDescent="0.55000000000000004">
      <c r="A43" s="24" t="s">
        <v>19</v>
      </c>
      <c r="B43" s="26">
        <v>0</v>
      </c>
      <c r="C43" s="26">
        <v>0</v>
      </c>
      <c r="D43" s="26">
        <v>0</v>
      </c>
      <c r="E43" s="25">
        <v>0</v>
      </c>
      <c r="F43" s="25">
        <v>0</v>
      </c>
      <c r="G43" s="26">
        <v>0</v>
      </c>
      <c r="K43" t="s">
        <v>36</v>
      </c>
      <c r="L43">
        <f>SUMIF(B40:G40,K43,B41:G41)</f>
        <v>0</v>
      </c>
      <c r="M43">
        <f ca="1">SUMIF(B40:G40,K43,B42:B42)</f>
        <v>0</v>
      </c>
      <c r="N43">
        <f>SUMIF(B40:G40,K43,B43:G43)</f>
        <v>0</v>
      </c>
      <c r="O43">
        <f>SUMIF(B40:G40,K43,B44:G44)</f>
        <v>0</v>
      </c>
      <c r="P43">
        <f>SUMIF(B40:G40,K43,B45:G45)</f>
        <v>0</v>
      </c>
      <c r="Q43">
        <f>SUMIF(B40:G40,K43,B46:G46)</f>
        <v>0</v>
      </c>
      <c r="R43">
        <f>SUMIF(B40:G40,K43,B47:G47)</f>
        <v>2</v>
      </c>
      <c r="S43">
        <f>SUMIF(B40:G40,K43,B48:G48)</f>
        <v>0</v>
      </c>
      <c r="T43">
        <f>SUMIF(B40:G40,K43,B49:G49)</f>
        <v>0</v>
      </c>
    </row>
    <row r="44" spans="1:20" x14ac:dyDescent="0.55000000000000004">
      <c r="A44" s="17" t="s">
        <v>20</v>
      </c>
      <c r="B44" s="22">
        <v>0</v>
      </c>
      <c r="C44" s="22">
        <v>1</v>
      </c>
      <c r="D44" s="22">
        <v>0</v>
      </c>
      <c r="E44" s="18">
        <v>0</v>
      </c>
      <c r="F44" s="18">
        <v>0</v>
      </c>
      <c r="G44" s="22">
        <v>0</v>
      </c>
      <c r="K44" t="s">
        <v>399</v>
      </c>
      <c r="L44">
        <f>SUMIF(B40:G40,K44,B41:G41)</f>
        <v>0</v>
      </c>
      <c r="M44">
        <f>SUMIF(B40:G40,K44,B42:G42)</f>
        <v>0</v>
      </c>
      <c r="N44">
        <f>SUMIF(B40:G40,K44,B43:G43)</f>
        <v>0</v>
      </c>
      <c r="O44">
        <f>SUMIF(B40:G40,K44,B44:G44)</f>
        <v>0</v>
      </c>
      <c r="P44">
        <f>SUMIF(B40:G40,K44,B45:G45)</f>
        <v>0</v>
      </c>
      <c r="Q44">
        <f>SUMIF(B40:G40,K44,B46:G46)</f>
        <v>0</v>
      </c>
      <c r="R44">
        <f>SUMIF(B40:G40,K44,B47:G47)</f>
        <v>0</v>
      </c>
      <c r="S44">
        <f>SUMIF(B40:G40,K44,B48:G48)</f>
        <v>0</v>
      </c>
      <c r="T44">
        <f>SUMIF(B40:G40,K44,B49:G49)</f>
        <v>0</v>
      </c>
    </row>
    <row r="45" spans="1:20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18">
        <v>0</v>
      </c>
      <c r="G45" s="22">
        <v>0</v>
      </c>
      <c r="K45" s="43" t="s">
        <v>392</v>
      </c>
    </row>
    <row r="46" spans="1:20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18">
        <v>1</v>
      </c>
      <c r="G46" s="22">
        <v>0</v>
      </c>
      <c r="K46" s="42"/>
      <c r="L46" s="42" t="s">
        <v>0</v>
      </c>
      <c r="M46" s="42" t="s">
        <v>53</v>
      </c>
      <c r="N46" s="42" t="s">
        <v>54</v>
      </c>
    </row>
    <row r="47" spans="1:20" x14ac:dyDescent="0.55000000000000004">
      <c r="A47" s="15" t="s">
        <v>24</v>
      </c>
      <c r="B47" s="23">
        <v>0</v>
      </c>
      <c r="C47" s="23">
        <v>0</v>
      </c>
      <c r="D47" s="23">
        <v>1</v>
      </c>
      <c r="E47" s="16">
        <v>0</v>
      </c>
      <c r="F47" s="16">
        <v>0</v>
      </c>
      <c r="G47" s="23">
        <v>1</v>
      </c>
      <c r="K47" s="1" t="s">
        <v>29</v>
      </c>
      <c r="L47" s="1">
        <f>(SUMIF(B40:I40,"ダイクス",B41:I41))+(SUMIF(B40:I40,"ダイクス",B44:I44))+(SUMIF(B40:I40,"ダイクス",B47:I47))</f>
        <v>0</v>
      </c>
      <c r="M47" s="1">
        <f>(SUMIF(B40:I40,"ダイクス",B42:I42))+(SUMIF(B40:I40,"ダイクス",B45:I45))+(SUMIF(B40:I40,"ダイクス",B48:I48))</f>
        <v>0</v>
      </c>
      <c r="N47" s="1">
        <f>(SUMIF(B40:I40,"ダイクス",B43:I43))+(SUMIF(B40:I40,"ダイクス",B46:I46))+(SUMIF(B40:I40,"ダイクス",B49:I49))</f>
        <v>1</v>
      </c>
    </row>
    <row r="48" spans="1:20" x14ac:dyDescent="0.55000000000000004">
      <c r="A48" s="15" t="s">
        <v>25</v>
      </c>
      <c r="B48" s="23">
        <v>0</v>
      </c>
      <c r="C48" s="23">
        <v>0</v>
      </c>
      <c r="D48" s="23">
        <v>0</v>
      </c>
      <c r="E48" s="16">
        <v>0</v>
      </c>
      <c r="F48" s="16">
        <v>0</v>
      </c>
      <c r="G48" s="23">
        <v>0</v>
      </c>
      <c r="K48" s="1" t="s">
        <v>28</v>
      </c>
      <c r="L48" s="1">
        <f>(SUMIF(B40:I40,"中野",B41:I41))+(SUMIF(B40:I40,"中野",B44:I44))+(SUMIF(B40:I40,"中野",B47:IG47))</f>
        <v>1</v>
      </c>
      <c r="M48" s="1">
        <f>(SUMIF(B40:I40,"中野",B42:I42))+(SUMIF(B40:I40,"中野",B45:I45))+(SUMIF(B40:I40,"中野",B48:I48))</f>
        <v>0</v>
      </c>
      <c r="N48" s="1">
        <f>(SUMIF(B40:I40,"中野",B43:I43))+(SUMIF(B40:I40,"中野",B46:I46))+(SUMIF(B40:I40,"中野",B49:I49))</f>
        <v>0</v>
      </c>
    </row>
    <row r="49" spans="1:21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16">
        <v>0</v>
      </c>
      <c r="G49" s="23">
        <v>0</v>
      </c>
      <c r="K49" s="1" t="s">
        <v>64</v>
      </c>
      <c r="L49" s="1">
        <f>(SUMIF(B40:I40,"渡邊",B41:I41))+(SUMIF(B40:I40,"渡邊",B44:I44))+(SUMIF(B40:I40,"渡邊",B47:I47))</f>
        <v>2</v>
      </c>
      <c r="M49" s="1">
        <f>(SUMIF(B40:I40,"渡邊",B42:I42))+(SUMIF(B40:I40,"渡邊",B45:I45))+(SUMIF(B40:I40,"渡邊",B48:I48))</f>
        <v>0</v>
      </c>
      <c r="N49" s="1">
        <f>(SUMIF(B40:I40,"渡邊",B43:I43))+(SUMIF(B40:I40,"渡邊",B46:I46))+(SUMIF(B40:I40,"渡邊",B49:I49))</f>
        <v>0</v>
      </c>
    </row>
    <row r="50" spans="1:21" x14ac:dyDescent="0.55000000000000004">
      <c r="A50" s="24" t="s">
        <v>31</v>
      </c>
      <c r="B50" s="27">
        <f t="shared" ref="B50:D50" si="15">SUM(B41:B43)</f>
        <v>0</v>
      </c>
      <c r="C50" s="27">
        <f t="shared" si="15"/>
        <v>0</v>
      </c>
      <c r="D50" s="27">
        <f t="shared" si="15"/>
        <v>0</v>
      </c>
      <c r="E50" s="27">
        <f t="shared" ref="E50:F50" si="16">SUM(E41:E43)</f>
        <v>0</v>
      </c>
      <c r="F50" s="27">
        <f t="shared" si="16"/>
        <v>0</v>
      </c>
      <c r="G50" s="27">
        <f t="shared" ref="G50" si="17">SUM(G41:G43)</f>
        <v>0</v>
      </c>
      <c r="K50" s="1" t="s">
        <v>27</v>
      </c>
      <c r="L50" s="1">
        <f>(SUMIF(B40:I40,"木村",B41:I41))+(SUMIF(B40:I40,"木村",B44:I44))+(SUMIF(B41:I41,"木村",B47:I47))</f>
        <v>0</v>
      </c>
      <c r="M50" s="1">
        <f>(SUMIF(B40:I40,"渡邊",B42:I42))+(SUMIF(B40:I40,"渡邊",B45:I45))+(SUMIF(B40:I40,"渡邊",B48:I48))</f>
        <v>0</v>
      </c>
      <c r="N50" s="1">
        <f>(SUMIF(B40:I40,"木村",B43:I43))+(SUMIF(B40:I40,"渡邊",B46:I46))+(SUMIF(B40:I40,"渡邊",B49:I49))</f>
        <v>0</v>
      </c>
    </row>
    <row r="51" spans="1:21" x14ac:dyDescent="0.55000000000000004">
      <c r="A51" s="17" t="s">
        <v>32</v>
      </c>
      <c r="B51" s="20">
        <f t="shared" ref="B51:G51" si="18">SUM(B44:B46)</f>
        <v>0</v>
      </c>
      <c r="C51" s="20">
        <f t="shared" si="18"/>
        <v>1</v>
      </c>
      <c r="D51" s="20">
        <f t="shared" si="18"/>
        <v>0</v>
      </c>
      <c r="E51" s="20">
        <f t="shared" si="18"/>
        <v>0</v>
      </c>
      <c r="F51" s="20">
        <f t="shared" si="18"/>
        <v>1</v>
      </c>
      <c r="G51" s="20">
        <f t="shared" si="18"/>
        <v>0</v>
      </c>
    </row>
    <row r="52" spans="1:21" x14ac:dyDescent="0.55000000000000004">
      <c r="A52" s="15" t="s">
        <v>33</v>
      </c>
      <c r="B52" s="21">
        <f t="shared" ref="B52:G52" si="19">SUM(B47:B49)</f>
        <v>0</v>
      </c>
      <c r="C52" s="21">
        <f t="shared" si="19"/>
        <v>0</v>
      </c>
      <c r="D52" s="21">
        <f t="shared" si="19"/>
        <v>1</v>
      </c>
      <c r="E52" s="21">
        <f t="shared" si="19"/>
        <v>0</v>
      </c>
      <c r="F52" s="21">
        <f t="shared" si="19"/>
        <v>0</v>
      </c>
      <c r="G52" s="21">
        <f t="shared" si="19"/>
        <v>1</v>
      </c>
    </row>
    <row r="57" spans="1:21" x14ac:dyDescent="0.55000000000000004">
      <c r="A57" s="1" t="s">
        <v>23</v>
      </c>
      <c r="B57" s="50" t="s">
        <v>417</v>
      </c>
      <c r="C57" s="50" t="s">
        <v>417</v>
      </c>
      <c r="D57" s="50" t="s">
        <v>417</v>
      </c>
      <c r="E57" s="50" t="s">
        <v>417</v>
      </c>
      <c r="F57" s="50" t="s">
        <v>417</v>
      </c>
      <c r="G57" s="50" t="s">
        <v>417</v>
      </c>
      <c r="H57" s="50" t="s">
        <v>417</v>
      </c>
      <c r="I57" s="50" t="s">
        <v>417</v>
      </c>
    </row>
    <row r="58" spans="1:21" x14ac:dyDescent="0.55000000000000004">
      <c r="A58" s="1" t="s">
        <v>34</v>
      </c>
      <c r="B58" s="2" t="s">
        <v>321</v>
      </c>
      <c r="C58" s="2" t="s">
        <v>28</v>
      </c>
      <c r="D58" s="2" t="s">
        <v>36</v>
      </c>
      <c r="E58" s="2"/>
      <c r="F58" s="2"/>
      <c r="G58" s="2"/>
      <c r="H58" s="2"/>
      <c r="I58" s="2"/>
      <c r="L58" t="s">
        <v>13</v>
      </c>
      <c r="M58" t="s">
        <v>55</v>
      </c>
      <c r="N58" t="s">
        <v>56</v>
      </c>
      <c r="O58" t="s">
        <v>57</v>
      </c>
      <c r="P58" t="s">
        <v>58</v>
      </c>
      <c r="Q58" t="s">
        <v>59</v>
      </c>
      <c r="R58" t="s">
        <v>60</v>
      </c>
      <c r="S58" t="s">
        <v>61</v>
      </c>
      <c r="T58" t="s">
        <v>62</v>
      </c>
      <c r="U58" t="s">
        <v>63</v>
      </c>
    </row>
    <row r="59" spans="1:21" x14ac:dyDescent="0.55000000000000004">
      <c r="A59" s="24" t="s">
        <v>17</v>
      </c>
      <c r="B59" s="26">
        <v>0</v>
      </c>
      <c r="C59" s="26">
        <v>0</v>
      </c>
      <c r="D59" s="26">
        <v>0</v>
      </c>
      <c r="E59" s="25">
        <v>0</v>
      </c>
      <c r="F59" s="25">
        <v>0</v>
      </c>
      <c r="G59" s="26">
        <v>0</v>
      </c>
      <c r="H59" s="26">
        <v>0</v>
      </c>
      <c r="I59" s="25">
        <v>0</v>
      </c>
      <c r="L59" t="s">
        <v>29</v>
      </c>
      <c r="M59">
        <f>SUMIF(C58:I58,L59,C59:I59)</f>
        <v>0</v>
      </c>
      <c r="N59">
        <f>SUMIF(C58:I58,L59,C60:I60)</f>
        <v>0</v>
      </c>
      <c r="O59">
        <f>SUMIF(C58:I58,L59,C61:I61)</f>
        <v>0</v>
      </c>
      <c r="P59">
        <f>SUMIF(C58:I58,L59,C62:I62)</f>
        <v>0</v>
      </c>
      <c r="Q59">
        <f>SUMIF(C58:I58,L59,C63:I63)</f>
        <v>0</v>
      </c>
      <c r="R59">
        <f>SUMIF(C58:I58,L59,C64:I64)</f>
        <v>0</v>
      </c>
      <c r="S59">
        <f>SUMIF(C58:I58,L59,C65:I65)</f>
        <v>0</v>
      </c>
      <c r="T59">
        <f>SUMIF(C58:I58,L59,C66:I66)</f>
        <v>0</v>
      </c>
      <c r="U59">
        <f>SUMIF(C58:I58,L59,C67:I67)</f>
        <v>0</v>
      </c>
    </row>
    <row r="60" spans="1:21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>
        <v>0</v>
      </c>
      <c r="F60" s="25">
        <v>0</v>
      </c>
      <c r="G60" s="26">
        <v>0</v>
      </c>
      <c r="H60" s="26">
        <v>0</v>
      </c>
      <c r="I60" s="25">
        <v>0</v>
      </c>
      <c r="L60" t="s">
        <v>28</v>
      </c>
      <c r="M60">
        <f>SUMIF(C58:I58,L60,C59:I59)</f>
        <v>0</v>
      </c>
      <c r="N60">
        <f>SUMIF(C58:I58,L60,C60:I60)</f>
        <v>0</v>
      </c>
      <c r="O60">
        <f>SUMIF(C58:I58,L60,C61:I61)</f>
        <v>0</v>
      </c>
      <c r="P60">
        <f>SUMIF(C58:I58,L60,C62:I62)</f>
        <v>0</v>
      </c>
      <c r="Q60">
        <f>SUMIF(C58:I58,L60,C63:I63)</f>
        <v>0</v>
      </c>
      <c r="R60">
        <f>SUMIF(C58:I58,L60,C64:I64)</f>
        <v>0</v>
      </c>
      <c r="S60">
        <f>SUMIF(C58:I58,L60,C65:I65)</f>
        <v>0</v>
      </c>
      <c r="T60">
        <f>SUMIF(C58:I58,L60,C66:I66)</f>
        <v>0</v>
      </c>
      <c r="U60">
        <f>SUMIF(C58:I58,L60,C67:I67)</f>
        <v>0</v>
      </c>
    </row>
    <row r="61" spans="1:21" x14ac:dyDescent="0.55000000000000004">
      <c r="A61" s="24" t="s">
        <v>19</v>
      </c>
      <c r="B61" s="26">
        <v>0</v>
      </c>
      <c r="C61" s="26">
        <v>0</v>
      </c>
      <c r="D61" s="26">
        <v>0</v>
      </c>
      <c r="E61" s="25">
        <v>0</v>
      </c>
      <c r="F61" s="25">
        <v>0</v>
      </c>
      <c r="G61" s="26">
        <v>0</v>
      </c>
      <c r="H61" s="26">
        <v>0</v>
      </c>
      <c r="I61" s="25">
        <v>0</v>
      </c>
      <c r="L61" t="s">
        <v>36</v>
      </c>
      <c r="M61">
        <f>SUMIF(C58:I58,L61,C59:I59)</f>
        <v>0</v>
      </c>
      <c r="N61">
        <f>SUMIF(C58:I58,L61,C60:I60)</f>
        <v>0</v>
      </c>
      <c r="O61">
        <f>SUMIF(C58:H58,L61,C61:I61)</f>
        <v>0</v>
      </c>
      <c r="P61">
        <f>SUMIF(C58:I58,L61,C62:I62)</f>
        <v>0</v>
      </c>
      <c r="Q61">
        <f>SUMIF(C58:I58,L61,C63:I63)</f>
        <v>0</v>
      </c>
      <c r="R61">
        <f>SUMIF(C58:I58,L61,C64:I64)</f>
        <v>0</v>
      </c>
      <c r="S61">
        <f>SUMIF(C58:I58,L61,C65:I65)</f>
        <v>0</v>
      </c>
      <c r="T61">
        <f>SUMIF(C58:I58,L61,C66:I66)</f>
        <v>0</v>
      </c>
      <c r="U61">
        <f>SUMIF(C58:I58,L61,C67:I67)</f>
        <v>0</v>
      </c>
    </row>
    <row r="62" spans="1:21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>
        <v>0</v>
      </c>
      <c r="F62" s="18">
        <v>0</v>
      </c>
      <c r="G62" s="22">
        <v>0</v>
      </c>
      <c r="H62" s="22">
        <v>0</v>
      </c>
      <c r="I62" s="18">
        <v>0</v>
      </c>
      <c r="L62" t="s">
        <v>27</v>
      </c>
      <c r="M62">
        <f>SUMIF(C58:I58,L62,C59:I59)</f>
        <v>0</v>
      </c>
      <c r="N62">
        <f>SUMIF(C58:I58,L62,C60:I60)</f>
        <v>0</v>
      </c>
      <c r="O62">
        <f>SUMIF(C58:I58,L62,C61:I61)</f>
        <v>0</v>
      </c>
      <c r="P62">
        <f>SUMIF(C58:I58,L62,C62:I62)</f>
        <v>0</v>
      </c>
      <c r="Q62">
        <f>SUMIF(C58:I58,L62,C63:I63)</f>
        <v>0</v>
      </c>
      <c r="R62">
        <f>SUMIF(C58:I58,L62,C64:I64)</f>
        <v>0</v>
      </c>
      <c r="S62">
        <f>SUMIF(C58:I58,L62,C65:I65)</f>
        <v>0</v>
      </c>
      <c r="T62">
        <f>SUMIF(C58:I58,L62,C66:I66)</f>
        <v>0</v>
      </c>
      <c r="U62">
        <f>SUMIF(C58:I58,L62,C67:I67)</f>
        <v>0</v>
      </c>
    </row>
    <row r="63" spans="1:21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>
        <v>0</v>
      </c>
      <c r="F63" s="18">
        <v>0</v>
      </c>
      <c r="G63" s="22">
        <v>0</v>
      </c>
      <c r="H63" s="22">
        <v>0</v>
      </c>
      <c r="I63" s="18">
        <v>0</v>
      </c>
      <c r="L63" t="s">
        <v>321</v>
      </c>
      <c r="M63">
        <f>SUMIF(C58:I58,L63,C59:I59)</f>
        <v>0</v>
      </c>
      <c r="N63">
        <f>SUMIF(C58:I58,L63,C60:I60)</f>
        <v>0</v>
      </c>
      <c r="O63">
        <f>SUMIF(C58:I58,L63,C61:I61)</f>
        <v>0</v>
      </c>
      <c r="P63">
        <f>SUMIF(C58:I58,L63,C62:I62)</f>
        <v>0</v>
      </c>
      <c r="Q63">
        <f>SUMIF(C58:I58,L63,C63:I63)</f>
        <v>0</v>
      </c>
      <c r="R63">
        <f>SUMIF(C58:I58,L63,C64:I64)</f>
        <v>0</v>
      </c>
      <c r="S63">
        <f>SUMIF(C58:I58,L63,C65:I65)</f>
        <v>0</v>
      </c>
      <c r="T63">
        <f>SUMIF(C58:I58,L63,C66:I66)</f>
        <v>0</v>
      </c>
      <c r="U63">
        <f>SUMIF(C58:I58,L63,C67:I67)</f>
        <v>0</v>
      </c>
    </row>
    <row r="64" spans="1:21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>
        <v>0</v>
      </c>
      <c r="F64" s="18">
        <v>0</v>
      </c>
      <c r="G64" s="22">
        <v>0</v>
      </c>
      <c r="H64" s="22">
        <v>0</v>
      </c>
      <c r="I64" s="18">
        <v>0</v>
      </c>
      <c r="K64" s="43"/>
      <c r="L64" s="43" t="s">
        <v>418</v>
      </c>
    </row>
    <row r="65" spans="1:15" x14ac:dyDescent="0.55000000000000004">
      <c r="A65" s="15" t="s">
        <v>24</v>
      </c>
      <c r="B65" s="23">
        <v>0</v>
      </c>
      <c r="C65" s="23">
        <v>0</v>
      </c>
      <c r="D65" s="23">
        <v>0</v>
      </c>
      <c r="E65" s="16">
        <v>0</v>
      </c>
      <c r="F65" s="16">
        <v>0</v>
      </c>
      <c r="G65" s="23">
        <v>0</v>
      </c>
      <c r="H65" s="23">
        <v>0</v>
      </c>
      <c r="I65" s="16">
        <v>0</v>
      </c>
      <c r="L65" s="42"/>
      <c r="M65" s="42" t="s">
        <v>0</v>
      </c>
      <c r="N65" s="42" t="s">
        <v>53</v>
      </c>
      <c r="O65" s="42" t="s">
        <v>54</v>
      </c>
    </row>
    <row r="66" spans="1:15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>
        <v>0</v>
      </c>
      <c r="F66" s="16">
        <v>0</v>
      </c>
      <c r="G66" s="23">
        <v>0</v>
      </c>
      <c r="H66" s="23">
        <v>0</v>
      </c>
      <c r="I66" s="16">
        <v>0</v>
      </c>
      <c r="L66" s="1" t="s">
        <v>29</v>
      </c>
      <c r="M66" s="1">
        <f>(SUMIF(C57:J57,"ダイクス",C58:J58))+(SUMIF(C57:J57,"ダイクス",C61:J61))+(SUMIF(C57:J57,"ダイクス",C64:J64))</f>
        <v>0</v>
      </c>
      <c r="N66" s="1">
        <f>(SUMIF(C57:J57,"ダイクス",C59:J59))+(SUMIF(C57:J57,"ダイクス",C62:J62))+(SUMIF(C57:J57,"ダイクス",C65:J65))</f>
        <v>0</v>
      </c>
      <c r="O66" s="1">
        <f>(SUMIF(C57:J57,"ダイクス",C60:J60))+(SUMIF(C57:J57,"ダイクス",C63:J63))+(SUMIF(C57:J57,"ダイクス",C66:J66))</f>
        <v>0</v>
      </c>
    </row>
    <row r="67" spans="1:15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>
        <v>0</v>
      </c>
      <c r="F67" s="16">
        <v>0</v>
      </c>
      <c r="G67" s="23">
        <v>0</v>
      </c>
      <c r="H67" s="23">
        <v>0</v>
      </c>
      <c r="I67" s="16">
        <v>0</v>
      </c>
      <c r="L67" s="1" t="s">
        <v>28</v>
      </c>
      <c r="M67" s="1">
        <f>(SUMIF(C57:J57,"中野",C58:J58))+(SUMIF(C57:J57,"中野",C61:J61))+(SUMIF(C57:J57,"中野",C64:IH64))</f>
        <v>0</v>
      </c>
      <c r="N67" s="1">
        <f>(SUMIF(C57:J57,"中野",C59:J59))+(SUMIF(C57:J57,"中野",C62:J62))+(SUMIF(C57:J57,"中野",C65:J65))</f>
        <v>0</v>
      </c>
      <c r="O67" s="1">
        <f>(SUMIF(C57:J57,"中野",C60:J60))+(SUMIF(C57:J57,"中野",C63:J63))+(SUMIF(C57:J57,"中野",C66:J66))</f>
        <v>0</v>
      </c>
    </row>
    <row r="68" spans="1:15" x14ac:dyDescent="0.55000000000000004">
      <c r="A68" s="24" t="s">
        <v>31</v>
      </c>
      <c r="B68" s="27">
        <f t="shared" ref="B68:D68" si="20">SUM(B59:B61)</f>
        <v>0</v>
      </c>
      <c r="C68" s="27">
        <f t="shared" si="20"/>
        <v>0</v>
      </c>
      <c r="D68" s="27">
        <f t="shared" si="20"/>
        <v>0</v>
      </c>
      <c r="E68" s="27">
        <f t="shared" ref="E68:I68" si="21">SUM(E59:E61)</f>
        <v>0</v>
      </c>
      <c r="F68" s="27">
        <f t="shared" si="21"/>
        <v>0</v>
      </c>
      <c r="G68" s="27">
        <f t="shared" si="21"/>
        <v>0</v>
      </c>
      <c r="H68" s="27">
        <f t="shared" si="21"/>
        <v>0</v>
      </c>
      <c r="I68" s="27">
        <f t="shared" si="21"/>
        <v>0</v>
      </c>
      <c r="L68" s="1" t="s">
        <v>64</v>
      </c>
      <c r="M68" s="1">
        <f>(SUMIF(C57:J57,"渡邊",C58:J58))+(SUMIF(C57:J57,"渡邊",C61:J61))+(SUMIF(C57:J57,"渡邊",C64:J64))</f>
        <v>0</v>
      </c>
      <c r="N68" s="1">
        <f>(SUMIF(C57:J57,"渡邊",C59:J59))+(SUMIF(C57:J57,"渡邊",C62:J62))+(SUMIF(C57:J57,"渡邊",C65:J65))</f>
        <v>0</v>
      </c>
      <c r="O68" s="1">
        <f>(SUMIF(C57:J57,"渡邊",C60:J60))+(SUMIF(C57:J57,"渡邊",C63:J63))+(SUMIF(C57:J57,"渡邊",C66:J66))</f>
        <v>0</v>
      </c>
    </row>
    <row r="69" spans="1:15" x14ac:dyDescent="0.55000000000000004">
      <c r="A69" s="17" t="s">
        <v>32</v>
      </c>
      <c r="B69" s="20">
        <f t="shared" ref="B69:D69" si="22">SUM(B62:B64)</f>
        <v>0</v>
      </c>
      <c r="C69" s="20">
        <f t="shared" si="22"/>
        <v>0</v>
      </c>
      <c r="D69" s="20">
        <f t="shared" si="22"/>
        <v>0</v>
      </c>
      <c r="E69" s="20">
        <f t="shared" ref="E69:I69" si="23">SUM(E62:E64)</f>
        <v>0</v>
      </c>
      <c r="F69" s="20">
        <f t="shared" si="23"/>
        <v>0</v>
      </c>
      <c r="G69" s="20">
        <f t="shared" si="23"/>
        <v>0</v>
      </c>
      <c r="H69" s="20">
        <f t="shared" si="23"/>
        <v>0</v>
      </c>
      <c r="I69" s="20">
        <f t="shared" si="23"/>
        <v>0</v>
      </c>
      <c r="L69" s="1" t="s">
        <v>27</v>
      </c>
      <c r="M69" s="1">
        <f>(SUMIF(C57:J57,"木村",C58:J58))+(SUMIF(C57:J57,"木村",C61:J61))+(SUMIF(C58:J58,"木村",C64:J64))</f>
        <v>0</v>
      </c>
      <c r="N69" s="1">
        <f>(SUMIF(C57:J57,"渡邊",C59:J59))+(SUMIF(C57:J57,"渡邊",C62:J62))+(SUMIF(C57:J57,"渡邊",C65:J65))</f>
        <v>0</v>
      </c>
      <c r="O69" s="1">
        <f>(SUMIF(C57:J57,"木村",C60:J60))+(SUMIF(C57:J57,"渡邊",C63:J63))+(SUMIF(C57:J57,"渡邊",C66:J66))</f>
        <v>0</v>
      </c>
    </row>
    <row r="70" spans="1:15" x14ac:dyDescent="0.55000000000000004">
      <c r="A70" s="15" t="s">
        <v>33</v>
      </c>
      <c r="B70" s="21">
        <f t="shared" ref="B70:I70" si="24">SUM(B65:B67)</f>
        <v>0</v>
      </c>
      <c r="C70" s="21">
        <f t="shared" si="24"/>
        <v>0</v>
      </c>
      <c r="D70" s="21">
        <f t="shared" si="24"/>
        <v>0</v>
      </c>
      <c r="E70" s="21">
        <f t="shared" si="24"/>
        <v>0</v>
      </c>
      <c r="F70" s="21">
        <f t="shared" si="24"/>
        <v>0</v>
      </c>
      <c r="G70" s="21">
        <f t="shared" si="24"/>
        <v>0</v>
      </c>
      <c r="H70" s="21">
        <f t="shared" si="24"/>
        <v>0</v>
      </c>
      <c r="I70" s="21">
        <f t="shared" si="24"/>
        <v>0</v>
      </c>
      <c r="L70" s="1" t="s">
        <v>321</v>
      </c>
      <c r="M70" s="1">
        <f>(SUMIF(C58:J58,"木村",C59:J59))+(SUMIF(C58:J58,"木村",C62:J62))+(SUMIF(C59:J59,"木村",C65:J65))</f>
        <v>0</v>
      </c>
      <c r="N70" s="1">
        <f>(SUMIF(C58:J58,"渡邊",C60:J60))+(SUMIF(C58:J58,"渡邊",C63:J63))+(SUMIF(C58:J58,"渡邊",C66:J66))</f>
        <v>0</v>
      </c>
      <c r="O70" s="1">
        <f>(SUMIF(C58:J58,"木村",C61:J61))+(SUMIF(C58:J58,"渡邊",C64:J64))+(SUMIF(C58:J58,"渡邊",C67:J67))</f>
        <v>0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D01D0-378A-4B21-B6D8-5E8A1032CF5E}">
  <sheetPr codeName="Sheet13"/>
  <dimension ref="A1:Z73"/>
  <sheetViews>
    <sheetView topLeftCell="A60" workbookViewId="0">
      <selection activeCell="B68" sqref="B68:B70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13" width="12.1640625" customWidth="1"/>
    <col min="18" max="18" width="18.4140625" customWidth="1"/>
    <col min="19" max="19" width="17.5" customWidth="1"/>
    <col min="20" max="20" width="26.08203125" bestFit="1" customWidth="1"/>
    <col min="21" max="21" width="19.5" customWidth="1"/>
    <col min="22" max="22" width="14.83203125" customWidth="1"/>
    <col min="23" max="23" width="14.4140625" customWidth="1"/>
    <col min="24" max="24" width="18.25" bestFit="1" customWidth="1"/>
    <col min="25" max="25" width="18.1640625" bestFit="1" customWidth="1"/>
    <col min="26" max="26" width="26.08203125" bestFit="1" customWidth="1"/>
    <col min="27" max="27" width="12.33203125" bestFit="1" customWidth="1"/>
    <col min="28" max="28" width="12.25" bestFit="1" customWidth="1"/>
  </cols>
  <sheetData>
    <row r="1" spans="1:26" x14ac:dyDescent="0.55000000000000004">
      <c r="A1" s="12" t="s">
        <v>95</v>
      </c>
      <c r="B1" s="8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26" x14ac:dyDescent="0.55000000000000004">
      <c r="A2" s="5"/>
      <c r="B2" s="8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26" x14ac:dyDescent="0.55000000000000004">
      <c r="A3" s="1" t="s">
        <v>23</v>
      </c>
      <c r="B3" s="50" t="s">
        <v>97</v>
      </c>
      <c r="C3" s="50" t="s">
        <v>97</v>
      </c>
      <c r="D3" s="50" t="s">
        <v>97</v>
      </c>
      <c r="E3" s="50" t="s">
        <v>97</v>
      </c>
      <c r="F3" s="50" t="s">
        <v>97</v>
      </c>
      <c r="G3" s="50" t="s">
        <v>97</v>
      </c>
      <c r="H3" s="50" t="s">
        <v>97</v>
      </c>
      <c r="I3" s="50" t="s">
        <v>97</v>
      </c>
      <c r="J3" s="50" t="s">
        <v>97</v>
      </c>
      <c r="K3" s="50" t="s">
        <v>97</v>
      </c>
      <c r="L3" s="50" t="s">
        <v>97</v>
      </c>
      <c r="M3" s="50" t="s">
        <v>97</v>
      </c>
    </row>
    <row r="4" spans="1:26" x14ac:dyDescent="0.55000000000000004">
      <c r="A4" s="1" t="s">
        <v>34</v>
      </c>
      <c r="B4" s="2" t="s">
        <v>29</v>
      </c>
      <c r="C4" s="2" t="s">
        <v>27</v>
      </c>
      <c r="D4" s="2" t="s">
        <v>28</v>
      </c>
      <c r="E4" s="2" t="s">
        <v>29</v>
      </c>
      <c r="F4" s="2" t="s">
        <v>27</v>
      </c>
      <c r="G4" s="2" t="s">
        <v>28</v>
      </c>
      <c r="H4" s="2" t="s">
        <v>36</v>
      </c>
      <c r="I4" s="2" t="s">
        <v>29</v>
      </c>
      <c r="J4" s="2" t="s">
        <v>27</v>
      </c>
      <c r="K4" s="2" t="s">
        <v>27</v>
      </c>
      <c r="L4" s="2" t="s">
        <v>28</v>
      </c>
      <c r="M4" s="2" t="s">
        <v>27</v>
      </c>
      <c r="Q4" t="s">
        <v>13</v>
      </c>
      <c r="R4" t="s">
        <v>55</v>
      </c>
      <c r="S4" t="s">
        <v>56</v>
      </c>
      <c r="T4" t="s">
        <v>57</v>
      </c>
      <c r="U4" t="s">
        <v>58</v>
      </c>
      <c r="V4" t="s">
        <v>59</v>
      </c>
      <c r="W4" t="s">
        <v>60</v>
      </c>
      <c r="X4" t="s">
        <v>61</v>
      </c>
      <c r="Y4" t="s">
        <v>62</v>
      </c>
      <c r="Z4" t="s">
        <v>63</v>
      </c>
    </row>
    <row r="5" spans="1:26" x14ac:dyDescent="0.55000000000000004">
      <c r="A5" s="24" t="s">
        <v>17</v>
      </c>
      <c r="B5" s="25">
        <v>0</v>
      </c>
      <c r="C5" s="25">
        <v>0</v>
      </c>
      <c r="D5" s="25">
        <v>0</v>
      </c>
      <c r="E5" s="25">
        <v>1</v>
      </c>
      <c r="F5" s="26">
        <v>0</v>
      </c>
      <c r="G5" s="26">
        <v>0</v>
      </c>
      <c r="H5" s="25">
        <v>3</v>
      </c>
      <c r="I5" s="25">
        <v>0</v>
      </c>
      <c r="J5" s="25">
        <v>0</v>
      </c>
      <c r="K5" s="25">
        <v>0</v>
      </c>
      <c r="L5" s="26">
        <v>0</v>
      </c>
      <c r="M5" s="26">
        <v>0</v>
      </c>
      <c r="Q5" t="s">
        <v>27</v>
      </c>
      <c r="R5">
        <f>SUMIF(B4:M4,Q5,B5:M5)</f>
        <v>0</v>
      </c>
      <c r="S5">
        <f>SUMIF(B4:M4,Q5,B6:M6)</f>
        <v>0</v>
      </c>
      <c r="T5">
        <f>SUMIF(B4:M4,Q5,B7:M7)</f>
        <v>0</v>
      </c>
      <c r="U5">
        <f>SUMIF(B4:M4,Q5,B8:M8)</f>
        <v>0</v>
      </c>
      <c r="V5">
        <f>SUMIF(B4:M4,Q5,B9:M9)</f>
        <v>0</v>
      </c>
      <c r="W5">
        <f>SUMIF(B4:M4,Q5,B10:M10)</f>
        <v>0</v>
      </c>
      <c r="X5">
        <f>SUMIF(B4:M4,Q5,B11:M11)</f>
        <v>0</v>
      </c>
      <c r="Y5">
        <f>SUMIF(B4:M4,Q5,B12:M12)</f>
        <v>0</v>
      </c>
      <c r="Z5">
        <f>SUMIF(B4:M4,Q5,B13:M13)</f>
        <v>0</v>
      </c>
    </row>
    <row r="6" spans="1:26" x14ac:dyDescent="0.55000000000000004">
      <c r="A6" s="24" t="s">
        <v>18</v>
      </c>
      <c r="B6" s="25">
        <v>0</v>
      </c>
      <c r="C6" s="25">
        <v>0</v>
      </c>
      <c r="D6" s="25">
        <v>0</v>
      </c>
      <c r="E6" s="25">
        <v>0</v>
      </c>
      <c r="F6" s="26">
        <v>0</v>
      </c>
      <c r="G6" s="26">
        <v>0</v>
      </c>
      <c r="H6" s="25">
        <v>0</v>
      </c>
      <c r="I6" s="25">
        <v>0</v>
      </c>
      <c r="J6" s="25">
        <v>0</v>
      </c>
      <c r="K6" s="25">
        <v>0</v>
      </c>
      <c r="L6" s="26">
        <v>0</v>
      </c>
      <c r="M6" s="26">
        <v>0</v>
      </c>
      <c r="Q6" t="s">
        <v>29</v>
      </c>
      <c r="R6">
        <f>SUMIF(B4:M4,Q6,B5:M5)</f>
        <v>1</v>
      </c>
      <c r="S6">
        <f>SUMIF(B4:M4,Q6,B6:M6)</f>
        <v>0</v>
      </c>
      <c r="T6">
        <f>SUMIF(B4:M4,Q6,B7:M7)</f>
        <v>0</v>
      </c>
      <c r="U6">
        <f>SUMIF(B4:M4,Q6,B8:M8)</f>
        <v>0</v>
      </c>
      <c r="V6">
        <f>SUMIF(B4:M4,Q6,B9:M9)</f>
        <v>0</v>
      </c>
      <c r="W6">
        <f>SUMIF(B4:M4,Q6,B10:M10)</f>
        <v>0</v>
      </c>
      <c r="X6">
        <f>SUMIF(B4:M4,Q6,B11:M11)</f>
        <v>0</v>
      </c>
      <c r="Y6">
        <f>SUMIF(B4:M4,Q6,B12:M12)</f>
        <v>0</v>
      </c>
      <c r="Z6">
        <f>SUMIF(B4:M4,Q6,B13:M13)</f>
        <v>0</v>
      </c>
    </row>
    <row r="7" spans="1:26" x14ac:dyDescent="0.55000000000000004">
      <c r="A7" s="24" t="s">
        <v>19</v>
      </c>
      <c r="B7" s="25">
        <v>0</v>
      </c>
      <c r="C7" s="25">
        <v>0</v>
      </c>
      <c r="D7" s="25">
        <v>0</v>
      </c>
      <c r="E7" s="25">
        <v>0</v>
      </c>
      <c r="F7" s="26">
        <v>0</v>
      </c>
      <c r="G7" s="26">
        <v>0</v>
      </c>
      <c r="H7" s="25">
        <v>0</v>
      </c>
      <c r="I7" s="25">
        <v>0</v>
      </c>
      <c r="J7" s="25">
        <v>0</v>
      </c>
      <c r="K7" s="25">
        <v>0</v>
      </c>
      <c r="L7" s="26">
        <v>0</v>
      </c>
      <c r="M7" s="26">
        <v>0</v>
      </c>
      <c r="Q7" t="s">
        <v>28</v>
      </c>
      <c r="R7">
        <f>SUMIF(B4:M4,Q7,B5:M5)</f>
        <v>0</v>
      </c>
      <c r="S7">
        <f>SUMIF(B4:M4,Q7,B6:M6)</f>
        <v>0</v>
      </c>
      <c r="T7">
        <f>SUMIF(B4:M4,Q7,B7:M7)</f>
        <v>0</v>
      </c>
      <c r="U7">
        <f>SUMIF(B4:M4,Q7,B8:M8)</f>
        <v>6</v>
      </c>
      <c r="V7">
        <f>SUMIF(B4:M4,Q7,B9:M9)</f>
        <v>0</v>
      </c>
      <c r="W7">
        <f>SUMIF(B4:M4,Q7,B10:M10)</f>
        <v>0</v>
      </c>
      <c r="X7">
        <f>SUMIF(B4:M4,Q7,B11:M11)</f>
        <v>4</v>
      </c>
      <c r="Y7">
        <f>SUMIF(B4:M4,Q7,B12:M12)</f>
        <v>1</v>
      </c>
      <c r="Z7">
        <f>SUMIF(B4:M4,Q7,B13:M13)</f>
        <v>2</v>
      </c>
    </row>
    <row r="8" spans="1:26" x14ac:dyDescent="0.55000000000000004">
      <c r="A8" s="17" t="s">
        <v>20</v>
      </c>
      <c r="B8" s="18">
        <v>0</v>
      </c>
      <c r="C8" s="18">
        <v>0</v>
      </c>
      <c r="D8" s="18">
        <v>0</v>
      </c>
      <c r="E8" s="18">
        <v>0</v>
      </c>
      <c r="F8" s="22">
        <v>0</v>
      </c>
      <c r="G8" s="22">
        <v>0</v>
      </c>
      <c r="H8" s="18">
        <v>0</v>
      </c>
      <c r="I8" s="18">
        <v>0</v>
      </c>
      <c r="J8" s="18">
        <v>0</v>
      </c>
      <c r="K8" s="18">
        <v>0</v>
      </c>
      <c r="L8" s="22">
        <v>6</v>
      </c>
      <c r="M8" s="22">
        <v>0</v>
      </c>
      <c r="Q8" t="s">
        <v>36</v>
      </c>
      <c r="R8">
        <f>SUMIF(B4:M4,Q8,B5:M5)</f>
        <v>3</v>
      </c>
      <c r="S8">
        <f>SUMIF(B4:M4,Q8,B6:M6)</f>
        <v>0</v>
      </c>
      <c r="T8">
        <f>SUMIF(B4:M4,Q8,B7:M7)</f>
        <v>0</v>
      </c>
      <c r="U8">
        <f>SUMIF(B4:M4,Q8,B8:M8)</f>
        <v>0</v>
      </c>
      <c r="V8">
        <f>SUMIF(B4:M4,Q8,B9:M9)</f>
        <v>0</v>
      </c>
      <c r="W8">
        <f>SUMIF(B4:M4,Q8,B10:M10)</f>
        <v>0</v>
      </c>
      <c r="X8">
        <f>SUMIF(B4:M4,Q8,B11:M11)</f>
        <v>0</v>
      </c>
      <c r="Y8">
        <f>SUMIF(B4:M4,Q8,B12:M12)</f>
        <v>0</v>
      </c>
      <c r="Z8">
        <f>SUMIF(B4:M4,Q8,B13:M13)</f>
        <v>0</v>
      </c>
    </row>
    <row r="9" spans="1:26" x14ac:dyDescent="0.55000000000000004">
      <c r="A9" s="17" t="s">
        <v>21</v>
      </c>
      <c r="B9" s="18">
        <v>0</v>
      </c>
      <c r="C9" s="18">
        <v>0</v>
      </c>
      <c r="D9" s="18">
        <v>0</v>
      </c>
      <c r="E9" s="18">
        <v>0</v>
      </c>
      <c r="F9" s="22">
        <v>0</v>
      </c>
      <c r="G9" s="22">
        <v>0</v>
      </c>
      <c r="H9" s="18">
        <v>0</v>
      </c>
      <c r="I9" s="18">
        <v>0</v>
      </c>
      <c r="J9" s="18">
        <v>0</v>
      </c>
      <c r="K9" s="18">
        <v>0</v>
      </c>
      <c r="L9" s="22">
        <v>0</v>
      </c>
      <c r="M9" s="22">
        <v>0</v>
      </c>
    </row>
    <row r="10" spans="1:26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8">
        <v>0</v>
      </c>
      <c r="F10" s="22">
        <v>0</v>
      </c>
      <c r="G10" s="22">
        <v>0</v>
      </c>
      <c r="H10" s="18">
        <v>0</v>
      </c>
      <c r="I10" s="18">
        <v>0</v>
      </c>
      <c r="J10" s="18">
        <v>0</v>
      </c>
      <c r="K10" s="18">
        <v>0</v>
      </c>
      <c r="L10" s="22">
        <v>0</v>
      </c>
      <c r="M10" s="22">
        <v>0</v>
      </c>
      <c r="Q10" s="43" t="s">
        <v>78</v>
      </c>
    </row>
    <row r="11" spans="1:26" x14ac:dyDescent="0.55000000000000004">
      <c r="A11" s="15" t="s">
        <v>24</v>
      </c>
      <c r="B11" s="16">
        <v>0</v>
      </c>
      <c r="C11" s="16">
        <v>0</v>
      </c>
      <c r="D11" s="16">
        <v>3</v>
      </c>
      <c r="E11" s="16">
        <v>0</v>
      </c>
      <c r="F11" s="23">
        <v>0</v>
      </c>
      <c r="G11" s="23">
        <v>1</v>
      </c>
      <c r="H11" s="16">
        <v>0</v>
      </c>
      <c r="I11" s="16">
        <v>0</v>
      </c>
      <c r="J11" s="16">
        <v>0</v>
      </c>
      <c r="K11" s="16">
        <v>0</v>
      </c>
      <c r="L11" s="23">
        <v>0</v>
      </c>
      <c r="M11" s="23">
        <v>0</v>
      </c>
      <c r="Q11" s="42"/>
      <c r="R11" s="42" t="s">
        <v>0</v>
      </c>
      <c r="S11" s="42" t="s">
        <v>53</v>
      </c>
      <c r="T11" s="42" t="s">
        <v>54</v>
      </c>
    </row>
    <row r="12" spans="1:26" x14ac:dyDescent="0.55000000000000004">
      <c r="A12" s="15" t="s">
        <v>25</v>
      </c>
      <c r="B12" s="16">
        <v>0</v>
      </c>
      <c r="C12" s="16">
        <v>0</v>
      </c>
      <c r="D12" s="16">
        <v>1</v>
      </c>
      <c r="E12" s="16">
        <v>0</v>
      </c>
      <c r="F12" s="23">
        <v>0</v>
      </c>
      <c r="G12" s="23">
        <v>0</v>
      </c>
      <c r="H12" s="16">
        <v>0</v>
      </c>
      <c r="I12" s="16">
        <v>0</v>
      </c>
      <c r="J12" s="16">
        <v>0</v>
      </c>
      <c r="K12" s="16">
        <v>0</v>
      </c>
      <c r="L12" s="23">
        <v>0</v>
      </c>
      <c r="M12" s="23">
        <v>0</v>
      </c>
      <c r="Q12" s="1" t="s">
        <v>27</v>
      </c>
      <c r="R12" s="1">
        <f>(SUMIF(B4:M4,Q12,B5:M5))+(SUMIF(B4:M4,Q12,B8:M8))+(SUMIF(B4:M4,Q12,B11:M11))</f>
        <v>0</v>
      </c>
      <c r="S12" s="1">
        <f>(SUMIF(B4:M4,Q12,B6:M6))+(SUMIF(B4:G4,Q12,B9:G9))+(SUMIF(B4:G4,Q12,B12:G12))</f>
        <v>0</v>
      </c>
      <c r="T12" s="1">
        <f>(SUMIF(B4:G4,Q12,B7:G7))+(SUMIF(B4:G4,Q12,B10:G10))+(SUMIF(B4:G4,Q12,B13:G13))</f>
        <v>0</v>
      </c>
    </row>
    <row r="13" spans="1:26" x14ac:dyDescent="0.55000000000000004">
      <c r="A13" s="15" t="s">
        <v>26</v>
      </c>
      <c r="B13" s="16">
        <v>0</v>
      </c>
      <c r="C13" s="16">
        <v>0</v>
      </c>
      <c r="D13" s="16">
        <v>2</v>
      </c>
      <c r="E13" s="16">
        <v>0</v>
      </c>
      <c r="F13" s="23">
        <v>0</v>
      </c>
      <c r="G13" s="23">
        <v>0</v>
      </c>
      <c r="H13" s="16">
        <v>0</v>
      </c>
      <c r="I13" s="16">
        <v>0</v>
      </c>
      <c r="J13" s="16">
        <v>0</v>
      </c>
      <c r="K13" s="16">
        <v>0</v>
      </c>
      <c r="L13" s="23">
        <v>0</v>
      </c>
      <c r="M13" s="23">
        <v>0</v>
      </c>
      <c r="Q13" s="1" t="s">
        <v>29</v>
      </c>
      <c r="R13" s="1">
        <f>(SUMIF(B4:M4,Q13,B5:M5))+(SUMIF(B4:M4,Q13,B8:M8))+(SUMIF(B4:G4,Q13,B11:M11))</f>
        <v>1</v>
      </c>
      <c r="S13" s="1">
        <f>(SUMIF(B4:M4,Q13,B6:M6))+(SUMIF(B4:G4,Q13,B9:M9))+(SUMIF(B4:G4,Q13,B12:M12))</f>
        <v>0</v>
      </c>
      <c r="T13" s="1">
        <f>(SUMIF(B4:G4,Q12,B7:G7))+(SUMIF(B4:G4,Q12,B10:G10))+(SUMIF(B4:G4,Q12,B13:G13))</f>
        <v>0</v>
      </c>
    </row>
    <row r="14" spans="1:26" x14ac:dyDescent="0.55000000000000004">
      <c r="A14" s="24" t="s">
        <v>31</v>
      </c>
      <c r="B14" s="27">
        <f t="shared" ref="B14:G14" si="0">SUM(B5:B7)</f>
        <v>0</v>
      </c>
      <c r="C14" s="27">
        <f t="shared" si="0"/>
        <v>0</v>
      </c>
      <c r="D14" s="27">
        <f t="shared" si="0"/>
        <v>0</v>
      </c>
      <c r="E14" s="27">
        <f t="shared" si="0"/>
        <v>1</v>
      </c>
      <c r="F14" s="27">
        <f t="shared" si="0"/>
        <v>0</v>
      </c>
      <c r="G14" s="27">
        <f t="shared" si="0"/>
        <v>0</v>
      </c>
      <c r="H14" s="27">
        <f t="shared" ref="H14:M14" si="1">SUM(H5:H7)</f>
        <v>3</v>
      </c>
      <c r="I14" s="27">
        <f t="shared" si="1"/>
        <v>0</v>
      </c>
      <c r="J14" s="27">
        <f t="shared" si="1"/>
        <v>0</v>
      </c>
      <c r="K14" s="27">
        <f t="shared" si="1"/>
        <v>0</v>
      </c>
      <c r="L14" s="27">
        <f t="shared" si="1"/>
        <v>0</v>
      </c>
      <c r="M14" s="27">
        <f t="shared" si="1"/>
        <v>0</v>
      </c>
      <c r="Q14" s="1" t="s">
        <v>28</v>
      </c>
      <c r="R14" s="1">
        <f>(SUMIF(B4:M4,Q14,B5:M5))+(SUMIF(B4:M4,Q14,B8:M8))+(SUMIF(B4:M4,Q14,B11:M11))</f>
        <v>10</v>
      </c>
      <c r="S14" s="1">
        <f>(SUMIF(B4:M4,Q14,B6:M6))+(SUMIF(B4:M4,Q14,B9:M9))+(SUMIF(B4:M4,Q14,B12:M12))</f>
        <v>1</v>
      </c>
      <c r="T14" s="1">
        <f>(SUMIF(B4:M4,Q14,B7:M7))+(SUMIF(B4:M4,Q14,B10:M10))+(SUMIF(B4:M4,Q14,B13:M13))</f>
        <v>2</v>
      </c>
    </row>
    <row r="15" spans="1:26" x14ac:dyDescent="0.55000000000000004">
      <c r="A15" s="17" t="s">
        <v>32</v>
      </c>
      <c r="B15" s="20">
        <f t="shared" ref="B15:G15" si="2">SUM(B8:B10)</f>
        <v>0</v>
      </c>
      <c r="C15" s="20">
        <f t="shared" si="2"/>
        <v>0</v>
      </c>
      <c r="D15" s="20">
        <f t="shared" si="2"/>
        <v>0</v>
      </c>
      <c r="E15" s="20">
        <f t="shared" si="2"/>
        <v>0</v>
      </c>
      <c r="F15" s="20">
        <f t="shared" si="2"/>
        <v>0</v>
      </c>
      <c r="G15" s="20">
        <f t="shared" si="2"/>
        <v>0</v>
      </c>
      <c r="H15" s="20">
        <f t="shared" ref="H15:M15" si="3">SUM(H8:H10)</f>
        <v>0</v>
      </c>
      <c r="I15" s="20">
        <f t="shared" si="3"/>
        <v>0</v>
      </c>
      <c r="J15" s="20">
        <f t="shared" si="3"/>
        <v>0</v>
      </c>
      <c r="K15" s="20">
        <f t="shared" si="3"/>
        <v>0</v>
      </c>
      <c r="L15" s="20">
        <f t="shared" si="3"/>
        <v>6</v>
      </c>
      <c r="M15" s="20">
        <f t="shared" si="3"/>
        <v>0</v>
      </c>
      <c r="Q15" s="1" t="s">
        <v>36</v>
      </c>
      <c r="R15" s="1">
        <f>(SUMIF(B4:M4,Q15,B5:M5))+(SUMIF(B4:M4,Q15,B8:M8))+(SUMIF(B4:M4,Q15,B11:M11))</f>
        <v>3</v>
      </c>
      <c r="S15" s="1">
        <f>(SUMIF(B4:M4,Q15,B6:M6))+(SUMIF(B4:M4,Q15,B9:M9))+(SUMIF(B4:M4,Q15,B12:M12))</f>
        <v>0</v>
      </c>
      <c r="T15" s="1">
        <f>(SUMIF(B4:M4,Q15,B7:M7))+(SUMIF(B4:M4,Q15,B10:M10))+(SUMIF(B4:M4,Q15,B13:M13))</f>
        <v>0</v>
      </c>
    </row>
    <row r="16" spans="1:26" x14ac:dyDescent="0.55000000000000004">
      <c r="A16" s="15" t="s">
        <v>33</v>
      </c>
      <c r="B16" s="21">
        <f t="shared" ref="B16:G16" si="4">SUM(B11:B13)</f>
        <v>0</v>
      </c>
      <c r="C16" s="21">
        <f t="shared" si="4"/>
        <v>0</v>
      </c>
      <c r="D16" s="21">
        <f t="shared" si="4"/>
        <v>6</v>
      </c>
      <c r="E16" s="21">
        <f t="shared" si="4"/>
        <v>0</v>
      </c>
      <c r="F16" s="21">
        <f t="shared" si="4"/>
        <v>0</v>
      </c>
      <c r="G16" s="21">
        <f t="shared" si="4"/>
        <v>1</v>
      </c>
      <c r="H16" s="21">
        <f t="shared" ref="H16:M16" si="5">SUM(H11:H13)</f>
        <v>0</v>
      </c>
      <c r="I16" s="21">
        <f t="shared" si="5"/>
        <v>0</v>
      </c>
      <c r="J16" s="21">
        <f t="shared" si="5"/>
        <v>0</v>
      </c>
      <c r="K16" s="21">
        <f t="shared" si="5"/>
        <v>0</v>
      </c>
      <c r="L16" s="21">
        <f t="shared" si="5"/>
        <v>0</v>
      </c>
      <c r="M16" s="21">
        <f t="shared" si="5"/>
        <v>0</v>
      </c>
    </row>
    <row r="17" spans="1:26" x14ac:dyDescent="0.55000000000000004">
      <c r="A17" s="32"/>
      <c r="B17" s="31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</row>
    <row r="18" spans="1:26" x14ac:dyDescent="0.55000000000000004">
      <c r="B18" s="31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</row>
    <row r="21" spans="1:26" x14ac:dyDescent="0.55000000000000004">
      <c r="A21" s="1" t="s">
        <v>23</v>
      </c>
      <c r="B21" s="51" t="s">
        <v>150</v>
      </c>
      <c r="C21" s="51" t="s">
        <v>150</v>
      </c>
      <c r="D21" s="51" t="s">
        <v>150</v>
      </c>
      <c r="E21" s="51" t="s">
        <v>150</v>
      </c>
      <c r="F21" s="51" t="s">
        <v>150</v>
      </c>
      <c r="G21" s="51" t="s">
        <v>150</v>
      </c>
      <c r="H21" s="50" t="s">
        <v>151</v>
      </c>
      <c r="I21" s="50" t="s">
        <v>150</v>
      </c>
      <c r="J21" s="50" t="s">
        <v>150</v>
      </c>
      <c r="K21" s="50" t="s">
        <v>150</v>
      </c>
      <c r="L21" s="50" t="s">
        <v>150</v>
      </c>
      <c r="M21" s="3"/>
    </row>
    <row r="22" spans="1:26" x14ac:dyDescent="0.55000000000000004">
      <c r="A22" s="1" t="s">
        <v>34</v>
      </c>
      <c r="B22" s="2" t="s">
        <v>36</v>
      </c>
      <c r="C22" s="2" t="s">
        <v>27</v>
      </c>
      <c r="D22" s="2" t="s">
        <v>27</v>
      </c>
      <c r="E22" s="2" t="s">
        <v>29</v>
      </c>
      <c r="F22" s="2" t="s">
        <v>36</v>
      </c>
      <c r="G22" s="2" t="s">
        <v>29</v>
      </c>
      <c r="H22" s="2" t="s">
        <v>27</v>
      </c>
      <c r="I22" s="2" t="s">
        <v>36</v>
      </c>
      <c r="J22" s="2" t="s">
        <v>28</v>
      </c>
      <c r="K22" s="2" t="s">
        <v>29</v>
      </c>
      <c r="L22" s="2" t="s">
        <v>27</v>
      </c>
      <c r="M22" s="3"/>
    </row>
    <row r="23" spans="1:26" x14ac:dyDescent="0.55000000000000004">
      <c r="A23" s="24" t="s">
        <v>17</v>
      </c>
      <c r="B23" s="26">
        <v>1</v>
      </c>
      <c r="C23" s="26">
        <v>0</v>
      </c>
      <c r="D23" s="26">
        <v>0</v>
      </c>
      <c r="E23" s="25">
        <v>0</v>
      </c>
      <c r="F23" s="25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52"/>
      <c r="Q23" t="s">
        <v>13</v>
      </c>
      <c r="R23" t="s">
        <v>55</v>
      </c>
      <c r="S23" t="s">
        <v>56</v>
      </c>
      <c r="T23" t="s">
        <v>57</v>
      </c>
      <c r="U23" t="s">
        <v>58</v>
      </c>
      <c r="V23" t="s">
        <v>59</v>
      </c>
      <c r="W23" t="s">
        <v>60</v>
      </c>
      <c r="X23" t="s">
        <v>61</v>
      </c>
      <c r="Y23" t="s">
        <v>62</v>
      </c>
      <c r="Z23" t="s">
        <v>63</v>
      </c>
    </row>
    <row r="24" spans="1:26" x14ac:dyDescent="0.55000000000000004">
      <c r="A24" s="24" t="s">
        <v>18</v>
      </c>
      <c r="B24" s="26">
        <v>0</v>
      </c>
      <c r="C24" s="26">
        <v>0</v>
      </c>
      <c r="D24" s="26">
        <v>0</v>
      </c>
      <c r="E24" s="25">
        <v>0</v>
      </c>
      <c r="F24" s="25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52"/>
      <c r="Q24" t="s">
        <v>29</v>
      </c>
      <c r="R24">
        <f>SUMIF(B22:L22,Q24,B23:L23)</f>
        <v>0</v>
      </c>
      <c r="S24">
        <f>SUMIF(B22:L22,Q24,B24:L24)</f>
        <v>0</v>
      </c>
      <c r="T24">
        <f>SUMIF(B22:L22,Q24,B25:L25)</f>
        <v>0</v>
      </c>
      <c r="U24">
        <f>SUMIF(B22:L22,Q24,B26:L26)</f>
        <v>0</v>
      </c>
      <c r="V24">
        <f>SUMIF(B22:L22,Q24,B27:L27)</f>
        <v>0</v>
      </c>
      <c r="W24">
        <f>SUMIF(B22:L22,Q24,B28:L28)</f>
        <v>0</v>
      </c>
      <c r="X24">
        <f>SUMIF(B22:L22,Q24,B29:L29)</f>
        <v>0</v>
      </c>
      <c r="Y24">
        <f>SUMIF(B22:L22,Q24,B30:L30)</f>
        <v>0</v>
      </c>
      <c r="Z24">
        <f>SUMIF(B22:L22,Q24,B31:L31)</f>
        <v>0</v>
      </c>
    </row>
    <row r="25" spans="1:26" x14ac:dyDescent="0.55000000000000004">
      <c r="A25" s="24" t="s">
        <v>19</v>
      </c>
      <c r="B25" s="26">
        <v>0</v>
      </c>
      <c r="C25" s="26">
        <v>0</v>
      </c>
      <c r="D25" s="26">
        <v>0</v>
      </c>
      <c r="E25" s="25">
        <v>0</v>
      </c>
      <c r="F25" s="25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52"/>
      <c r="Q25" t="s">
        <v>28</v>
      </c>
      <c r="R25">
        <f>SUMIF(B22:L22,Q25,B23:L23)</f>
        <v>0</v>
      </c>
      <c r="S25">
        <f>SUMIF(B22:L22,Q25,B24:L24)</f>
        <v>0</v>
      </c>
      <c r="T25">
        <f>SUMIF(B22:L22,Q25,B25:L25)</f>
        <v>0</v>
      </c>
      <c r="U25">
        <f>SUMIF(B22:L22,Q25,B26:L26)</f>
        <v>1</v>
      </c>
      <c r="V25">
        <f>SUMIF(B22:L22,Q25,B27:L27)</f>
        <v>0</v>
      </c>
      <c r="W25">
        <f>SUMIF(B22:L22,Q25,B28:L28)</f>
        <v>0</v>
      </c>
      <c r="X25">
        <f>SUMIF(B22:L22,Q25,B29:L29)</f>
        <v>0</v>
      </c>
      <c r="Y25">
        <f>SUMIF(B22:L22,Q25,B30:L30)</f>
        <v>0</v>
      </c>
      <c r="Z25">
        <f>SUMIF(B22:L22,Q25,B31:L31)</f>
        <v>0</v>
      </c>
    </row>
    <row r="26" spans="1:26" x14ac:dyDescent="0.55000000000000004">
      <c r="A26" s="17" t="s">
        <v>20</v>
      </c>
      <c r="B26" s="22">
        <v>0</v>
      </c>
      <c r="C26" s="22">
        <v>0</v>
      </c>
      <c r="D26" s="22">
        <v>0</v>
      </c>
      <c r="E26" s="18">
        <v>0</v>
      </c>
      <c r="F26" s="18">
        <v>0</v>
      </c>
      <c r="G26" s="22">
        <v>0</v>
      </c>
      <c r="H26" s="22">
        <v>0</v>
      </c>
      <c r="I26" s="22">
        <v>0</v>
      </c>
      <c r="J26" s="22">
        <v>1</v>
      </c>
      <c r="K26" s="22">
        <v>0</v>
      </c>
      <c r="L26" s="22">
        <v>0</v>
      </c>
      <c r="M26" s="52"/>
      <c r="Q26" t="s">
        <v>27</v>
      </c>
      <c r="R26">
        <f>SUMIF(B22:L22,Q26,B23:L23)</f>
        <v>0</v>
      </c>
      <c r="S26">
        <f>SUMIF(B22:L22,Q26,B24:L24)</f>
        <v>0</v>
      </c>
      <c r="T26">
        <f>SUMIF(B22:L22,Q26,B25:L25)</f>
        <v>0</v>
      </c>
      <c r="U26">
        <f>SUMIF(B22:L22,Q26,B26:L26)</f>
        <v>0</v>
      </c>
      <c r="V26">
        <f>SUMIF(B22:L22,Q26,B27:L27)</f>
        <v>0</v>
      </c>
      <c r="W26">
        <f>SUMIF(B22:L22,Q26,B28:L28)</f>
        <v>0</v>
      </c>
      <c r="X26">
        <f>SUMIF(B22:L22,Q26,B29:L29)</f>
        <v>0</v>
      </c>
      <c r="Y26">
        <f>SUMIF(B22:L22,Q26,B30:L30)</f>
        <v>0</v>
      </c>
      <c r="Z26">
        <f>SUMIF(B22:L22,Q26,B31:L31)</f>
        <v>0</v>
      </c>
    </row>
    <row r="27" spans="1:26" x14ac:dyDescent="0.55000000000000004">
      <c r="A27" s="17" t="s">
        <v>21</v>
      </c>
      <c r="B27" s="22">
        <v>0</v>
      </c>
      <c r="C27" s="22">
        <v>0</v>
      </c>
      <c r="D27" s="22">
        <v>0</v>
      </c>
      <c r="E27" s="18">
        <v>0</v>
      </c>
      <c r="F27" s="18">
        <v>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52"/>
      <c r="Q27" t="s">
        <v>36</v>
      </c>
      <c r="R27">
        <f>SUMIF(B22:L22,Q27,B23:L23)</f>
        <v>1</v>
      </c>
      <c r="S27">
        <f>SUMIF(B22:L22,Q27,B24:L24)</f>
        <v>0</v>
      </c>
      <c r="T27">
        <f>SUMIF(B22:L22,Q27,B24:L24)</f>
        <v>0</v>
      </c>
      <c r="U27">
        <f>SUMIF(B22:L22,Q27,B26:L26)</f>
        <v>0</v>
      </c>
      <c r="V27">
        <f>SUMIF(B22:L22,Q27,B26:L26)</f>
        <v>0</v>
      </c>
      <c r="W27">
        <f>SUMIF(B22:L22,Q27,B26:L26)</f>
        <v>0</v>
      </c>
      <c r="X27">
        <f>SUMIF(B22:L22,Q27,B26:L26)</f>
        <v>0</v>
      </c>
      <c r="Y27">
        <f>SUMIF(B22:L22,Q27,B30:L30)</f>
        <v>0</v>
      </c>
      <c r="Z27">
        <f>SUMIF(B22:L22,Q27,B31:L31)</f>
        <v>0</v>
      </c>
    </row>
    <row r="28" spans="1:26" x14ac:dyDescent="0.55000000000000004">
      <c r="A28" s="17" t="s">
        <v>22</v>
      </c>
      <c r="B28" s="22">
        <v>0</v>
      </c>
      <c r="C28" s="22">
        <v>0</v>
      </c>
      <c r="D28" s="22">
        <v>0</v>
      </c>
      <c r="E28" s="18">
        <v>0</v>
      </c>
      <c r="F28" s="18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52"/>
    </row>
    <row r="29" spans="1:26" x14ac:dyDescent="0.55000000000000004">
      <c r="A29" s="15" t="s">
        <v>24</v>
      </c>
      <c r="B29" s="23">
        <v>0</v>
      </c>
      <c r="C29" s="23">
        <v>0</v>
      </c>
      <c r="D29" s="23">
        <v>0</v>
      </c>
      <c r="E29" s="16">
        <v>0</v>
      </c>
      <c r="F29" s="16">
        <v>0</v>
      </c>
      <c r="G29" s="23">
        <v>0</v>
      </c>
      <c r="H29" s="23">
        <v>0</v>
      </c>
      <c r="I29" s="23">
        <v>0</v>
      </c>
      <c r="J29" s="23">
        <v>0</v>
      </c>
      <c r="K29" s="23">
        <v>0</v>
      </c>
      <c r="L29" s="23">
        <v>0</v>
      </c>
      <c r="M29" s="52"/>
      <c r="Q29" s="43" t="s">
        <v>79</v>
      </c>
    </row>
    <row r="30" spans="1:26" x14ac:dyDescent="0.55000000000000004">
      <c r="A30" s="15" t="s">
        <v>25</v>
      </c>
      <c r="B30" s="23">
        <v>0</v>
      </c>
      <c r="C30" s="23">
        <v>0</v>
      </c>
      <c r="D30" s="23">
        <v>0</v>
      </c>
      <c r="E30" s="16">
        <v>0</v>
      </c>
      <c r="F30" s="16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52"/>
      <c r="Q30" s="42"/>
      <c r="R30" s="42" t="s">
        <v>0</v>
      </c>
      <c r="S30" s="42" t="s">
        <v>53</v>
      </c>
      <c r="T30" s="42" t="s">
        <v>54</v>
      </c>
    </row>
    <row r="31" spans="1:26" x14ac:dyDescent="0.55000000000000004">
      <c r="A31" s="15" t="s">
        <v>26</v>
      </c>
      <c r="B31" s="23">
        <v>0</v>
      </c>
      <c r="C31" s="23">
        <v>0</v>
      </c>
      <c r="D31" s="23">
        <v>0</v>
      </c>
      <c r="E31" s="16">
        <v>0</v>
      </c>
      <c r="F31" s="16">
        <v>0</v>
      </c>
      <c r="G31" s="23">
        <v>0</v>
      </c>
      <c r="H31" s="23">
        <v>0</v>
      </c>
      <c r="I31" s="23">
        <v>0</v>
      </c>
      <c r="J31" s="23">
        <v>0</v>
      </c>
      <c r="K31" s="23">
        <v>0</v>
      </c>
      <c r="L31" s="23">
        <v>0</v>
      </c>
      <c r="M31" s="52"/>
      <c r="Q31" s="1" t="s">
        <v>29</v>
      </c>
      <c r="R31" s="1">
        <f>(SUMIF(B22:L22,Q31,B23:L23))+(SUMIF(B22:L22,Q31,B26:L26))+(SUMIF(B22:L22,Q31,B29:L29))</f>
        <v>0</v>
      </c>
      <c r="S31" s="1">
        <f>(SUMIF(B22:L22,Q31,B24:L24))+(SUMIF(B22:L22,Q31,B27:L27))+(SUMIF(B22:L22,Q31,B30:L30))</f>
        <v>0</v>
      </c>
      <c r="T31" s="1">
        <f>(SUMIF(B22:L22,Q31,B25:L25))+(SUMIF(B22:L22,Q31,B28:L28))+(SUMIF(B22:L22,Q31,B31:L31))</f>
        <v>0</v>
      </c>
    </row>
    <row r="32" spans="1:26" x14ac:dyDescent="0.55000000000000004">
      <c r="A32" s="24" t="s">
        <v>31</v>
      </c>
      <c r="B32" s="27">
        <f t="shared" ref="B32:L32" si="6">SUM(B23:B31)</f>
        <v>1</v>
      </c>
      <c r="C32" s="27">
        <f t="shared" si="6"/>
        <v>0</v>
      </c>
      <c r="D32" s="27">
        <f t="shared" si="6"/>
        <v>0</v>
      </c>
      <c r="E32" s="27">
        <f t="shared" si="6"/>
        <v>0</v>
      </c>
      <c r="F32" s="27">
        <f t="shared" si="6"/>
        <v>0</v>
      </c>
      <c r="G32" s="27">
        <f t="shared" si="6"/>
        <v>0</v>
      </c>
      <c r="H32" s="27">
        <f t="shared" si="6"/>
        <v>0</v>
      </c>
      <c r="I32" s="27">
        <f t="shared" si="6"/>
        <v>0</v>
      </c>
      <c r="J32" s="27">
        <f t="shared" si="6"/>
        <v>1</v>
      </c>
      <c r="K32" s="27">
        <f t="shared" si="6"/>
        <v>0</v>
      </c>
      <c r="L32" s="27">
        <f t="shared" si="6"/>
        <v>0</v>
      </c>
      <c r="M32" s="31"/>
      <c r="Q32" s="1" t="s">
        <v>28</v>
      </c>
      <c r="R32" s="1">
        <f>(SUMIF(B22:L22,Q32,B23:L23))+(SUMIF(B22:L22,Q32,B26:L26))+(SUMIF(B22:L22,Q32,B29:L29))</f>
        <v>1</v>
      </c>
      <c r="S32" s="1">
        <f>(SUMIF(B22:L22,Q32,B24:L24))+(SUMIF(B22:L22,Q32,B27:L27))+(SUMIF(B22:L22,Q32,B30:L30))</f>
        <v>0</v>
      </c>
      <c r="T32" s="1">
        <f>(SUMIF(B22:L22,Q32,B25:L25))+(SUMIF(B22:L22,Q32,B28:L28))+(SUMIF(B22:L22,Q32,B31:L31))</f>
        <v>0</v>
      </c>
    </row>
    <row r="33" spans="1:26" x14ac:dyDescent="0.55000000000000004">
      <c r="A33" s="17" t="s">
        <v>32</v>
      </c>
      <c r="B33" s="20">
        <f t="shared" ref="B33:L33" si="7">SUM(B26:B28)</f>
        <v>0</v>
      </c>
      <c r="C33" s="20">
        <f t="shared" si="7"/>
        <v>0</v>
      </c>
      <c r="D33" s="20">
        <f t="shared" si="7"/>
        <v>0</v>
      </c>
      <c r="E33" s="20">
        <f t="shared" si="7"/>
        <v>0</v>
      </c>
      <c r="F33" s="20">
        <f t="shared" si="7"/>
        <v>0</v>
      </c>
      <c r="G33" s="20">
        <f t="shared" si="7"/>
        <v>0</v>
      </c>
      <c r="H33" s="20">
        <f t="shared" si="7"/>
        <v>0</v>
      </c>
      <c r="I33" s="20">
        <f t="shared" si="7"/>
        <v>0</v>
      </c>
      <c r="J33" s="20">
        <f t="shared" si="7"/>
        <v>1</v>
      </c>
      <c r="K33" s="20">
        <f t="shared" si="7"/>
        <v>0</v>
      </c>
      <c r="L33" s="20">
        <f t="shared" si="7"/>
        <v>0</v>
      </c>
      <c r="M33" s="31"/>
      <c r="Q33" s="39" t="s">
        <v>27</v>
      </c>
      <c r="R33" s="1">
        <f>(SUMIF(B22:L22,Q33,B23:L23))+(SUMIF(B22:L22,Q33,B26:L26))+(SUMIF(B22:L22,Q33,B29:L29))</f>
        <v>0</v>
      </c>
      <c r="S33" s="1">
        <f>(SUMIF(B22:L22,Q33,B24:L24))+(SUMIF(B22:L22,Q33,B27:L27))+(SUMIF(B22:L22,Q33,B30:L30))</f>
        <v>0</v>
      </c>
      <c r="T33" s="1">
        <f>(SUMIF(B22:L22,Q33,B25:L25))+(SUMIF(B22:L22,Q33,B28:L28))+(SUMIF(B22:L22,Q33,B31:L31))</f>
        <v>0</v>
      </c>
    </row>
    <row r="34" spans="1:26" x14ac:dyDescent="0.55000000000000004">
      <c r="A34" s="15" t="s">
        <v>33</v>
      </c>
      <c r="B34" s="21">
        <f t="shared" ref="B34:G34" si="8">SUM(B29:B31)</f>
        <v>0</v>
      </c>
      <c r="C34" s="21">
        <f t="shared" si="8"/>
        <v>0</v>
      </c>
      <c r="D34" s="21">
        <f t="shared" si="8"/>
        <v>0</v>
      </c>
      <c r="E34" s="21">
        <f t="shared" si="8"/>
        <v>0</v>
      </c>
      <c r="F34" s="21">
        <f t="shared" si="8"/>
        <v>0</v>
      </c>
      <c r="G34" s="21">
        <f t="shared" si="8"/>
        <v>0</v>
      </c>
      <c r="H34" s="21">
        <f>SUM(H29:H31)</f>
        <v>0</v>
      </c>
      <c r="I34" s="21">
        <f>SUM(I29:I31)</f>
        <v>0</v>
      </c>
      <c r="J34" s="21">
        <f>SUM(J29:J31)</f>
        <v>0</v>
      </c>
      <c r="K34" s="21">
        <f>SUM(K29:K31)</f>
        <v>0</v>
      </c>
      <c r="L34" s="21">
        <f>SUM(L29:L31)</f>
        <v>0</v>
      </c>
      <c r="M34" s="31"/>
      <c r="Q34" s="1" t="s">
        <v>36</v>
      </c>
      <c r="R34" s="53">
        <f>(SUMIF(B22:L22,Q34,B23:L23))+(SUMIF(B22:L22,Q34,B26:L26))+(SUMIF(B22:L22,Q34,B29:L29))</f>
        <v>1</v>
      </c>
      <c r="S34" s="1">
        <f>(SUMIF(B22:L22,Q34,B24:L24))+(SUMIF(B22:L22,Q34,B27:L27))+(SUMIF(B22:L22,Q34,B30:L30))</f>
        <v>0</v>
      </c>
      <c r="T34" s="1">
        <f>(SUMIF(B22:L22,Q34,B25:L25))+(SUMIF(B22:L22,Q34,B28:L28))+(SUMIF(B22:L22,Q34,B31:L31))</f>
        <v>0</v>
      </c>
    </row>
    <row r="39" spans="1:26" x14ac:dyDescent="0.55000000000000004">
      <c r="A39" s="1" t="s">
        <v>23</v>
      </c>
      <c r="B39" s="50" t="s">
        <v>153</v>
      </c>
      <c r="C39" s="50" t="s">
        <v>153</v>
      </c>
      <c r="D39" s="50" t="s">
        <v>153</v>
      </c>
      <c r="E39" s="50" t="s">
        <v>153</v>
      </c>
      <c r="F39" s="50" t="s">
        <v>153</v>
      </c>
      <c r="G39" s="50" t="s">
        <v>153</v>
      </c>
      <c r="H39" s="50" t="s">
        <v>153</v>
      </c>
      <c r="I39" s="50" t="s">
        <v>153</v>
      </c>
      <c r="J39" s="50" t="s">
        <v>153</v>
      </c>
      <c r="K39" s="50" t="s">
        <v>153</v>
      </c>
      <c r="L39" s="50" t="s">
        <v>153</v>
      </c>
      <c r="M39" s="3"/>
    </row>
    <row r="40" spans="1:26" x14ac:dyDescent="0.55000000000000004">
      <c r="A40" s="1" t="s">
        <v>34</v>
      </c>
      <c r="B40" s="2" t="s">
        <v>29</v>
      </c>
      <c r="C40" s="2" t="s">
        <v>29</v>
      </c>
      <c r="D40" s="2" t="s">
        <v>28</v>
      </c>
      <c r="E40" s="2" t="s">
        <v>27</v>
      </c>
      <c r="F40" s="2" t="s">
        <v>36</v>
      </c>
      <c r="G40" s="2" t="s">
        <v>29</v>
      </c>
      <c r="H40" s="2" t="s">
        <v>28</v>
      </c>
      <c r="I40" s="2" t="s">
        <v>27</v>
      </c>
      <c r="J40" s="2" t="s">
        <v>28</v>
      </c>
      <c r="K40" s="2" t="s">
        <v>29</v>
      </c>
      <c r="L40" s="2" t="s">
        <v>29</v>
      </c>
      <c r="M40" s="3"/>
    </row>
    <row r="41" spans="1:26" x14ac:dyDescent="0.55000000000000004">
      <c r="A41" s="24" t="s">
        <v>17</v>
      </c>
      <c r="B41" s="26">
        <v>1</v>
      </c>
      <c r="C41" s="26">
        <v>2</v>
      </c>
      <c r="D41" s="26">
        <v>0</v>
      </c>
      <c r="E41" s="25">
        <v>0</v>
      </c>
      <c r="F41" s="25">
        <v>3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52"/>
    </row>
    <row r="42" spans="1:26" x14ac:dyDescent="0.55000000000000004">
      <c r="A42" s="24" t="s">
        <v>18</v>
      </c>
      <c r="B42" s="26">
        <v>0</v>
      </c>
      <c r="C42" s="26">
        <v>0</v>
      </c>
      <c r="D42" s="26">
        <v>0</v>
      </c>
      <c r="E42" s="25">
        <v>0</v>
      </c>
      <c r="F42" s="25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52"/>
      <c r="Q42" t="s">
        <v>13</v>
      </c>
      <c r="R42" t="s">
        <v>55</v>
      </c>
      <c r="S42" t="s">
        <v>56</v>
      </c>
      <c r="T42" t="s">
        <v>57</v>
      </c>
      <c r="U42" t="s">
        <v>58</v>
      </c>
      <c r="V42" t="s">
        <v>59</v>
      </c>
      <c r="W42" t="s">
        <v>60</v>
      </c>
      <c r="X42" t="s">
        <v>61</v>
      </c>
      <c r="Y42" t="s">
        <v>62</v>
      </c>
      <c r="Z42" t="s">
        <v>63</v>
      </c>
    </row>
    <row r="43" spans="1:26" x14ac:dyDescent="0.55000000000000004">
      <c r="A43" s="24" t="s">
        <v>19</v>
      </c>
      <c r="B43" s="26">
        <v>1</v>
      </c>
      <c r="C43" s="26">
        <v>0</v>
      </c>
      <c r="D43" s="26">
        <v>0</v>
      </c>
      <c r="E43" s="25">
        <v>0</v>
      </c>
      <c r="F43" s="25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52"/>
      <c r="Q43" t="s">
        <v>28</v>
      </c>
      <c r="R43">
        <f>SUMIF(B40:L40,Q43,B41:L41)</f>
        <v>0</v>
      </c>
      <c r="S43">
        <f>SUMIF(B40:L40,Q43,B42:L42)</f>
        <v>0</v>
      </c>
      <c r="T43">
        <f>SUMIF(B40:L40,Q43,B43:L43)</f>
        <v>0</v>
      </c>
      <c r="U43">
        <f>SUMIF(B40:L40,Q43,B44:L44)</f>
        <v>0</v>
      </c>
      <c r="V43">
        <f>SUMIF(B40:L40,Q43,B45:L45)</f>
        <v>0</v>
      </c>
      <c r="W43">
        <f>SUMIF(B40:L40,Q43,B46:L46)</f>
        <v>0</v>
      </c>
      <c r="X43">
        <f>SUMIF(B40:L40,Q43,B47:L47)</f>
        <v>5</v>
      </c>
      <c r="Y43">
        <f>SUMIF(B40:L40,Q43,B48:L48)</f>
        <v>0</v>
      </c>
      <c r="Z43">
        <f>SUMIF(B40:L40,Q43,B49:L49)</f>
        <v>0</v>
      </c>
    </row>
    <row r="44" spans="1:26" x14ac:dyDescent="0.55000000000000004">
      <c r="A44" s="17" t="s">
        <v>20</v>
      </c>
      <c r="B44" s="22">
        <v>0</v>
      </c>
      <c r="C44" s="22">
        <v>0</v>
      </c>
      <c r="D44" s="22">
        <v>0</v>
      </c>
      <c r="E44" s="18">
        <v>0</v>
      </c>
      <c r="F44" s="18">
        <v>0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  <c r="L44" s="22">
        <v>0</v>
      </c>
      <c r="M44" s="52"/>
      <c r="Q44" t="s">
        <v>27</v>
      </c>
      <c r="R44">
        <f>SUMIF(B40:L40,Q44,B41:L41)</f>
        <v>0</v>
      </c>
      <c r="S44">
        <f>SUMIF(B40:L40,Q44,B42:L42)</f>
        <v>0</v>
      </c>
      <c r="T44">
        <f>SUMIF(B40:L40,Q44,B43:L43)</f>
        <v>0</v>
      </c>
      <c r="U44">
        <f>SUMIF(B40:L40,Q44,B44:L44)</f>
        <v>0</v>
      </c>
      <c r="V44">
        <f>SUMIF(B40:L40,Q44,B45:L45)</f>
        <v>0</v>
      </c>
      <c r="W44">
        <f>SUMIF(B40:L40,Q44,B46:L46)</f>
        <v>0</v>
      </c>
      <c r="X44">
        <f>SUMIF(B40:L40,Q44,B47:L47)</f>
        <v>0</v>
      </c>
      <c r="Y44">
        <f>SUMIF(B40:L40,Q44,B48:L48)</f>
        <v>0</v>
      </c>
      <c r="Z44">
        <f>SUMIF(B40:L40,Q44,B49:L49)</f>
        <v>0</v>
      </c>
    </row>
    <row r="45" spans="1:26" x14ac:dyDescent="0.55000000000000004">
      <c r="A45" s="17" t="s">
        <v>21</v>
      </c>
      <c r="B45" s="22">
        <v>0</v>
      </c>
      <c r="C45" s="22">
        <v>0</v>
      </c>
      <c r="D45" s="22">
        <v>0</v>
      </c>
      <c r="E45" s="18">
        <v>0</v>
      </c>
      <c r="F45" s="18">
        <v>0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  <c r="L45" s="22">
        <v>0</v>
      </c>
      <c r="M45" s="52"/>
      <c r="Q45" t="s">
        <v>29</v>
      </c>
      <c r="R45">
        <f>SUMIF(B40:L40,Q45,B41:L41)</f>
        <v>3</v>
      </c>
      <c r="S45">
        <f>SUMIF(B40:L40,Q45,B42:L42)</f>
        <v>0</v>
      </c>
      <c r="T45">
        <f>SUMIF(B40:L40,Q45,B43:L43)</f>
        <v>1</v>
      </c>
      <c r="U45">
        <f>SUMIF(B40:L40,Q45,B44:L44)</f>
        <v>0</v>
      </c>
      <c r="V45">
        <f>SUMIF(B40:L40,Q45,B45:L45)</f>
        <v>0</v>
      </c>
      <c r="W45">
        <f>SUMIF(B40:L40,Q45,B46:L46)</f>
        <v>0</v>
      </c>
      <c r="X45">
        <f>SUMIF(B40:L40,Q45,B47:L47)</f>
        <v>2</v>
      </c>
      <c r="Y45">
        <f>SUMIF(B40:L40,Q45,B48:L48)</f>
        <v>0</v>
      </c>
      <c r="Z45">
        <f>SUMIF(B40:L40,Q45,B49:L49)</f>
        <v>0</v>
      </c>
    </row>
    <row r="46" spans="1:26" x14ac:dyDescent="0.55000000000000004">
      <c r="A46" s="17" t="s">
        <v>22</v>
      </c>
      <c r="B46" s="22">
        <v>0</v>
      </c>
      <c r="C46" s="22">
        <v>0</v>
      </c>
      <c r="D46" s="22">
        <v>0</v>
      </c>
      <c r="E46" s="18">
        <v>0</v>
      </c>
      <c r="F46" s="18">
        <v>0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  <c r="L46" s="22">
        <v>0</v>
      </c>
      <c r="M46" s="52"/>
      <c r="Q46" t="s">
        <v>36</v>
      </c>
      <c r="R46">
        <f>SUMIF(B40:L40,Q46,B41:L41)</f>
        <v>3</v>
      </c>
      <c r="S46">
        <f>SUMIF(B40:L40,Q46,B42:L42)</f>
        <v>0</v>
      </c>
      <c r="T46">
        <f>SUMIF(B40:L40,Q46,B43:L43)</f>
        <v>0</v>
      </c>
      <c r="U46">
        <f>SUMIF(B40:L40,Q46,B44:L44)</f>
        <v>0</v>
      </c>
      <c r="V46">
        <f>SUMIF(B40:L40,Q46,B45:L45)</f>
        <v>0</v>
      </c>
      <c r="W46">
        <f>SUMIF(B40:L40,Q46,B46:L46)</f>
        <v>0</v>
      </c>
      <c r="X46">
        <f>SUMIF(B40:L40,Q46,B47:L47)</f>
        <v>0</v>
      </c>
      <c r="Y46">
        <f>SUMIF(B40:L40,Q46,B48:L48)</f>
        <v>0</v>
      </c>
      <c r="Z46">
        <f>SUMIF(B40:L40,Q46,B49:L49)</f>
        <v>0</v>
      </c>
    </row>
    <row r="47" spans="1:26" x14ac:dyDescent="0.55000000000000004">
      <c r="A47" s="15" t="s">
        <v>24</v>
      </c>
      <c r="B47" s="23">
        <v>0</v>
      </c>
      <c r="C47" s="23">
        <v>0</v>
      </c>
      <c r="D47" s="23">
        <v>0</v>
      </c>
      <c r="E47" s="16">
        <v>0</v>
      </c>
      <c r="F47" s="16">
        <v>0</v>
      </c>
      <c r="G47" s="23">
        <v>0</v>
      </c>
      <c r="H47" s="23">
        <v>5</v>
      </c>
      <c r="I47" s="23">
        <v>0</v>
      </c>
      <c r="J47" s="23">
        <v>0</v>
      </c>
      <c r="K47" s="23">
        <v>2</v>
      </c>
      <c r="L47" s="23">
        <v>0</v>
      </c>
      <c r="M47" s="52"/>
    </row>
    <row r="48" spans="1:26" x14ac:dyDescent="0.55000000000000004">
      <c r="A48" s="15" t="s">
        <v>25</v>
      </c>
      <c r="B48" s="23">
        <v>0</v>
      </c>
      <c r="C48" s="23">
        <v>0</v>
      </c>
      <c r="D48" s="23">
        <v>0</v>
      </c>
      <c r="E48" s="16">
        <v>0</v>
      </c>
      <c r="F48" s="16">
        <v>0</v>
      </c>
      <c r="G48" s="23">
        <v>0</v>
      </c>
      <c r="H48" s="23">
        <v>0</v>
      </c>
      <c r="I48" s="23">
        <v>0</v>
      </c>
      <c r="J48" s="23">
        <v>0</v>
      </c>
      <c r="K48" s="23">
        <v>0</v>
      </c>
      <c r="L48" s="23">
        <v>0</v>
      </c>
      <c r="M48" s="52"/>
      <c r="Q48" s="43" t="s">
        <v>85</v>
      </c>
    </row>
    <row r="49" spans="1:26" x14ac:dyDescent="0.55000000000000004">
      <c r="A49" s="15" t="s">
        <v>26</v>
      </c>
      <c r="B49" s="23">
        <v>0</v>
      </c>
      <c r="C49" s="23">
        <v>0</v>
      </c>
      <c r="D49" s="23">
        <v>0</v>
      </c>
      <c r="E49" s="16">
        <v>0</v>
      </c>
      <c r="F49" s="16">
        <v>0</v>
      </c>
      <c r="G49" s="23">
        <v>0</v>
      </c>
      <c r="H49" s="23">
        <v>0</v>
      </c>
      <c r="I49" s="23">
        <v>0</v>
      </c>
      <c r="J49" s="23">
        <v>0</v>
      </c>
      <c r="K49" s="23">
        <v>0</v>
      </c>
      <c r="L49" s="23">
        <v>0</v>
      </c>
      <c r="M49" s="52"/>
      <c r="Q49" s="42"/>
      <c r="R49" s="42" t="s">
        <v>0</v>
      </c>
      <c r="S49" s="42" t="s">
        <v>53</v>
      </c>
      <c r="T49" s="42" t="s">
        <v>54</v>
      </c>
    </row>
    <row r="50" spans="1:26" x14ac:dyDescent="0.55000000000000004">
      <c r="A50" s="24" t="s">
        <v>31</v>
      </c>
      <c r="B50" s="27">
        <f t="shared" ref="B50:L50" si="9">SUM(B41:B49)</f>
        <v>2</v>
      </c>
      <c r="C50" s="27">
        <f t="shared" si="9"/>
        <v>2</v>
      </c>
      <c r="D50" s="27">
        <f t="shared" si="9"/>
        <v>0</v>
      </c>
      <c r="E50" s="27">
        <f t="shared" si="9"/>
        <v>0</v>
      </c>
      <c r="F50" s="27">
        <f t="shared" si="9"/>
        <v>3</v>
      </c>
      <c r="G50" s="27">
        <f t="shared" si="9"/>
        <v>0</v>
      </c>
      <c r="H50" s="27">
        <f t="shared" si="9"/>
        <v>5</v>
      </c>
      <c r="I50" s="27">
        <f t="shared" si="9"/>
        <v>0</v>
      </c>
      <c r="J50" s="27">
        <f t="shared" si="9"/>
        <v>0</v>
      </c>
      <c r="K50" s="27">
        <f t="shared" si="9"/>
        <v>2</v>
      </c>
      <c r="L50" s="27">
        <f t="shared" si="9"/>
        <v>0</v>
      </c>
      <c r="M50" s="31"/>
      <c r="Q50" s="1" t="s">
        <v>29</v>
      </c>
      <c r="R50" s="1">
        <f>(SUMIF(B40:L40,Q50,B41:L41))+(SUMIF(B40:L40,Q50,B44:L44))+(SUMIF(B40:L40,Q50,B47:L47))</f>
        <v>5</v>
      </c>
      <c r="S50" s="1">
        <f>(SUMIF(B40:L40,Q50,B42:L42))+(SUMIF(B40:L40,Q50,B45:L45))+(SUMIF(B40:L40,Q50,B48:L48))</f>
        <v>0</v>
      </c>
      <c r="T50" s="1">
        <f>(SUMIF(B40:L40,Q50,B43:L43))+(SUMIF(B40:L40,Q50,B46:L46))+(SUMIF(B40:L40,Q50,B49:L49))</f>
        <v>1</v>
      </c>
    </row>
    <row r="51" spans="1:26" x14ac:dyDescent="0.55000000000000004">
      <c r="A51" s="17" t="s">
        <v>32</v>
      </c>
      <c r="B51" s="20">
        <f t="shared" ref="B51:G51" si="10">SUM(B44:B46)</f>
        <v>0</v>
      </c>
      <c r="C51" s="20">
        <f t="shared" si="10"/>
        <v>0</v>
      </c>
      <c r="D51" s="20">
        <f t="shared" si="10"/>
        <v>0</v>
      </c>
      <c r="E51" s="20">
        <f t="shared" si="10"/>
        <v>0</v>
      </c>
      <c r="F51" s="20">
        <f t="shared" si="10"/>
        <v>0</v>
      </c>
      <c r="G51" s="20">
        <f t="shared" si="10"/>
        <v>0</v>
      </c>
      <c r="H51" s="20">
        <f>SUM(H44:H46)</f>
        <v>0</v>
      </c>
      <c r="I51" s="20">
        <f>SUM(I44:I46)</f>
        <v>0</v>
      </c>
      <c r="J51" s="20">
        <f>SUM(J44:J46)</f>
        <v>0</v>
      </c>
      <c r="K51" s="20">
        <f>SUM(K44:K46)</f>
        <v>0</v>
      </c>
      <c r="L51" s="20">
        <f>SUM(L44:L46)</f>
        <v>0</v>
      </c>
      <c r="M51" s="31"/>
      <c r="Q51" s="1" t="s">
        <v>28</v>
      </c>
      <c r="R51" s="1">
        <f>(SUMIF(B40:L40,Q51,B41:L41))+(SUMIF(B40:L40,Q51,B44:L44))+(SUMIF(B40:L40,Q51,B47:L47))</f>
        <v>5</v>
      </c>
      <c r="S51" s="1">
        <f>(SUMIF(B40:L40,Q51,B42:L42))+(SUMIF(B40:L40,Q51,B45:L45))+(SUMIF(B40:L40,Q51,B48:L48))</f>
        <v>0</v>
      </c>
      <c r="T51" s="1">
        <f>(SUMIF(B40:L40,Q51,B43:L43))+(SUMIF(B40:L40,Q51,B46:L46))+(SUMIF(B40:L40,Q51,B49:L49))</f>
        <v>0</v>
      </c>
    </row>
    <row r="52" spans="1:26" x14ac:dyDescent="0.55000000000000004">
      <c r="A52" s="15" t="s">
        <v>33</v>
      </c>
      <c r="B52" s="21">
        <f t="shared" ref="B52:G52" si="11">SUM(B47:B49)</f>
        <v>0</v>
      </c>
      <c r="C52" s="21">
        <f t="shared" si="11"/>
        <v>0</v>
      </c>
      <c r="D52" s="21">
        <f t="shared" si="11"/>
        <v>0</v>
      </c>
      <c r="E52" s="21">
        <f t="shared" si="11"/>
        <v>0</v>
      </c>
      <c r="F52" s="21">
        <f t="shared" si="11"/>
        <v>0</v>
      </c>
      <c r="G52" s="21">
        <f t="shared" si="11"/>
        <v>0</v>
      </c>
      <c r="H52" s="21">
        <f>SUM(H47:H49)</f>
        <v>5</v>
      </c>
      <c r="I52" s="21">
        <f>SUM(I47:I49)</f>
        <v>0</v>
      </c>
      <c r="J52" s="21">
        <f>SUM(J47:J49)</f>
        <v>0</v>
      </c>
      <c r="K52" s="21">
        <f>SUM(K47:K49)</f>
        <v>2</v>
      </c>
      <c r="L52" s="21">
        <f>SUM(L47:L49)</f>
        <v>0</v>
      </c>
      <c r="M52" s="31"/>
      <c r="Q52" s="1" t="s">
        <v>27</v>
      </c>
      <c r="R52" s="1">
        <f>(SUMIF(B40:L40,Q52,B41:L41))+(SUMIF(B40:L40,Q52,B44:L44))+(SUMIF(B40:L40,Q52,B47:L47))</f>
        <v>0</v>
      </c>
      <c r="S52" s="1">
        <f>(SUMIF(B40:L40,Q52,B42:L42))+(SUMIF(B40:L40,Q52,B45:L45))+(SUMIF(B40:L40,Q52,B48:L48))</f>
        <v>0</v>
      </c>
      <c r="T52" s="1">
        <f>(SUMIF(B40:G40,Q52,B43:G43))+(SUMIF(B40:G40,Q52,B46:G46))+(SUMIF(B40:G40,Q52,B49:G49))</f>
        <v>0</v>
      </c>
    </row>
    <row r="53" spans="1:26" x14ac:dyDescent="0.55000000000000004">
      <c r="Q53" s="1" t="s">
        <v>64</v>
      </c>
      <c r="R53" s="1">
        <f>(SUMIF(B40:L40,Q53,B41:L41))+(SUMIF(B41:L41,Q53,B45:L45))+(SUMIF(B41:L41,Q53,B48:L48))</f>
        <v>3</v>
      </c>
      <c r="S53" s="1">
        <f>(SUMIF(B40:L40,Q53,B42:L42))+(SUMIF(B41:L41,Q53,B45:L45))+(SUMIF(B41:L41,Q53,B48:L48))</f>
        <v>0</v>
      </c>
      <c r="T53">
        <f>(SUMIF(B40:G40,Q53,B43:G43))+(SUMIF(B41:G41,Q53,B47:G47))+(SUMIF(B41:G41,Q53,B50:G50))</f>
        <v>0</v>
      </c>
    </row>
    <row r="57" spans="1:26" x14ac:dyDescent="0.55000000000000004">
      <c r="A57" s="1" t="s">
        <v>23</v>
      </c>
      <c r="B57" s="50" t="s">
        <v>157</v>
      </c>
      <c r="C57" s="50" t="s">
        <v>157</v>
      </c>
      <c r="D57" s="50" t="s">
        <v>157</v>
      </c>
      <c r="E57" s="50" t="s">
        <v>157</v>
      </c>
      <c r="F57" s="50" t="s">
        <v>157</v>
      </c>
      <c r="G57" s="50" t="s">
        <v>157</v>
      </c>
      <c r="H57" s="50" t="s">
        <v>157</v>
      </c>
      <c r="I57" s="3"/>
      <c r="J57" s="3"/>
      <c r="K57" s="3"/>
      <c r="L57" s="3"/>
      <c r="M57" s="3"/>
    </row>
    <row r="58" spans="1:26" x14ac:dyDescent="0.55000000000000004">
      <c r="A58" s="1" t="s">
        <v>34</v>
      </c>
      <c r="B58" s="2" t="s">
        <v>36</v>
      </c>
      <c r="C58" s="2" t="s">
        <v>27</v>
      </c>
      <c r="D58" s="2" t="s">
        <v>28</v>
      </c>
      <c r="E58" s="2" t="s">
        <v>28</v>
      </c>
      <c r="F58" s="2" t="s">
        <v>29</v>
      </c>
      <c r="G58" s="2" t="s">
        <v>27</v>
      </c>
      <c r="H58" s="2" t="s">
        <v>29</v>
      </c>
      <c r="I58" s="3"/>
      <c r="J58" s="3"/>
      <c r="K58" s="3"/>
      <c r="L58" s="3"/>
      <c r="M58" s="3"/>
    </row>
    <row r="59" spans="1:26" x14ac:dyDescent="0.55000000000000004">
      <c r="A59" s="24" t="s">
        <v>17</v>
      </c>
      <c r="B59" s="26">
        <v>2</v>
      </c>
      <c r="C59" s="26">
        <v>0</v>
      </c>
      <c r="D59" s="26">
        <v>0</v>
      </c>
      <c r="E59" s="25">
        <v>2</v>
      </c>
      <c r="F59" s="25">
        <v>0</v>
      </c>
      <c r="G59" s="26">
        <v>0</v>
      </c>
      <c r="H59" s="26">
        <v>1</v>
      </c>
      <c r="I59" s="52"/>
      <c r="J59" s="52"/>
      <c r="K59" s="52"/>
      <c r="L59" s="52"/>
      <c r="M59" s="52"/>
    </row>
    <row r="60" spans="1:26" x14ac:dyDescent="0.55000000000000004">
      <c r="A60" s="24" t="s">
        <v>18</v>
      </c>
      <c r="B60" s="26">
        <v>0</v>
      </c>
      <c r="C60" s="26">
        <v>0</v>
      </c>
      <c r="D60" s="26">
        <v>0</v>
      </c>
      <c r="E60" s="25">
        <v>0</v>
      </c>
      <c r="F60" s="25">
        <v>0</v>
      </c>
      <c r="G60" s="26">
        <v>0</v>
      </c>
      <c r="H60" s="26">
        <v>0</v>
      </c>
      <c r="I60" s="52"/>
      <c r="J60" s="52"/>
      <c r="K60" s="52"/>
      <c r="L60" s="52"/>
      <c r="M60" s="52"/>
    </row>
    <row r="61" spans="1:26" x14ac:dyDescent="0.55000000000000004">
      <c r="A61" s="24" t="s">
        <v>19</v>
      </c>
      <c r="B61" s="26">
        <v>0</v>
      </c>
      <c r="C61" s="26">
        <v>0</v>
      </c>
      <c r="D61" s="26">
        <v>0</v>
      </c>
      <c r="E61" s="25">
        <v>0</v>
      </c>
      <c r="F61" s="25">
        <v>0</v>
      </c>
      <c r="G61" s="26">
        <v>0</v>
      </c>
      <c r="H61" s="26">
        <v>0</v>
      </c>
      <c r="I61" s="52"/>
      <c r="J61" s="52"/>
      <c r="K61" s="52"/>
      <c r="L61" s="52"/>
      <c r="M61" s="52"/>
      <c r="Q61" t="s">
        <v>13</v>
      </c>
      <c r="R61" t="s">
        <v>55</v>
      </c>
      <c r="S61" t="s">
        <v>56</v>
      </c>
      <c r="T61" t="s">
        <v>57</v>
      </c>
      <c r="U61" t="s">
        <v>58</v>
      </c>
      <c r="V61" t="s">
        <v>59</v>
      </c>
      <c r="W61" t="s">
        <v>60</v>
      </c>
      <c r="X61" t="s">
        <v>61</v>
      </c>
      <c r="Y61" t="s">
        <v>62</v>
      </c>
      <c r="Z61" t="s">
        <v>63</v>
      </c>
    </row>
    <row r="62" spans="1:26" x14ac:dyDescent="0.55000000000000004">
      <c r="A62" s="17" t="s">
        <v>20</v>
      </c>
      <c r="B62" s="22">
        <v>0</v>
      </c>
      <c r="C62" s="22">
        <v>0</v>
      </c>
      <c r="D62" s="22">
        <v>0</v>
      </c>
      <c r="E62" s="18">
        <v>0</v>
      </c>
      <c r="F62" s="18">
        <v>0</v>
      </c>
      <c r="G62" s="22">
        <v>0</v>
      </c>
      <c r="H62" s="22">
        <v>0</v>
      </c>
      <c r="I62" s="52"/>
      <c r="J62" s="52"/>
      <c r="K62" s="52"/>
      <c r="L62" s="52"/>
      <c r="M62" s="52"/>
      <c r="Q62" t="s">
        <v>36</v>
      </c>
      <c r="R62">
        <f>SUMIF(B58:H58,Q62,B59:H59)</f>
        <v>2</v>
      </c>
      <c r="S62">
        <f>SUMIF(B58:H58,Q62,B60:H60)</f>
        <v>0</v>
      </c>
      <c r="T62">
        <f>SUMIF(B58:H58,Q62,B61:H61)</f>
        <v>0</v>
      </c>
      <c r="U62">
        <f>SUMIF(B58:H58,Q62,B62:H62)</f>
        <v>0</v>
      </c>
      <c r="V62">
        <f>SUMIF(B58:H58,Q62,B63:H63)</f>
        <v>0</v>
      </c>
      <c r="W62">
        <f>SUMIF(B58:H58,Q62,B64:H64)</f>
        <v>0</v>
      </c>
      <c r="X62">
        <f>SUMIF(B58:H58,Q62,B65:H65)</f>
        <v>0</v>
      </c>
      <c r="Y62">
        <f>SUMIF(B58:H58,Q62,B66:H66)</f>
        <v>0</v>
      </c>
      <c r="Z62">
        <f>SUMIF(B58:H58,Q62,B67:H67)</f>
        <v>0</v>
      </c>
    </row>
    <row r="63" spans="1:26" x14ac:dyDescent="0.55000000000000004">
      <c r="A63" s="17" t="s">
        <v>21</v>
      </c>
      <c r="B63" s="22">
        <v>0</v>
      </c>
      <c r="C63" s="22">
        <v>0</v>
      </c>
      <c r="D63" s="22">
        <v>0</v>
      </c>
      <c r="E63" s="18">
        <v>0</v>
      </c>
      <c r="F63" s="18">
        <v>0</v>
      </c>
      <c r="G63" s="22">
        <v>0</v>
      </c>
      <c r="H63" s="22">
        <v>0</v>
      </c>
      <c r="I63" s="52"/>
      <c r="J63" s="52"/>
      <c r="K63" s="52"/>
      <c r="L63" s="52"/>
      <c r="M63" s="52"/>
      <c r="Q63" t="s">
        <v>27</v>
      </c>
      <c r="R63">
        <f>SUMIF(B58:H58,Q63,B59:H59)</f>
        <v>0</v>
      </c>
      <c r="S63">
        <f>SUMIF(B58:H58,Q63,B60:H60)</f>
        <v>0</v>
      </c>
      <c r="T63">
        <f>SUMIF(B58:H58,Q63,B61:H61)</f>
        <v>0</v>
      </c>
      <c r="U63">
        <f>SUMIF(B58:H58,Q63,B62:H62)</f>
        <v>0</v>
      </c>
      <c r="V63">
        <f>SUMIF(B58:H58,Q63,B63:H63)</f>
        <v>0</v>
      </c>
      <c r="W63">
        <f>SUMIF(B58:H58,Q63,B64:H64)</f>
        <v>0</v>
      </c>
      <c r="X63">
        <f>SUMIF(B58:H58,Q63,B65:H65)</f>
        <v>0</v>
      </c>
      <c r="Y63">
        <f>SUMIF(B58:H58,Q63,B66:H66)</f>
        <v>0</v>
      </c>
      <c r="Z63">
        <f>SUMIF(B58:H58,Q63,B67:H67)</f>
        <v>0</v>
      </c>
    </row>
    <row r="64" spans="1:26" x14ac:dyDescent="0.55000000000000004">
      <c r="A64" s="17" t="s">
        <v>22</v>
      </c>
      <c r="B64" s="22">
        <v>0</v>
      </c>
      <c r="C64" s="22">
        <v>0</v>
      </c>
      <c r="D64" s="22">
        <v>0</v>
      </c>
      <c r="E64" s="18">
        <v>0</v>
      </c>
      <c r="F64" s="18">
        <v>0</v>
      </c>
      <c r="G64" s="22">
        <v>0</v>
      </c>
      <c r="H64" s="22">
        <v>0</v>
      </c>
      <c r="I64" s="52"/>
      <c r="J64" s="52"/>
      <c r="K64" s="52"/>
      <c r="L64" s="52"/>
      <c r="M64" s="52"/>
      <c r="Q64" t="s">
        <v>29</v>
      </c>
      <c r="R64">
        <f>SUMIF(B58:H58,Q64,B59:H59)</f>
        <v>1</v>
      </c>
      <c r="S64">
        <f>SUMIF(B58:H58,Q64,B60:H60)</f>
        <v>0</v>
      </c>
      <c r="T64">
        <f>SUMIF(B58:H58,Q64,B61:H61)</f>
        <v>0</v>
      </c>
      <c r="U64">
        <f>SUMIF(B58:H58,Q64,B62:H62)</f>
        <v>0</v>
      </c>
      <c r="V64">
        <f>SUMIF(B58:H58,Q64,B63:H63)</f>
        <v>0</v>
      </c>
      <c r="W64">
        <f>SUMIF(B58:H58,Q64,B64:H64)</f>
        <v>0</v>
      </c>
      <c r="X64">
        <f>SUMIF(B58:H58,Q64,B65:H65)</f>
        <v>0</v>
      </c>
      <c r="Y64">
        <f>SUMIF(B58:H58,Q64,B66:H66)</f>
        <v>0</v>
      </c>
      <c r="Z64">
        <f>SUMIF(B58:H58,Q64,B67:H67)</f>
        <v>0</v>
      </c>
    </row>
    <row r="65" spans="1:26" x14ac:dyDescent="0.55000000000000004">
      <c r="A65" s="15" t="s">
        <v>24</v>
      </c>
      <c r="B65" s="23">
        <v>0</v>
      </c>
      <c r="C65" s="23">
        <v>0</v>
      </c>
      <c r="D65" s="23">
        <v>7</v>
      </c>
      <c r="E65" s="16">
        <v>0</v>
      </c>
      <c r="F65" s="16">
        <v>0</v>
      </c>
      <c r="G65" s="23">
        <v>0</v>
      </c>
      <c r="H65" s="23">
        <v>0</v>
      </c>
      <c r="I65" s="52"/>
      <c r="J65" s="52"/>
      <c r="K65" s="52"/>
      <c r="L65" s="52"/>
      <c r="M65" s="52"/>
      <c r="Q65" t="s">
        <v>28</v>
      </c>
      <c r="R65">
        <f>SUMIF(B58:H58,Q65,B59:H59)</f>
        <v>2</v>
      </c>
      <c r="S65">
        <f>SUMIF(B58:H58,Q65,B60:H60)</f>
        <v>0</v>
      </c>
      <c r="T65">
        <f>SUMIF(B58:H58,Q65,B61:H61)</f>
        <v>0</v>
      </c>
      <c r="U65">
        <f>SUMIF(B58:H58,Q65,B62:H62)</f>
        <v>0</v>
      </c>
      <c r="V65">
        <f>SUMIF(B58:H58,Q65,B63:H63)</f>
        <v>0</v>
      </c>
      <c r="W65">
        <f>SUMIF(B58:H58,Q65,B64:H64)</f>
        <v>0</v>
      </c>
      <c r="X65">
        <f>SUMIF(B58:H58,Q65,B65:H65)</f>
        <v>7</v>
      </c>
      <c r="Y65">
        <f>SUMIF(B58:H58,Q65,B66:H66)</f>
        <v>0</v>
      </c>
      <c r="Z65">
        <f>SUMIF(B58:H58,Q65,B67:H67)</f>
        <v>0</v>
      </c>
    </row>
    <row r="66" spans="1:26" x14ac:dyDescent="0.55000000000000004">
      <c r="A66" s="15" t="s">
        <v>25</v>
      </c>
      <c r="B66" s="23">
        <v>0</v>
      </c>
      <c r="C66" s="23">
        <v>0</v>
      </c>
      <c r="D66" s="23">
        <v>0</v>
      </c>
      <c r="E66" s="16">
        <v>0</v>
      </c>
      <c r="F66" s="16">
        <v>0</v>
      </c>
      <c r="G66" s="23">
        <v>0</v>
      </c>
      <c r="H66" s="23">
        <v>0</v>
      </c>
      <c r="I66" s="52"/>
      <c r="J66" s="52"/>
      <c r="K66" s="52"/>
      <c r="L66" s="52"/>
      <c r="M66" s="52"/>
      <c r="Q66" s="43"/>
    </row>
    <row r="67" spans="1:26" x14ac:dyDescent="0.55000000000000004">
      <c r="A67" s="15" t="s">
        <v>26</v>
      </c>
      <c r="B67" s="23">
        <v>0</v>
      </c>
      <c r="C67" s="23">
        <v>0</v>
      </c>
      <c r="D67" s="23">
        <v>0</v>
      </c>
      <c r="E67" s="16">
        <v>0</v>
      </c>
      <c r="F67" s="16">
        <v>0</v>
      </c>
      <c r="G67" s="23">
        <v>0</v>
      </c>
      <c r="H67" s="23">
        <v>0</v>
      </c>
      <c r="I67" s="52"/>
      <c r="J67" s="52"/>
      <c r="K67" s="52"/>
      <c r="L67" s="52"/>
      <c r="M67" s="52"/>
    </row>
    <row r="68" spans="1:26" x14ac:dyDescent="0.55000000000000004">
      <c r="A68" s="24" t="s">
        <v>31</v>
      </c>
      <c r="B68" s="27">
        <f t="shared" ref="B68:G68" si="12">SUM(B59:B61)</f>
        <v>2</v>
      </c>
      <c r="C68" s="27">
        <f t="shared" si="12"/>
        <v>0</v>
      </c>
      <c r="D68" s="27">
        <f t="shared" si="12"/>
        <v>0</v>
      </c>
      <c r="E68" s="27">
        <f t="shared" si="12"/>
        <v>2</v>
      </c>
      <c r="F68" s="27">
        <f t="shared" si="12"/>
        <v>0</v>
      </c>
      <c r="G68" s="27">
        <f t="shared" si="12"/>
        <v>0</v>
      </c>
      <c r="H68" s="27">
        <f>SUM(H59:H61)</f>
        <v>1</v>
      </c>
      <c r="I68" s="31"/>
      <c r="J68" s="31"/>
      <c r="K68" s="31"/>
      <c r="L68" s="31"/>
      <c r="M68" s="31"/>
      <c r="Q68" s="43" t="s">
        <v>89</v>
      </c>
    </row>
    <row r="69" spans="1:26" x14ac:dyDescent="0.55000000000000004">
      <c r="A69" s="17" t="s">
        <v>32</v>
      </c>
      <c r="B69" s="20">
        <f t="shared" ref="B69:G69" si="13">SUM(B62:B64)</f>
        <v>0</v>
      </c>
      <c r="C69" s="20">
        <f t="shared" si="13"/>
        <v>0</v>
      </c>
      <c r="D69" s="20">
        <f t="shared" si="13"/>
        <v>0</v>
      </c>
      <c r="E69" s="20">
        <f t="shared" si="13"/>
        <v>0</v>
      </c>
      <c r="F69" s="20">
        <f t="shared" si="13"/>
        <v>0</v>
      </c>
      <c r="G69" s="20">
        <f t="shared" si="13"/>
        <v>0</v>
      </c>
      <c r="H69" s="20">
        <f>SUM(H62:H64)</f>
        <v>0</v>
      </c>
      <c r="I69" s="31"/>
      <c r="J69" s="31"/>
      <c r="K69" s="31"/>
      <c r="L69" s="31"/>
      <c r="M69" s="31"/>
      <c r="Q69" s="42"/>
      <c r="R69" s="42" t="s">
        <v>0</v>
      </c>
      <c r="S69" s="42" t="s">
        <v>53</v>
      </c>
      <c r="T69" s="42" t="s">
        <v>54</v>
      </c>
    </row>
    <row r="70" spans="1:26" x14ac:dyDescent="0.55000000000000004">
      <c r="A70" s="15" t="s">
        <v>33</v>
      </c>
      <c r="B70" s="21">
        <f t="shared" ref="B70:G70" si="14">SUM(B65:B67)</f>
        <v>0</v>
      </c>
      <c r="C70" s="21">
        <f t="shared" si="14"/>
        <v>0</v>
      </c>
      <c r="D70" s="21">
        <f t="shared" si="14"/>
        <v>7</v>
      </c>
      <c r="E70" s="21">
        <f t="shared" si="14"/>
        <v>0</v>
      </c>
      <c r="F70" s="21">
        <f t="shared" si="14"/>
        <v>0</v>
      </c>
      <c r="G70" s="21">
        <f t="shared" si="14"/>
        <v>0</v>
      </c>
      <c r="H70" s="21">
        <f>SUM(H65:H67)</f>
        <v>0</v>
      </c>
      <c r="I70" s="31"/>
      <c r="J70" s="31"/>
      <c r="K70" s="31"/>
      <c r="L70" s="31"/>
      <c r="M70" s="31"/>
      <c r="Q70" s="1" t="s">
        <v>36</v>
      </c>
      <c r="R70" s="1">
        <f>(SUMIF(B58:H58,Q70,B59:H59))+(SUMIF(B58:H58,Q70,B62:H62))+(SUMIF(B58:H58,Q70,B65:H65))</f>
        <v>2</v>
      </c>
      <c r="S70" s="1">
        <f>(SUMIF(B59:H59,Q70,B60:H60))+(SUMIF(B59:G59,Q70,B63:H63))+(SUMIF(B59:G59,Q70,B66:H66))</f>
        <v>0</v>
      </c>
      <c r="T70" s="1">
        <f>(SUMIF(B58:G58,Q70,B61:H61))+(SUMIF(B58:G58,Q70,B64:H64))+(SUMIF(B58:G58,Q70,B67:H67))</f>
        <v>0</v>
      </c>
    </row>
    <row r="71" spans="1:26" x14ac:dyDescent="0.55000000000000004">
      <c r="Q71" s="1" t="s">
        <v>28</v>
      </c>
      <c r="R71" s="1">
        <f>(SUMIF(B58:H58,Q71,B59:H59))+(SUMIF(B58:H58,Q71,B62:H62))+(SUMIF(B58:H58,Q71,B65:H65))</f>
        <v>9</v>
      </c>
      <c r="S71" s="1">
        <f>(SUMIF(B58:H58,Q71,B60:H60))+(SUMIF(B58:H58,Q71,B63:H63))+(SUMIF(B58:H58,Q71,B66:H66))</f>
        <v>0</v>
      </c>
      <c r="T71" s="1">
        <f>(SUMIF(B58:H58,Q71,B61:H61))+(SUMIF(B58:H58,Q71,B64:H64))+(SUMIF(B58:H58,Q71,B67:H67))</f>
        <v>0</v>
      </c>
    </row>
    <row r="72" spans="1:26" x14ac:dyDescent="0.55000000000000004">
      <c r="Q72" s="1" t="s">
        <v>27</v>
      </c>
      <c r="R72" s="1">
        <f>(SUMIF(B58:H58,Q72,B59:H59))+(SUMIF(B58:H58,Q72,B62:H62))+(SUMIF(B58:H58,Q72,B65:H65))</f>
        <v>0</v>
      </c>
      <c r="S72" s="1">
        <f>(SUMIF(B58:H58,Q72,B60:H60))+(SUMIF(B58:H58,Q72,B63:H63))+(SUMIF(B58:H58,Q72,B66:H66))</f>
        <v>0</v>
      </c>
      <c r="T72" s="1">
        <f>(SUMIF(B58:H58,Q72,B61:H61))+(SUMIF(B58:H58,Q72,B64:H64))+(SUMIF(B58:H58,Q72,B67:H67))</f>
        <v>0</v>
      </c>
    </row>
    <row r="73" spans="1:26" x14ac:dyDescent="0.55000000000000004">
      <c r="Q73" s="1" t="s">
        <v>29</v>
      </c>
      <c r="R73" s="1">
        <f>(SUMIF(B58:H58,Q73,B59:H59))+(SUMIF(B58:H58,Q73,B62:H62))+(SUMIF(B58:H58,Q73,B65:H65))</f>
        <v>1</v>
      </c>
      <c r="S73" s="1">
        <f>(SUMIF(B58:H58,Q73,B60:H60))+(SUMIF(B58:H58,Q73,B63:H63))+(SUMIF(B58:H58,Q73,B66:H66))</f>
        <v>0</v>
      </c>
      <c r="T73" s="1">
        <f>(SUMIF(B58:H58,Q73,B61:H61))+(SUMIF(B58:H58,Q73,B64:H64))+(SUMIF(B58:H58,Q73,B67:H67))</f>
        <v>0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6083E-376D-490E-AD5B-06D575B8D23C}">
  <sheetPr codeName="Sheet22"/>
  <dimension ref="A1:K28"/>
  <sheetViews>
    <sheetView workbookViewId="0">
      <selection activeCell="A32" sqref="A32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4140625" customWidth="1"/>
    <col min="9" max="9" width="11.9140625" customWidth="1"/>
    <col min="10" max="11" width="11.25" customWidth="1"/>
    <col min="13" max="13" width="18.4140625" customWidth="1"/>
    <col min="14" max="14" width="17.5" customWidth="1"/>
    <col min="15" max="15" width="26.08203125" bestFit="1" customWidth="1"/>
    <col min="16" max="16" width="19.5" customWidth="1"/>
    <col min="17" max="17" width="14.83203125" customWidth="1"/>
    <col min="18" max="18" width="14.4140625" customWidth="1"/>
    <col min="19" max="19" width="18.25" bestFit="1" customWidth="1"/>
    <col min="20" max="20" width="18.1640625" bestFit="1" customWidth="1"/>
    <col min="21" max="21" width="26.08203125" bestFit="1" customWidth="1"/>
    <col min="22" max="22" width="12.33203125" bestFit="1" customWidth="1"/>
    <col min="23" max="23" width="12.25" bestFit="1" customWidth="1"/>
  </cols>
  <sheetData>
    <row r="1" spans="1:11" x14ac:dyDescent="0.55000000000000004">
      <c r="A1" s="55" t="s">
        <v>425</v>
      </c>
      <c r="B1" s="56"/>
      <c r="C1" s="57"/>
      <c r="D1" s="57"/>
      <c r="E1" s="57"/>
      <c r="F1" s="57"/>
      <c r="G1" s="57"/>
    </row>
    <row r="2" spans="1:11" x14ac:dyDescent="0.55000000000000004">
      <c r="A2" s="57"/>
      <c r="B2" s="56"/>
      <c r="C2" s="57"/>
      <c r="D2" s="57"/>
      <c r="E2" s="57"/>
      <c r="F2" s="57"/>
      <c r="G2" s="57"/>
    </row>
    <row r="3" spans="1:11" x14ac:dyDescent="0.55000000000000004">
      <c r="A3" s="1" t="s">
        <v>23</v>
      </c>
      <c r="B3" s="50" t="s">
        <v>417</v>
      </c>
      <c r="C3" s="50" t="s">
        <v>417</v>
      </c>
      <c r="D3" s="50" t="s">
        <v>417</v>
      </c>
      <c r="E3" s="50" t="s">
        <v>417</v>
      </c>
      <c r="F3" s="50" t="s">
        <v>417</v>
      </c>
      <c r="G3" s="50" t="s">
        <v>417</v>
      </c>
      <c r="H3" s="50" t="s">
        <v>417</v>
      </c>
      <c r="I3" s="50" t="s">
        <v>417</v>
      </c>
      <c r="J3" s="50" t="s">
        <v>417</v>
      </c>
      <c r="K3" s="50" t="s">
        <v>417</v>
      </c>
    </row>
    <row r="4" spans="1:11" x14ac:dyDescent="0.55000000000000004">
      <c r="A4" s="1" t="s">
        <v>34</v>
      </c>
      <c r="B4" s="2" t="s">
        <v>366</v>
      </c>
      <c r="C4" s="2" t="s">
        <v>99</v>
      </c>
      <c r="D4" s="2" t="s">
        <v>2</v>
      </c>
      <c r="E4" s="2" t="s">
        <v>15</v>
      </c>
      <c r="F4" s="2" t="s">
        <v>149</v>
      </c>
      <c r="G4" s="2" t="s">
        <v>147</v>
      </c>
      <c r="H4" s="2" t="s">
        <v>148</v>
      </c>
      <c r="I4" s="2" t="s">
        <v>40</v>
      </c>
      <c r="J4" s="2" t="s">
        <v>163</v>
      </c>
      <c r="K4" s="2" t="s">
        <v>367</v>
      </c>
    </row>
    <row r="5" spans="1:11" x14ac:dyDescent="0.55000000000000004">
      <c r="A5" s="24" t="s">
        <v>172</v>
      </c>
      <c r="B5" s="26">
        <v>0</v>
      </c>
      <c r="C5" s="26">
        <v>0</v>
      </c>
      <c r="D5" s="26">
        <v>0</v>
      </c>
      <c r="E5" s="26">
        <v>0</v>
      </c>
      <c r="F5" s="26">
        <v>0</v>
      </c>
      <c r="G5" s="26">
        <v>2</v>
      </c>
      <c r="H5" s="26">
        <v>0</v>
      </c>
      <c r="I5" s="26">
        <v>0</v>
      </c>
      <c r="J5" s="26">
        <v>0</v>
      </c>
      <c r="K5" s="26">
        <v>0</v>
      </c>
    </row>
    <row r="6" spans="1:11" x14ac:dyDescent="0.55000000000000004">
      <c r="A6" s="24" t="s">
        <v>174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</row>
    <row r="7" spans="1:11" x14ac:dyDescent="0.55000000000000004">
      <c r="A7" s="24" t="s">
        <v>421</v>
      </c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0</v>
      </c>
    </row>
    <row r="8" spans="1:11" x14ac:dyDescent="0.55000000000000004">
      <c r="A8" s="24" t="s">
        <v>422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</row>
    <row r="9" spans="1:11" x14ac:dyDescent="0.55000000000000004">
      <c r="A9" s="24" t="s">
        <v>173</v>
      </c>
      <c r="B9" s="26">
        <v>0</v>
      </c>
      <c r="C9" s="26">
        <v>0</v>
      </c>
      <c r="D9" s="26">
        <v>0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s="26">
        <v>0</v>
      </c>
      <c r="K9" s="26">
        <v>0</v>
      </c>
    </row>
    <row r="10" spans="1:11" x14ac:dyDescent="0.55000000000000004">
      <c r="A10" s="17" t="s">
        <v>175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</row>
    <row r="11" spans="1:11" x14ac:dyDescent="0.55000000000000004">
      <c r="A11" s="17" t="s">
        <v>177</v>
      </c>
      <c r="B11" s="22">
        <v>0</v>
      </c>
      <c r="C11" s="22">
        <v>0</v>
      </c>
      <c r="D11" s="22">
        <v>0</v>
      </c>
      <c r="E11" s="22">
        <v>0</v>
      </c>
      <c r="F11" s="22">
        <v>0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</row>
    <row r="12" spans="1:11" x14ac:dyDescent="0.55000000000000004">
      <c r="A12" s="17" t="s">
        <v>423</v>
      </c>
      <c r="B12" s="22">
        <v>0</v>
      </c>
      <c r="C12" s="22">
        <v>0</v>
      </c>
      <c r="D12" s="22">
        <v>0</v>
      </c>
      <c r="E12" s="22">
        <v>0</v>
      </c>
      <c r="F12" s="22">
        <v>0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</row>
    <row r="13" spans="1:11" x14ac:dyDescent="0.55000000000000004">
      <c r="A13" s="17" t="s">
        <v>424</v>
      </c>
      <c r="B13" s="22">
        <v>0</v>
      </c>
      <c r="C13" s="22">
        <v>0</v>
      </c>
      <c r="D13" s="22">
        <v>0</v>
      </c>
      <c r="E13" s="22">
        <v>0</v>
      </c>
      <c r="F13" s="22">
        <v>0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</row>
    <row r="14" spans="1:11" x14ac:dyDescent="0.55000000000000004">
      <c r="A14" s="17" t="s">
        <v>176</v>
      </c>
      <c r="B14" s="22">
        <v>0</v>
      </c>
      <c r="C14" s="22">
        <v>0</v>
      </c>
      <c r="D14" s="22">
        <v>0</v>
      </c>
      <c r="E14" s="22">
        <v>0</v>
      </c>
      <c r="F14" s="22">
        <v>0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</row>
    <row r="15" spans="1:11" x14ac:dyDescent="0.55000000000000004">
      <c r="A15" s="15" t="s">
        <v>178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</row>
    <row r="16" spans="1:11" x14ac:dyDescent="0.55000000000000004">
      <c r="A16" s="15" t="s">
        <v>180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</row>
    <row r="17" spans="1:11" x14ac:dyDescent="0.55000000000000004">
      <c r="A17" s="15" t="s">
        <v>426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</row>
    <row r="18" spans="1:11" x14ac:dyDescent="0.55000000000000004">
      <c r="A18" s="15" t="s">
        <v>427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</row>
    <row r="19" spans="1:11" x14ac:dyDescent="0.55000000000000004">
      <c r="A19" s="15" t="s">
        <v>179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</row>
    <row r="20" spans="1:11" x14ac:dyDescent="0.55000000000000004">
      <c r="A20" s="58" t="s">
        <v>181</v>
      </c>
      <c r="B20" s="59"/>
      <c r="C20" s="59"/>
      <c r="D20" s="59"/>
      <c r="E20" s="59"/>
      <c r="F20" s="59"/>
      <c r="G20" s="59"/>
      <c r="H20" s="59"/>
      <c r="I20" s="59"/>
      <c r="J20" s="59"/>
      <c r="K20" s="59"/>
    </row>
    <row r="21" spans="1:11" x14ac:dyDescent="0.55000000000000004">
      <c r="A21" s="58" t="s">
        <v>183</v>
      </c>
      <c r="B21" s="59"/>
      <c r="C21" s="59"/>
      <c r="D21" s="59"/>
      <c r="E21" s="59"/>
      <c r="F21" s="59"/>
      <c r="G21" s="59"/>
      <c r="H21" s="59"/>
      <c r="I21" s="59"/>
      <c r="J21" s="59"/>
      <c r="K21" s="59"/>
    </row>
    <row r="22" spans="1:11" x14ac:dyDescent="0.55000000000000004">
      <c r="A22" s="58" t="s">
        <v>428</v>
      </c>
      <c r="B22" s="59"/>
      <c r="C22" s="59"/>
      <c r="D22" s="59"/>
      <c r="E22" s="59"/>
      <c r="F22" s="59"/>
      <c r="G22" s="59"/>
      <c r="H22" s="59"/>
      <c r="I22" s="59"/>
      <c r="J22" s="59"/>
      <c r="K22" s="59"/>
    </row>
    <row r="23" spans="1:11" x14ac:dyDescent="0.55000000000000004">
      <c r="A23" s="58" t="s">
        <v>429</v>
      </c>
      <c r="B23" s="59"/>
      <c r="C23" s="59"/>
      <c r="D23" s="59"/>
      <c r="E23" s="59"/>
      <c r="F23" s="59"/>
      <c r="G23" s="59"/>
      <c r="H23" s="59"/>
      <c r="I23" s="59"/>
      <c r="J23" s="59"/>
      <c r="K23" s="59"/>
    </row>
    <row r="24" spans="1:11" x14ac:dyDescent="0.55000000000000004">
      <c r="A24" s="58" t="s">
        <v>182</v>
      </c>
      <c r="B24" s="59"/>
      <c r="C24" s="59"/>
      <c r="D24" s="59"/>
      <c r="E24" s="59"/>
      <c r="F24" s="59"/>
      <c r="G24" s="59"/>
      <c r="H24" s="59"/>
      <c r="I24" s="59"/>
      <c r="J24" s="59"/>
      <c r="K24" s="59"/>
    </row>
    <row r="25" spans="1:11" x14ac:dyDescent="0.55000000000000004">
      <c r="A25" s="24" t="s">
        <v>194</v>
      </c>
      <c r="B25" s="27">
        <f t="shared" ref="B25:K25" si="0">B5+B10+B15+B20</f>
        <v>0</v>
      </c>
      <c r="C25" s="27">
        <f t="shared" si="0"/>
        <v>0</v>
      </c>
      <c r="D25" s="27">
        <f t="shared" si="0"/>
        <v>0</v>
      </c>
      <c r="E25" s="27">
        <f t="shared" si="0"/>
        <v>0</v>
      </c>
      <c r="F25" s="27">
        <f t="shared" si="0"/>
        <v>0</v>
      </c>
      <c r="G25" s="27">
        <f t="shared" si="0"/>
        <v>2</v>
      </c>
      <c r="H25" s="27">
        <f t="shared" si="0"/>
        <v>0</v>
      </c>
      <c r="I25" s="27">
        <f t="shared" si="0"/>
        <v>0</v>
      </c>
      <c r="J25" s="27">
        <f t="shared" si="0"/>
        <v>0</v>
      </c>
      <c r="K25" s="27">
        <f t="shared" si="0"/>
        <v>0</v>
      </c>
    </row>
    <row r="26" spans="1:11" x14ac:dyDescent="0.55000000000000004">
      <c r="A26" s="17" t="s">
        <v>195</v>
      </c>
      <c r="B26" s="20">
        <f t="shared" ref="B26:K26" si="1">B6+B11+B16+B21</f>
        <v>0</v>
      </c>
      <c r="C26" s="20">
        <f t="shared" si="1"/>
        <v>0</v>
      </c>
      <c r="D26" s="20">
        <f t="shared" si="1"/>
        <v>0</v>
      </c>
      <c r="E26" s="20">
        <f t="shared" si="1"/>
        <v>0</v>
      </c>
      <c r="F26" s="20">
        <f t="shared" si="1"/>
        <v>0</v>
      </c>
      <c r="G26" s="20">
        <f t="shared" si="1"/>
        <v>0</v>
      </c>
      <c r="H26" s="20">
        <f t="shared" si="1"/>
        <v>0</v>
      </c>
      <c r="I26" s="20">
        <f t="shared" si="1"/>
        <v>0</v>
      </c>
      <c r="J26" s="20">
        <f t="shared" si="1"/>
        <v>0</v>
      </c>
      <c r="K26" s="20">
        <f t="shared" si="1"/>
        <v>0</v>
      </c>
    </row>
    <row r="27" spans="1:11" x14ac:dyDescent="0.55000000000000004">
      <c r="A27" s="15" t="s">
        <v>196</v>
      </c>
      <c r="B27" s="21">
        <f t="shared" ref="B27:K27" si="2">B7+B12+B17+B22</f>
        <v>0</v>
      </c>
      <c r="C27" s="21">
        <f t="shared" si="2"/>
        <v>0</v>
      </c>
      <c r="D27" s="21">
        <f t="shared" si="2"/>
        <v>0</v>
      </c>
      <c r="E27" s="21">
        <f t="shared" si="2"/>
        <v>0</v>
      </c>
      <c r="F27" s="21">
        <f t="shared" si="2"/>
        <v>0</v>
      </c>
      <c r="G27" s="21">
        <f t="shared" si="2"/>
        <v>0</v>
      </c>
      <c r="H27" s="21">
        <f t="shared" si="2"/>
        <v>0</v>
      </c>
      <c r="I27" s="21">
        <f t="shared" si="2"/>
        <v>0</v>
      </c>
      <c r="J27" s="21">
        <f t="shared" si="2"/>
        <v>0</v>
      </c>
      <c r="K27" s="21">
        <f t="shared" si="2"/>
        <v>0</v>
      </c>
    </row>
    <row r="28" spans="1:11" x14ac:dyDescent="0.55000000000000004">
      <c r="B28" s="31"/>
      <c r="C28" s="31"/>
      <c r="D28" s="31"/>
      <c r="E28" s="31"/>
      <c r="F28" s="31"/>
      <c r="G28" s="31"/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B766A-2CFE-4E49-A7D9-855826EFE6D7}">
  <sheetPr codeName="Sheet15"/>
  <dimension ref="A1:J39"/>
  <sheetViews>
    <sheetView topLeftCell="A31" workbookViewId="0">
      <selection activeCell="B17" sqref="B17:B19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4140625" customWidth="1"/>
    <col min="9" max="9" width="11.9140625" customWidth="1"/>
    <col min="10" max="10" width="11.25" customWidth="1"/>
    <col min="13" max="13" width="18.4140625" customWidth="1"/>
    <col min="14" max="14" width="17.5" customWidth="1"/>
    <col min="15" max="15" width="26.08203125" bestFit="1" customWidth="1"/>
    <col min="16" max="16" width="19.5" customWidth="1"/>
    <col min="17" max="17" width="14.83203125" customWidth="1"/>
    <col min="18" max="18" width="14.4140625" customWidth="1"/>
    <col min="19" max="19" width="18.25" bestFit="1" customWidth="1"/>
    <col min="20" max="20" width="18.1640625" bestFit="1" customWidth="1"/>
    <col min="21" max="21" width="26.08203125" bestFit="1" customWidth="1"/>
    <col min="22" max="22" width="12.33203125" bestFit="1" customWidth="1"/>
    <col min="23" max="23" width="12.25" bestFit="1" customWidth="1"/>
  </cols>
  <sheetData>
    <row r="1" spans="1:10" x14ac:dyDescent="0.55000000000000004">
      <c r="A1" s="55" t="s">
        <v>169</v>
      </c>
      <c r="B1" s="56"/>
      <c r="C1" s="57"/>
      <c r="D1" s="57"/>
      <c r="E1" s="57"/>
      <c r="F1" s="57"/>
      <c r="G1" s="57"/>
    </row>
    <row r="2" spans="1:10" x14ac:dyDescent="0.55000000000000004">
      <c r="A2" s="57"/>
      <c r="B2" s="56"/>
      <c r="C2" s="57"/>
      <c r="D2" s="57"/>
      <c r="E2" s="57"/>
      <c r="F2" s="57"/>
      <c r="G2" s="57"/>
    </row>
    <row r="3" spans="1:10" x14ac:dyDescent="0.55000000000000004">
      <c r="A3" s="1" t="s">
        <v>23</v>
      </c>
      <c r="B3" s="50" t="s">
        <v>158</v>
      </c>
      <c r="C3" s="50" t="s">
        <v>158</v>
      </c>
      <c r="D3" s="50" t="s">
        <v>158</v>
      </c>
      <c r="E3" s="50" t="s">
        <v>158</v>
      </c>
      <c r="F3" s="50" t="s">
        <v>158</v>
      </c>
      <c r="G3" s="50" t="s">
        <v>158</v>
      </c>
      <c r="H3" s="50" t="s">
        <v>158</v>
      </c>
      <c r="I3" s="50" t="s">
        <v>158</v>
      </c>
      <c r="J3" s="60"/>
    </row>
    <row r="4" spans="1:10" x14ac:dyDescent="0.55000000000000004">
      <c r="A4" s="1" t="s">
        <v>34</v>
      </c>
      <c r="B4" s="2" t="s">
        <v>68</v>
      </c>
      <c r="C4" s="2" t="s">
        <v>99</v>
      </c>
      <c r="D4" s="2" t="s">
        <v>2</v>
      </c>
      <c r="E4" s="2" t="s">
        <v>15</v>
      </c>
      <c r="F4" s="2" t="s">
        <v>149</v>
      </c>
      <c r="G4" s="2" t="s">
        <v>147</v>
      </c>
      <c r="H4" s="2" t="s">
        <v>148</v>
      </c>
      <c r="I4" s="2" t="s">
        <v>40</v>
      </c>
      <c r="J4" s="3"/>
    </row>
    <row r="5" spans="1:10" x14ac:dyDescent="0.55000000000000004">
      <c r="A5" s="24" t="s">
        <v>172</v>
      </c>
      <c r="B5" s="26">
        <v>0</v>
      </c>
      <c r="C5" s="26">
        <v>0</v>
      </c>
      <c r="D5" s="26">
        <v>0</v>
      </c>
      <c r="E5" s="26">
        <v>1</v>
      </c>
      <c r="F5" s="26">
        <v>0</v>
      </c>
      <c r="G5" s="26">
        <v>0</v>
      </c>
      <c r="H5" s="26">
        <v>0</v>
      </c>
      <c r="I5" s="26">
        <v>0</v>
      </c>
      <c r="J5" s="52"/>
    </row>
    <row r="6" spans="1:10" x14ac:dyDescent="0.55000000000000004">
      <c r="A6" s="24" t="s">
        <v>173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52"/>
    </row>
    <row r="7" spans="1:10" x14ac:dyDescent="0.55000000000000004">
      <c r="A7" s="24" t="s">
        <v>174</v>
      </c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52"/>
    </row>
    <row r="8" spans="1:10" x14ac:dyDescent="0.55000000000000004">
      <c r="A8" s="17" t="s">
        <v>175</v>
      </c>
      <c r="B8" s="22">
        <v>0</v>
      </c>
      <c r="C8" s="22">
        <v>2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52"/>
    </row>
    <row r="9" spans="1:10" x14ac:dyDescent="0.55000000000000004">
      <c r="A9" s="17" t="s">
        <v>176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52"/>
    </row>
    <row r="10" spans="1:10" x14ac:dyDescent="0.55000000000000004">
      <c r="A10" s="17" t="s">
        <v>177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52"/>
    </row>
    <row r="11" spans="1:10" x14ac:dyDescent="0.55000000000000004">
      <c r="A11" s="15" t="s">
        <v>178</v>
      </c>
      <c r="B11" s="23">
        <v>0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1</v>
      </c>
      <c r="I11" s="23">
        <v>0</v>
      </c>
      <c r="J11" s="52"/>
    </row>
    <row r="12" spans="1:10" x14ac:dyDescent="0.55000000000000004">
      <c r="A12" s="15" t="s">
        <v>179</v>
      </c>
      <c r="B12" s="23">
        <v>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52"/>
    </row>
    <row r="13" spans="1:10" x14ac:dyDescent="0.55000000000000004">
      <c r="A13" s="15" t="s">
        <v>180</v>
      </c>
      <c r="B13" s="23">
        <v>0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52"/>
    </row>
    <row r="14" spans="1:10" x14ac:dyDescent="0.55000000000000004">
      <c r="A14" s="58" t="s">
        <v>181</v>
      </c>
      <c r="B14" s="59">
        <v>0</v>
      </c>
      <c r="C14" s="59">
        <v>0</v>
      </c>
      <c r="D14" s="59">
        <v>0</v>
      </c>
      <c r="E14" s="59">
        <v>0</v>
      </c>
      <c r="F14" s="59">
        <v>0</v>
      </c>
      <c r="G14" s="59">
        <v>3</v>
      </c>
      <c r="H14" s="59">
        <v>0</v>
      </c>
      <c r="I14" s="59">
        <v>0</v>
      </c>
      <c r="J14" s="52"/>
    </row>
    <row r="15" spans="1:10" x14ac:dyDescent="0.55000000000000004">
      <c r="A15" s="58" t="s">
        <v>182</v>
      </c>
      <c r="B15" s="59">
        <v>0</v>
      </c>
      <c r="C15" s="59">
        <v>0</v>
      </c>
      <c r="D15" s="59">
        <v>0</v>
      </c>
      <c r="E15" s="59">
        <v>0</v>
      </c>
      <c r="F15" s="59">
        <v>0</v>
      </c>
      <c r="G15" s="59">
        <v>0</v>
      </c>
      <c r="H15" s="59">
        <v>0</v>
      </c>
      <c r="I15" s="59">
        <v>0</v>
      </c>
      <c r="J15" s="52"/>
    </row>
    <row r="16" spans="1:10" x14ac:dyDescent="0.55000000000000004">
      <c r="A16" s="58" t="s">
        <v>183</v>
      </c>
      <c r="B16" s="59">
        <v>0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2"/>
    </row>
    <row r="17" spans="1:10" x14ac:dyDescent="0.55000000000000004">
      <c r="A17" s="24" t="s">
        <v>197</v>
      </c>
      <c r="B17" s="27">
        <f>B5+B8+B11+B14</f>
        <v>0</v>
      </c>
      <c r="C17" s="27">
        <f t="shared" ref="C17:I17" si="0">C5+C8+C11+C14</f>
        <v>2</v>
      </c>
      <c r="D17" s="27">
        <f t="shared" si="0"/>
        <v>0</v>
      </c>
      <c r="E17" s="27">
        <f t="shared" si="0"/>
        <v>1</v>
      </c>
      <c r="F17" s="27">
        <f t="shared" si="0"/>
        <v>0</v>
      </c>
      <c r="G17" s="27">
        <f t="shared" si="0"/>
        <v>3</v>
      </c>
      <c r="H17" s="27">
        <f t="shared" si="0"/>
        <v>1</v>
      </c>
      <c r="I17" s="27">
        <f t="shared" si="0"/>
        <v>0</v>
      </c>
      <c r="J17" s="31"/>
    </row>
    <row r="18" spans="1:10" x14ac:dyDescent="0.55000000000000004">
      <c r="A18" s="17" t="s">
        <v>198</v>
      </c>
      <c r="B18" s="20">
        <f>B6+B9+B12+B15</f>
        <v>0</v>
      </c>
      <c r="C18" s="20">
        <f t="shared" ref="C18:I18" si="1">C6+C9+C12+C15</f>
        <v>0</v>
      </c>
      <c r="D18" s="20">
        <f t="shared" si="1"/>
        <v>0</v>
      </c>
      <c r="E18" s="20">
        <f t="shared" si="1"/>
        <v>0</v>
      </c>
      <c r="F18" s="20">
        <f t="shared" si="1"/>
        <v>0</v>
      </c>
      <c r="G18" s="20">
        <f t="shared" si="1"/>
        <v>0</v>
      </c>
      <c r="H18" s="20">
        <f t="shared" si="1"/>
        <v>0</v>
      </c>
      <c r="I18" s="20">
        <f t="shared" si="1"/>
        <v>0</v>
      </c>
      <c r="J18" s="31"/>
    </row>
    <row r="19" spans="1:10" x14ac:dyDescent="0.55000000000000004">
      <c r="A19" s="15" t="s">
        <v>199</v>
      </c>
      <c r="B19" s="21">
        <f>B7+B10+B13+B16</f>
        <v>0</v>
      </c>
      <c r="C19" s="21">
        <f t="shared" ref="C19:I19" si="2">C7+C10+C13+C16</f>
        <v>0</v>
      </c>
      <c r="D19" s="21">
        <f t="shared" si="2"/>
        <v>0</v>
      </c>
      <c r="E19" s="21">
        <f t="shared" si="2"/>
        <v>0</v>
      </c>
      <c r="F19" s="21">
        <f t="shared" si="2"/>
        <v>0</v>
      </c>
      <c r="G19" s="21">
        <f t="shared" si="2"/>
        <v>0</v>
      </c>
      <c r="H19" s="21">
        <f t="shared" si="2"/>
        <v>0</v>
      </c>
      <c r="I19" s="21">
        <f t="shared" si="2"/>
        <v>0</v>
      </c>
      <c r="J19" s="31"/>
    </row>
    <row r="20" spans="1:10" x14ac:dyDescent="0.55000000000000004">
      <c r="B20" s="31"/>
      <c r="C20" s="31"/>
      <c r="D20" s="31"/>
      <c r="E20" s="31"/>
      <c r="F20" s="31"/>
      <c r="G20" s="31"/>
    </row>
    <row r="23" spans="1:10" x14ac:dyDescent="0.55000000000000004">
      <c r="A23" s="1" t="s">
        <v>23</v>
      </c>
      <c r="B23" s="50" t="s">
        <v>192</v>
      </c>
      <c r="C23" s="50" t="s">
        <v>192</v>
      </c>
      <c r="D23" s="50" t="s">
        <v>192</v>
      </c>
      <c r="E23" s="50" t="s">
        <v>192</v>
      </c>
      <c r="F23" s="50" t="s">
        <v>192</v>
      </c>
      <c r="G23" s="50" t="s">
        <v>192</v>
      </c>
      <c r="H23" s="50" t="s">
        <v>192</v>
      </c>
      <c r="I23" s="50" t="s">
        <v>192</v>
      </c>
      <c r="J23" s="50" t="s">
        <v>192</v>
      </c>
    </row>
    <row r="24" spans="1:10" x14ac:dyDescent="0.55000000000000004">
      <c r="A24" s="1" t="s">
        <v>34</v>
      </c>
      <c r="B24" s="2" t="s">
        <v>68</v>
      </c>
      <c r="C24" s="2" t="s">
        <v>99</v>
      </c>
      <c r="D24" s="2" t="s">
        <v>2</v>
      </c>
      <c r="E24" s="2" t="s">
        <v>15</v>
      </c>
      <c r="F24" s="2" t="s">
        <v>149</v>
      </c>
      <c r="G24" s="2" t="s">
        <v>147</v>
      </c>
      <c r="H24" s="2" t="s">
        <v>148</v>
      </c>
      <c r="I24" s="2" t="s">
        <v>40</v>
      </c>
      <c r="J24" s="2" t="s">
        <v>163</v>
      </c>
    </row>
    <row r="25" spans="1:10" x14ac:dyDescent="0.55000000000000004">
      <c r="A25" s="24" t="s">
        <v>172</v>
      </c>
      <c r="B25" s="26">
        <v>0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0</v>
      </c>
      <c r="I25" s="26">
        <v>1</v>
      </c>
      <c r="J25" s="26">
        <v>0</v>
      </c>
    </row>
    <row r="26" spans="1:10" x14ac:dyDescent="0.55000000000000004">
      <c r="A26" s="24" t="s">
        <v>173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</row>
    <row r="27" spans="1:10" x14ac:dyDescent="0.55000000000000004">
      <c r="A27" s="24" t="s">
        <v>174</v>
      </c>
      <c r="B27" s="26">
        <v>0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</row>
    <row r="28" spans="1:10" x14ac:dyDescent="0.55000000000000004">
      <c r="A28" s="17" t="s">
        <v>175</v>
      </c>
      <c r="B28" s="22">
        <v>0</v>
      </c>
      <c r="C28" s="22">
        <v>1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</row>
    <row r="29" spans="1:10" x14ac:dyDescent="0.55000000000000004">
      <c r="A29" s="17" t="s">
        <v>176</v>
      </c>
      <c r="B29" s="22">
        <v>0</v>
      </c>
      <c r="C29" s="22">
        <v>0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</row>
    <row r="30" spans="1:10" x14ac:dyDescent="0.55000000000000004">
      <c r="A30" s="17" t="s">
        <v>177</v>
      </c>
      <c r="B30" s="22">
        <v>0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</row>
    <row r="31" spans="1:10" x14ac:dyDescent="0.55000000000000004">
      <c r="A31" s="15" t="s">
        <v>178</v>
      </c>
      <c r="B31" s="23">
        <v>0</v>
      </c>
      <c r="C31" s="23">
        <v>2</v>
      </c>
      <c r="D31" s="23">
        <v>0</v>
      </c>
      <c r="E31" s="23">
        <v>0</v>
      </c>
      <c r="F31" s="23">
        <v>0</v>
      </c>
      <c r="G31" s="23">
        <v>1</v>
      </c>
      <c r="H31" s="23">
        <v>0</v>
      </c>
      <c r="I31" s="23">
        <v>1</v>
      </c>
      <c r="J31" s="23">
        <v>0</v>
      </c>
    </row>
    <row r="32" spans="1:10" x14ac:dyDescent="0.55000000000000004">
      <c r="A32" s="15" t="s">
        <v>179</v>
      </c>
      <c r="B32" s="23">
        <v>0</v>
      </c>
      <c r="C32" s="23">
        <v>0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</row>
    <row r="33" spans="1:10" x14ac:dyDescent="0.55000000000000004">
      <c r="A33" s="15" t="s">
        <v>180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</row>
    <row r="34" spans="1:10" x14ac:dyDescent="0.55000000000000004">
      <c r="A34" s="58" t="s">
        <v>181</v>
      </c>
      <c r="B34" s="59">
        <v>0</v>
      </c>
      <c r="C34" s="59">
        <v>1</v>
      </c>
      <c r="D34" s="59">
        <v>0</v>
      </c>
      <c r="E34" s="59">
        <v>0</v>
      </c>
      <c r="F34" s="59">
        <v>0</v>
      </c>
      <c r="G34" s="59">
        <v>2</v>
      </c>
      <c r="H34" s="59">
        <v>0</v>
      </c>
      <c r="I34" s="59">
        <v>0</v>
      </c>
      <c r="J34" s="59">
        <v>0</v>
      </c>
    </row>
    <row r="35" spans="1:10" x14ac:dyDescent="0.55000000000000004">
      <c r="A35" s="58" t="s">
        <v>182</v>
      </c>
      <c r="B35" s="59">
        <v>0</v>
      </c>
      <c r="C35" s="59">
        <v>0</v>
      </c>
      <c r="D35" s="59">
        <v>0</v>
      </c>
      <c r="E35" s="59">
        <v>0</v>
      </c>
      <c r="F35" s="59">
        <v>0</v>
      </c>
      <c r="G35" s="59">
        <v>0</v>
      </c>
      <c r="H35" s="59">
        <v>0</v>
      </c>
      <c r="I35" s="59">
        <v>0</v>
      </c>
      <c r="J35" s="59">
        <v>0</v>
      </c>
    </row>
    <row r="36" spans="1:10" x14ac:dyDescent="0.55000000000000004">
      <c r="A36" s="58" t="s">
        <v>183</v>
      </c>
      <c r="B36" s="59">
        <v>0</v>
      </c>
      <c r="C36" s="59">
        <v>0</v>
      </c>
      <c r="D36" s="59">
        <v>0</v>
      </c>
      <c r="E36" s="59">
        <v>0</v>
      </c>
      <c r="F36" s="59">
        <v>0</v>
      </c>
      <c r="G36" s="59">
        <v>0</v>
      </c>
      <c r="H36" s="59">
        <v>0</v>
      </c>
      <c r="I36" s="59">
        <v>0</v>
      </c>
      <c r="J36" s="59">
        <v>0</v>
      </c>
    </row>
    <row r="37" spans="1:10" x14ac:dyDescent="0.55000000000000004">
      <c r="A37" s="24" t="s">
        <v>194</v>
      </c>
      <c r="B37" s="27">
        <f>B25+B28+B31+B34</f>
        <v>0</v>
      </c>
      <c r="C37" s="27">
        <f t="shared" ref="C37:I37" si="3">C25+C28+C31+C34</f>
        <v>4</v>
      </c>
      <c r="D37" s="27">
        <f t="shared" si="3"/>
        <v>0</v>
      </c>
      <c r="E37" s="27">
        <f t="shared" si="3"/>
        <v>0</v>
      </c>
      <c r="F37" s="27">
        <f t="shared" si="3"/>
        <v>0</v>
      </c>
      <c r="G37" s="27">
        <f t="shared" si="3"/>
        <v>3</v>
      </c>
      <c r="H37" s="27">
        <f t="shared" si="3"/>
        <v>0</v>
      </c>
      <c r="I37" s="27">
        <f t="shared" si="3"/>
        <v>2</v>
      </c>
      <c r="J37" s="27">
        <f t="shared" ref="J37" si="4">J25+J28+J31+J34</f>
        <v>0</v>
      </c>
    </row>
    <row r="38" spans="1:10" x14ac:dyDescent="0.55000000000000004">
      <c r="A38" s="17" t="s">
        <v>195</v>
      </c>
      <c r="B38" s="20">
        <f>B26+B29+B32+B35</f>
        <v>0</v>
      </c>
      <c r="C38" s="20">
        <f t="shared" ref="C38:I38" si="5">C26+C29+C32+C35</f>
        <v>0</v>
      </c>
      <c r="D38" s="20">
        <f t="shared" si="5"/>
        <v>0</v>
      </c>
      <c r="E38" s="20">
        <f t="shared" si="5"/>
        <v>0</v>
      </c>
      <c r="F38" s="20">
        <f t="shared" si="5"/>
        <v>0</v>
      </c>
      <c r="G38" s="20">
        <f t="shared" si="5"/>
        <v>0</v>
      </c>
      <c r="H38" s="20">
        <f t="shared" si="5"/>
        <v>0</v>
      </c>
      <c r="I38" s="20">
        <f t="shared" si="5"/>
        <v>0</v>
      </c>
      <c r="J38" s="20">
        <f t="shared" ref="J38" si="6">J26+J29+J32+J35</f>
        <v>0</v>
      </c>
    </row>
    <row r="39" spans="1:10" x14ac:dyDescent="0.55000000000000004">
      <c r="A39" s="15" t="s">
        <v>196</v>
      </c>
      <c r="B39" s="21">
        <f>B27+B30+B33+B36</f>
        <v>0</v>
      </c>
      <c r="C39" s="21">
        <f t="shared" ref="C39:I39" si="7">C27+C30+C33+C36</f>
        <v>0</v>
      </c>
      <c r="D39" s="21">
        <f t="shared" si="7"/>
        <v>0</v>
      </c>
      <c r="E39" s="21">
        <f t="shared" si="7"/>
        <v>0</v>
      </c>
      <c r="F39" s="21">
        <f t="shared" si="7"/>
        <v>0</v>
      </c>
      <c r="G39" s="21">
        <f t="shared" si="7"/>
        <v>0</v>
      </c>
      <c r="H39" s="21">
        <f t="shared" si="7"/>
        <v>0</v>
      </c>
      <c r="I39" s="21">
        <f t="shared" si="7"/>
        <v>0</v>
      </c>
      <c r="J39" s="21">
        <f t="shared" ref="J39" si="8">J27+J30+J33+J36</f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DFD9D-F672-4679-A254-D008435DBC5D}">
  <sheetPr codeName="Sheet16"/>
  <dimension ref="A1:J46"/>
  <sheetViews>
    <sheetView topLeftCell="A31" workbookViewId="0">
      <selection activeCell="A24" sqref="A24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  <col min="5" max="5" width="13.58203125" bestFit="1" customWidth="1"/>
    <col min="6" max="6" width="11.33203125" bestFit="1" customWidth="1"/>
    <col min="7" max="7" width="12.1640625" customWidth="1"/>
    <col min="8" max="8" width="11.4140625" customWidth="1"/>
    <col min="9" max="9" width="11.9140625" customWidth="1"/>
    <col min="10" max="10" width="11.25" customWidth="1"/>
    <col min="13" max="13" width="18.4140625" customWidth="1"/>
    <col min="14" max="14" width="17.5" customWidth="1"/>
    <col min="15" max="15" width="26.08203125" bestFit="1" customWidth="1"/>
    <col min="16" max="16" width="19.5" customWidth="1"/>
    <col min="17" max="17" width="14.83203125" customWidth="1"/>
    <col min="18" max="18" width="14.4140625" customWidth="1"/>
    <col min="19" max="19" width="18.25" bestFit="1" customWidth="1"/>
    <col min="20" max="20" width="18.1640625" bestFit="1" customWidth="1"/>
    <col min="21" max="21" width="26.08203125" bestFit="1" customWidth="1"/>
    <col min="22" max="22" width="12.33203125" bestFit="1" customWidth="1"/>
    <col min="23" max="23" width="12.25" bestFit="1" customWidth="1"/>
  </cols>
  <sheetData>
    <row r="1" spans="1:10" x14ac:dyDescent="0.55000000000000004">
      <c r="A1" s="55" t="s">
        <v>169</v>
      </c>
      <c r="B1" s="56"/>
      <c r="C1" s="57"/>
      <c r="D1" s="57"/>
      <c r="E1" s="57"/>
      <c r="F1" s="57"/>
      <c r="G1" s="57"/>
    </row>
    <row r="2" spans="1:10" x14ac:dyDescent="0.55000000000000004">
      <c r="A2" s="57"/>
      <c r="B2" s="56"/>
      <c r="C2" s="57"/>
      <c r="D2" s="57"/>
      <c r="E2" s="57"/>
      <c r="F2" s="57"/>
      <c r="G2" s="57"/>
    </row>
    <row r="3" spans="1:10" x14ac:dyDescent="0.55000000000000004">
      <c r="A3" s="1" t="s">
        <v>23</v>
      </c>
      <c r="B3" s="50" t="s">
        <v>158</v>
      </c>
      <c r="C3" s="50" t="s">
        <v>158</v>
      </c>
      <c r="D3" s="50" t="s">
        <v>158</v>
      </c>
      <c r="E3" s="50" t="s">
        <v>158</v>
      </c>
      <c r="F3" s="50" t="s">
        <v>158</v>
      </c>
      <c r="G3" s="50" t="s">
        <v>158</v>
      </c>
      <c r="H3" s="50" t="s">
        <v>158</v>
      </c>
      <c r="I3" s="50" t="s">
        <v>158</v>
      </c>
      <c r="J3" s="60"/>
    </row>
    <row r="4" spans="1:10" x14ac:dyDescent="0.55000000000000004">
      <c r="A4" s="1" t="s">
        <v>34</v>
      </c>
      <c r="B4" s="2" t="s">
        <v>68</v>
      </c>
      <c r="C4" s="2" t="s">
        <v>99</v>
      </c>
      <c r="D4" s="2" t="s">
        <v>2</v>
      </c>
      <c r="E4" s="2" t="s">
        <v>15</v>
      </c>
      <c r="F4" s="2" t="s">
        <v>149</v>
      </c>
      <c r="G4" s="2" t="s">
        <v>147</v>
      </c>
      <c r="H4" s="2" t="s">
        <v>148</v>
      </c>
      <c r="I4" s="2" t="s">
        <v>40</v>
      </c>
      <c r="J4" s="3"/>
    </row>
    <row r="5" spans="1:10" x14ac:dyDescent="0.55000000000000004">
      <c r="A5" s="24" t="s">
        <v>172</v>
      </c>
      <c r="B5" s="26">
        <v>0</v>
      </c>
      <c r="C5" s="26">
        <v>0</v>
      </c>
      <c r="D5" s="26">
        <v>0</v>
      </c>
      <c r="E5" s="26">
        <v>1</v>
      </c>
      <c r="F5" s="26">
        <v>0</v>
      </c>
      <c r="G5" s="26">
        <v>0</v>
      </c>
      <c r="H5" s="26">
        <v>0</v>
      </c>
      <c r="I5" s="26">
        <v>0</v>
      </c>
      <c r="J5" s="52"/>
    </row>
    <row r="6" spans="1:10" x14ac:dyDescent="0.55000000000000004">
      <c r="A6" s="24" t="s">
        <v>173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52"/>
    </row>
    <row r="7" spans="1:10" x14ac:dyDescent="0.55000000000000004">
      <c r="A7" s="24" t="s">
        <v>174</v>
      </c>
      <c r="B7" s="26">
        <v>0</v>
      </c>
      <c r="C7" s="26">
        <v>0</v>
      </c>
      <c r="D7" s="26">
        <v>0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52"/>
    </row>
    <row r="8" spans="1:10" x14ac:dyDescent="0.55000000000000004">
      <c r="A8" s="17" t="s">
        <v>175</v>
      </c>
      <c r="B8" s="22">
        <v>0</v>
      </c>
      <c r="C8" s="22">
        <v>2</v>
      </c>
      <c r="D8" s="22">
        <v>0</v>
      </c>
      <c r="E8" s="22">
        <v>0</v>
      </c>
      <c r="F8" s="22">
        <v>0</v>
      </c>
      <c r="G8" s="22">
        <v>0</v>
      </c>
      <c r="H8" s="22">
        <v>0</v>
      </c>
      <c r="I8" s="22">
        <v>0</v>
      </c>
      <c r="J8" s="52"/>
    </row>
    <row r="9" spans="1:10" x14ac:dyDescent="0.55000000000000004">
      <c r="A9" s="17" t="s">
        <v>176</v>
      </c>
      <c r="B9" s="22">
        <v>0</v>
      </c>
      <c r="C9" s="22">
        <v>0</v>
      </c>
      <c r="D9" s="22">
        <v>0</v>
      </c>
      <c r="E9" s="22">
        <v>0</v>
      </c>
      <c r="F9" s="22">
        <v>0</v>
      </c>
      <c r="G9" s="22">
        <v>0</v>
      </c>
      <c r="H9" s="22">
        <v>0</v>
      </c>
      <c r="I9" s="22">
        <v>0</v>
      </c>
      <c r="J9" s="52"/>
    </row>
    <row r="10" spans="1:10" x14ac:dyDescent="0.55000000000000004">
      <c r="A10" s="17" t="s">
        <v>177</v>
      </c>
      <c r="B10" s="22">
        <v>0</v>
      </c>
      <c r="C10" s="22">
        <v>0</v>
      </c>
      <c r="D10" s="22">
        <v>0</v>
      </c>
      <c r="E10" s="22">
        <v>0</v>
      </c>
      <c r="F10" s="22">
        <v>0</v>
      </c>
      <c r="G10" s="22">
        <v>0</v>
      </c>
      <c r="H10" s="22">
        <v>0</v>
      </c>
      <c r="I10" s="22">
        <v>0</v>
      </c>
      <c r="J10" s="52"/>
    </row>
    <row r="11" spans="1:10" x14ac:dyDescent="0.55000000000000004">
      <c r="A11" s="15" t="s">
        <v>178</v>
      </c>
      <c r="B11" s="23">
        <v>0</v>
      </c>
      <c r="C11" s="23">
        <v>0</v>
      </c>
      <c r="D11" s="23">
        <v>0</v>
      </c>
      <c r="E11" s="23">
        <v>0</v>
      </c>
      <c r="F11" s="23">
        <v>0</v>
      </c>
      <c r="G11" s="23">
        <v>0</v>
      </c>
      <c r="H11" s="23">
        <v>1</v>
      </c>
      <c r="I11" s="23">
        <v>0</v>
      </c>
      <c r="J11" s="52"/>
    </row>
    <row r="12" spans="1:10" x14ac:dyDescent="0.55000000000000004">
      <c r="A12" s="15" t="s">
        <v>179</v>
      </c>
      <c r="B12" s="23">
        <v>0</v>
      </c>
      <c r="C12" s="23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52"/>
    </row>
    <row r="13" spans="1:10" x14ac:dyDescent="0.55000000000000004">
      <c r="A13" s="15" t="s">
        <v>180</v>
      </c>
      <c r="B13" s="23">
        <v>0</v>
      </c>
      <c r="C13" s="23">
        <v>0</v>
      </c>
      <c r="D13" s="23">
        <v>0</v>
      </c>
      <c r="E13" s="23">
        <v>0</v>
      </c>
      <c r="F13" s="23">
        <v>0</v>
      </c>
      <c r="G13" s="23">
        <v>0</v>
      </c>
      <c r="H13" s="23">
        <v>0</v>
      </c>
      <c r="I13" s="23">
        <v>0</v>
      </c>
      <c r="J13" s="52"/>
    </row>
    <row r="14" spans="1:10" x14ac:dyDescent="0.55000000000000004">
      <c r="A14" s="58" t="s">
        <v>181</v>
      </c>
      <c r="B14" s="59">
        <v>0</v>
      </c>
      <c r="C14" s="59">
        <v>0</v>
      </c>
      <c r="D14" s="59">
        <v>0</v>
      </c>
      <c r="E14" s="59">
        <v>0</v>
      </c>
      <c r="F14" s="59">
        <v>0</v>
      </c>
      <c r="G14" s="59">
        <v>3</v>
      </c>
      <c r="H14" s="59">
        <v>0</v>
      </c>
      <c r="I14" s="59">
        <v>0</v>
      </c>
      <c r="J14" s="52"/>
    </row>
    <row r="15" spans="1:10" x14ac:dyDescent="0.55000000000000004">
      <c r="A15" s="58" t="s">
        <v>182</v>
      </c>
      <c r="B15" s="59">
        <v>0</v>
      </c>
      <c r="C15" s="59">
        <v>0</v>
      </c>
      <c r="D15" s="59">
        <v>0</v>
      </c>
      <c r="E15" s="59">
        <v>0</v>
      </c>
      <c r="F15" s="59">
        <v>0</v>
      </c>
      <c r="G15" s="59">
        <v>0</v>
      </c>
      <c r="H15" s="59">
        <v>0</v>
      </c>
      <c r="I15" s="59">
        <v>0</v>
      </c>
      <c r="J15" s="52"/>
    </row>
    <row r="16" spans="1:10" x14ac:dyDescent="0.55000000000000004">
      <c r="A16" s="58" t="s">
        <v>183</v>
      </c>
      <c r="B16" s="59">
        <v>0</v>
      </c>
      <c r="C16" s="59">
        <v>0</v>
      </c>
      <c r="D16" s="59">
        <v>0</v>
      </c>
      <c r="E16" s="59">
        <v>0</v>
      </c>
      <c r="F16" s="59">
        <v>0</v>
      </c>
      <c r="G16" s="59">
        <v>0</v>
      </c>
      <c r="H16" s="59">
        <v>0</v>
      </c>
      <c r="I16" s="59">
        <v>0</v>
      </c>
      <c r="J16" s="52"/>
    </row>
    <row r="17" spans="1:10" x14ac:dyDescent="0.55000000000000004">
      <c r="A17" s="1" t="s">
        <v>197</v>
      </c>
      <c r="B17" s="11">
        <f>B5+B8+B11+B14</f>
        <v>0</v>
      </c>
      <c r="C17" s="11">
        <f t="shared" ref="C17:I19" si="0">C5+C8+C11+C14</f>
        <v>2</v>
      </c>
      <c r="D17" s="11">
        <f t="shared" si="0"/>
        <v>0</v>
      </c>
      <c r="E17" s="11">
        <f t="shared" si="0"/>
        <v>1</v>
      </c>
      <c r="F17" s="11">
        <f t="shared" si="0"/>
        <v>0</v>
      </c>
      <c r="G17" s="11">
        <f t="shared" si="0"/>
        <v>3</v>
      </c>
      <c r="H17" s="11">
        <f t="shared" si="0"/>
        <v>1</v>
      </c>
      <c r="I17" s="11">
        <f t="shared" si="0"/>
        <v>0</v>
      </c>
      <c r="J17" s="31"/>
    </row>
    <row r="18" spans="1:10" x14ac:dyDescent="0.55000000000000004">
      <c r="A18" s="1" t="s">
        <v>198</v>
      </c>
      <c r="B18" s="11">
        <f>B6+B9+B12+B15</f>
        <v>0</v>
      </c>
      <c r="C18" s="11">
        <f t="shared" si="0"/>
        <v>0</v>
      </c>
      <c r="D18" s="11">
        <f t="shared" si="0"/>
        <v>0</v>
      </c>
      <c r="E18" s="11">
        <f t="shared" si="0"/>
        <v>0</v>
      </c>
      <c r="F18" s="11">
        <f t="shared" si="0"/>
        <v>0</v>
      </c>
      <c r="G18" s="11">
        <f t="shared" si="0"/>
        <v>0</v>
      </c>
      <c r="H18" s="11">
        <f t="shared" si="0"/>
        <v>0</v>
      </c>
      <c r="I18" s="11">
        <f t="shared" si="0"/>
        <v>0</v>
      </c>
      <c r="J18" s="31"/>
    </row>
    <row r="19" spans="1:10" x14ac:dyDescent="0.55000000000000004">
      <c r="A19" s="1" t="s">
        <v>199</v>
      </c>
      <c r="B19" s="11">
        <f>B7+B10+B13+B16</f>
        <v>0</v>
      </c>
      <c r="C19" s="11">
        <f t="shared" si="0"/>
        <v>0</v>
      </c>
      <c r="D19" s="11">
        <f t="shared" si="0"/>
        <v>0</v>
      </c>
      <c r="E19" s="11">
        <f t="shared" si="0"/>
        <v>0</v>
      </c>
      <c r="F19" s="11">
        <f t="shared" si="0"/>
        <v>0</v>
      </c>
      <c r="G19" s="11">
        <f t="shared" si="0"/>
        <v>0</v>
      </c>
      <c r="H19" s="11">
        <f t="shared" si="0"/>
        <v>0</v>
      </c>
      <c r="I19" s="11">
        <f t="shared" si="0"/>
        <v>0</v>
      </c>
      <c r="J19" s="31"/>
    </row>
    <row r="20" spans="1:10" x14ac:dyDescent="0.55000000000000004">
      <c r="A20" s="1" t="s">
        <v>200</v>
      </c>
      <c r="B20" s="11">
        <f>SUM(B17:B19)</f>
        <v>0</v>
      </c>
      <c r="C20" s="11">
        <f t="shared" ref="C20:I20" si="1">SUM(C17:C19)</f>
        <v>2</v>
      </c>
      <c r="D20" s="11">
        <f t="shared" si="1"/>
        <v>0</v>
      </c>
      <c r="E20" s="11">
        <f t="shared" si="1"/>
        <v>1</v>
      </c>
      <c r="F20" s="11">
        <f t="shared" si="1"/>
        <v>0</v>
      </c>
      <c r="G20" s="11">
        <f t="shared" si="1"/>
        <v>3</v>
      </c>
      <c r="H20" s="11">
        <f t="shared" si="1"/>
        <v>1</v>
      </c>
      <c r="I20" s="11">
        <f t="shared" si="1"/>
        <v>0</v>
      </c>
      <c r="J20" s="31"/>
    </row>
    <row r="21" spans="1:10" x14ac:dyDescent="0.55000000000000004">
      <c r="A21" s="1" t="s">
        <v>193</v>
      </c>
      <c r="B21" s="11">
        <v>11</v>
      </c>
      <c r="C21" s="11">
        <v>15</v>
      </c>
      <c r="D21" s="11">
        <v>109</v>
      </c>
      <c r="E21" s="11">
        <v>5</v>
      </c>
      <c r="F21" s="11">
        <v>15</v>
      </c>
      <c r="G21" s="11">
        <v>440</v>
      </c>
      <c r="H21" s="1">
        <v>275</v>
      </c>
      <c r="I21" s="1">
        <v>108</v>
      </c>
    </row>
    <row r="22" spans="1:10" x14ac:dyDescent="0.55000000000000004">
      <c r="A22" s="15" t="s">
        <v>201</v>
      </c>
      <c r="B22" s="15">
        <f xml:space="preserve"> ROUND((B20/B21) * 100,1)</f>
        <v>0</v>
      </c>
      <c r="C22" s="15">
        <f t="shared" ref="C22:I22" si="2" xml:space="preserve"> ROUND((C20/C21) * 100,1)</f>
        <v>13.3</v>
      </c>
      <c r="D22" s="15">
        <f t="shared" si="2"/>
        <v>0</v>
      </c>
      <c r="E22" s="15">
        <f t="shared" si="2"/>
        <v>20</v>
      </c>
      <c r="F22" s="15">
        <f t="shared" si="2"/>
        <v>0</v>
      </c>
      <c r="G22" s="15">
        <f t="shared" si="2"/>
        <v>0.7</v>
      </c>
      <c r="H22" s="15">
        <f t="shared" si="2"/>
        <v>0.4</v>
      </c>
      <c r="I22" s="15">
        <f t="shared" si="2"/>
        <v>0</v>
      </c>
    </row>
    <row r="24" spans="1:10" x14ac:dyDescent="0.55000000000000004">
      <c r="A24" s="1" t="s">
        <v>23</v>
      </c>
      <c r="B24" s="50" t="s">
        <v>192</v>
      </c>
      <c r="C24" s="50" t="s">
        <v>192</v>
      </c>
      <c r="D24" s="50" t="s">
        <v>192</v>
      </c>
      <c r="E24" s="50" t="s">
        <v>192</v>
      </c>
      <c r="F24" s="50" t="s">
        <v>192</v>
      </c>
      <c r="G24" s="50" t="s">
        <v>192</v>
      </c>
      <c r="H24" s="50" t="s">
        <v>192</v>
      </c>
      <c r="I24" s="50" t="s">
        <v>192</v>
      </c>
      <c r="J24" s="50" t="s">
        <v>192</v>
      </c>
    </row>
    <row r="25" spans="1:10" x14ac:dyDescent="0.55000000000000004">
      <c r="A25" s="1" t="s">
        <v>34</v>
      </c>
      <c r="B25" s="2" t="s">
        <v>68</v>
      </c>
      <c r="C25" s="2" t="s">
        <v>99</v>
      </c>
      <c r="D25" s="2" t="s">
        <v>2</v>
      </c>
      <c r="E25" s="2" t="s">
        <v>15</v>
      </c>
      <c r="F25" s="2" t="s">
        <v>149</v>
      </c>
      <c r="G25" s="2" t="s">
        <v>147</v>
      </c>
      <c r="H25" s="2" t="s">
        <v>148</v>
      </c>
      <c r="I25" s="2" t="s">
        <v>40</v>
      </c>
      <c r="J25" s="2" t="s">
        <v>163</v>
      </c>
    </row>
    <row r="26" spans="1:10" x14ac:dyDescent="0.55000000000000004">
      <c r="A26" s="24" t="s">
        <v>172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1</v>
      </c>
      <c r="J26" s="26">
        <v>0</v>
      </c>
    </row>
    <row r="27" spans="1:10" x14ac:dyDescent="0.55000000000000004">
      <c r="A27" s="24" t="s">
        <v>173</v>
      </c>
      <c r="B27" s="26">
        <v>0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</row>
    <row r="28" spans="1:10" x14ac:dyDescent="0.55000000000000004">
      <c r="A28" s="24" t="s">
        <v>174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</row>
    <row r="29" spans="1:10" x14ac:dyDescent="0.55000000000000004">
      <c r="A29" s="17" t="s">
        <v>175</v>
      </c>
      <c r="B29" s="22">
        <v>0</v>
      </c>
      <c r="C29" s="22">
        <v>1</v>
      </c>
      <c r="D29" s="22">
        <v>0</v>
      </c>
      <c r="E29" s="22">
        <v>0</v>
      </c>
      <c r="F29" s="22">
        <v>0</v>
      </c>
      <c r="G29" s="22">
        <v>0</v>
      </c>
      <c r="H29" s="22">
        <v>0</v>
      </c>
      <c r="I29" s="22">
        <v>0</v>
      </c>
      <c r="J29" s="22">
        <v>0</v>
      </c>
    </row>
    <row r="30" spans="1:10" x14ac:dyDescent="0.55000000000000004">
      <c r="A30" s="17" t="s">
        <v>176</v>
      </c>
      <c r="B30" s="22">
        <v>0</v>
      </c>
      <c r="C30" s="22">
        <v>0</v>
      </c>
      <c r="D30" s="22">
        <v>0</v>
      </c>
      <c r="E30" s="22">
        <v>0</v>
      </c>
      <c r="F30" s="22">
        <v>0</v>
      </c>
      <c r="G30" s="22">
        <v>0</v>
      </c>
      <c r="H30" s="22">
        <v>0</v>
      </c>
      <c r="I30" s="22">
        <v>0</v>
      </c>
      <c r="J30" s="22">
        <v>0</v>
      </c>
    </row>
    <row r="31" spans="1:10" x14ac:dyDescent="0.55000000000000004">
      <c r="A31" s="17" t="s">
        <v>177</v>
      </c>
      <c r="B31" s="22">
        <v>0</v>
      </c>
      <c r="C31" s="22">
        <v>0</v>
      </c>
      <c r="D31" s="22">
        <v>0</v>
      </c>
      <c r="E31" s="22">
        <v>0</v>
      </c>
      <c r="F31" s="22">
        <v>0</v>
      </c>
      <c r="G31" s="22">
        <v>0</v>
      </c>
      <c r="H31" s="22">
        <v>0</v>
      </c>
      <c r="I31" s="22">
        <v>0</v>
      </c>
      <c r="J31" s="22">
        <v>0</v>
      </c>
    </row>
    <row r="32" spans="1:10" x14ac:dyDescent="0.55000000000000004">
      <c r="A32" s="15" t="s">
        <v>178</v>
      </c>
      <c r="B32" s="23">
        <v>0</v>
      </c>
      <c r="C32" s="23">
        <v>2</v>
      </c>
      <c r="D32" s="23">
        <v>0</v>
      </c>
      <c r="E32" s="23">
        <v>0</v>
      </c>
      <c r="F32" s="23">
        <v>0</v>
      </c>
      <c r="G32" s="23">
        <v>1</v>
      </c>
      <c r="H32" s="23">
        <v>1</v>
      </c>
      <c r="I32" s="23">
        <v>1</v>
      </c>
      <c r="J32" s="23">
        <v>0</v>
      </c>
    </row>
    <row r="33" spans="1:10" x14ac:dyDescent="0.55000000000000004">
      <c r="A33" s="15" t="s">
        <v>179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</row>
    <row r="34" spans="1:10" x14ac:dyDescent="0.55000000000000004">
      <c r="A34" s="15" t="s">
        <v>180</v>
      </c>
      <c r="B34" s="23">
        <v>0</v>
      </c>
      <c r="C34" s="23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</row>
    <row r="35" spans="1:10" x14ac:dyDescent="0.55000000000000004">
      <c r="A35" s="58" t="s">
        <v>181</v>
      </c>
      <c r="B35" s="59">
        <v>0</v>
      </c>
      <c r="C35" s="59">
        <v>1</v>
      </c>
      <c r="D35" s="59">
        <v>0</v>
      </c>
      <c r="E35" s="59">
        <v>0</v>
      </c>
      <c r="F35" s="59">
        <v>0</v>
      </c>
      <c r="G35" s="59">
        <v>2</v>
      </c>
      <c r="H35" s="59">
        <v>2</v>
      </c>
      <c r="I35" s="59">
        <v>0</v>
      </c>
      <c r="J35" s="59">
        <v>0</v>
      </c>
    </row>
    <row r="36" spans="1:10" x14ac:dyDescent="0.55000000000000004">
      <c r="A36" s="58" t="s">
        <v>182</v>
      </c>
      <c r="B36" s="59">
        <v>0</v>
      </c>
      <c r="C36" s="59">
        <v>0</v>
      </c>
      <c r="D36" s="59">
        <v>0</v>
      </c>
      <c r="E36" s="59">
        <v>0</v>
      </c>
      <c r="F36" s="59">
        <v>0</v>
      </c>
      <c r="G36" s="59">
        <v>0</v>
      </c>
      <c r="H36" s="59">
        <v>0</v>
      </c>
      <c r="I36" s="59">
        <v>0</v>
      </c>
      <c r="J36" s="59">
        <v>0</v>
      </c>
    </row>
    <row r="37" spans="1:10" x14ac:dyDescent="0.55000000000000004">
      <c r="A37" s="58" t="s">
        <v>183</v>
      </c>
      <c r="B37" s="59">
        <v>0</v>
      </c>
      <c r="C37" s="59">
        <v>0</v>
      </c>
      <c r="D37" s="59">
        <v>0</v>
      </c>
      <c r="E37" s="59">
        <v>0</v>
      </c>
      <c r="F37" s="59">
        <v>0</v>
      </c>
      <c r="G37" s="59">
        <v>0</v>
      </c>
      <c r="H37" s="59">
        <v>0</v>
      </c>
      <c r="I37" s="59">
        <v>0</v>
      </c>
      <c r="J37" s="59">
        <v>0</v>
      </c>
    </row>
    <row r="38" spans="1:10" x14ac:dyDescent="0.55000000000000004">
      <c r="A38" s="24" t="s">
        <v>194</v>
      </c>
      <c r="B38" s="27">
        <f t="shared" ref="B38:B43" si="3">B26+B29+B32+B35</f>
        <v>0</v>
      </c>
      <c r="C38" s="27">
        <f t="shared" ref="C38:J40" si="4">C26+C29+C32+C35</f>
        <v>4</v>
      </c>
      <c r="D38" s="27">
        <f t="shared" si="4"/>
        <v>0</v>
      </c>
      <c r="E38" s="27">
        <f t="shared" si="4"/>
        <v>0</v>
      </c>
      <c r="F38" s="27">
        <f t="shared" si="4"/>
        <v>0</v>
      </c>
      <c r="G38" s="27">
        <f t="shared" si="4"/>
        <v>3</v>
      </c>
      <c r="H38" s="27">
        <f t="shared" si="4"/>
        <v>3</v>
      </c>
      <c r="I38" s="27">
        <f t="shared" si="4"/>
        <v>2</v>
      </c>
      <c r="J38" s="27">
        <f t="shared" si="4"/>
        <v>0</v>
      </c>
    </row>
    <row r="39" spans="1:10" x14ac:dyDescent="0.55000000000000004">
      <c r="A39" s="17" t="s">
        <v>195</v>
      </c>
      <c r="B39" s="20">
        <f t="shared" si="3"/>
        <v>0</v>
      </c>
      <c r="C39" s="20">
        <f t="shared" si="4"/>
        <v>0</v>
      </c>
      <c r="D39" s="20">
        <f t="shared" si="4"/>
        <v>0</v>
      </c>
      <c r="E39" s="20">
        <f t="shared" si="4"/>
        <v>0</v>
      </c>
      <c r="F39" s="20">
        <f t="shared" si="4"/>
        <v>0</v>
      </c>
      <c r="G39" s="20">
        <f t="shared" si="4"/>
        <v>0</v>
      </c>
      <c r="H39" s="20">
        <f t="shared" si="4"/>
        <v>0</v>
      </c>
      <c r="I39" s="20">
        <f t="shared" si="4"/>
        <v>0</v>
      </c>
      <c r="J39" s="20">
        <f t="shared" si="4"/>
        <v>0</v>
      </c>
    </row>
    <row r="40" spans="1:10" x14ac:dyDescent="0.55000000000000004">
      <c r="A40" s="15" t="s">
        <v>196</v>
      </c>
      <c r="B40" s="21">
        <f t="shared" si="3"/>
        <v>0</v>
      </c>
      <c r="C40" s="21">
        <f t="shared" si="4"/>
        <v>0</v>
      </c>
      <c r="D40" s="21">
        <f t="shared" si="4"/>
        <v>0</v>
      </c>
      <c r="E40" s="21">
        <f t="shared" si="4"/>
        <v>0</v>
      </c>
      <c r="F40" s="21">
        <f t="shared" si="4"/>
        <v>0</v>
      </c>
      <c r="G40" s="21">
        <f t="shared" si="4"/>
        <v>0</v>
      </c>
      <c r="H40" s="21">
        <f t="shared" si="4"/>
        <v>0</v>
      </c>
      <c r="I40" s="21">
        <f t="shared" si="4"/>
        <v>0</v>
      </c>
      <c r="J40" s="21">
        <f t="shared" si="4"/>
        <v>0</v>
      </c>
    </row>
    <row r="41" spans="1:10" x14ac:dyDescent="0.55000000000000004">
      <c r="A41" s="1" t="s">
        <v>194</v>
      </c>
      <c r="B41" s="11">
        <f t="shared" si="3"/>
        <v>0</v>
      </c>
      <c r="C41" s="11">
        <f t="shared" ref="C41:I41" si="5">C29+C32+C35+C38</f>
        <v>8</v>
      </c>
      <c r="D41" s="11">
        <f t="shared" si="5"/>
        <v>0</v>
      </c>
      <c r="E41" s="11">
        <f t="shared" si="5"/>
        <v>0</v>
      </c>
      <c r="F41" s="11">
        <f t="shared" si="5"/>
        <v>0</v>
      </c>
      <c r="G41" s="11">
        <f t="shared" si="5"/>
        <v>6</v>
      </c>
      <c r="H41" s="11">
        <f t="shared" si="5"/>
        <v>6</v>
      </c>
      <c r="I41" s="11">
        <f t="shared" si="5"/>
        <v>3</v>
      </c>
      <c r="J41" s="11">
        <f t="shared" ref="J41" si="6">J29+J32+J35+J38</f>
        <v>0</v>
      </c>
    </row>
    <row r="42" spans="1:10" x14ac:dyDescent="0.55000000000000004">
      <c r="A42" s="1" t="s">
        <v>195</v>
      </c>
      <c r="B42" s="11">
        <f t="shared" si="3"/>
        <v>0</v>
      </c>
      <c r="C42" s="11">
        <f t="shared" ref="C42:I42" si="7">C30+C33+C36+C39</f>
        <v>0</v>
      </c>
      <c r="D42" s="11">
        <f t="shared" si="7"/>
        <v>0</v>
      </c>
      <c r="E42" s="11">
        <f t="shared" si="7"/>
        <v>0</v>
      </c>
      <c r="F42" s="11">
        <f t="shared" si="7"/>
        <v>0</v>
      </c>
      <c r="G42" s="11">
        <f t="shared" si="7"/>
        <v>0</v>
      </c>
      <c r="H42" s="11">
        <f t="shared" si="7"/>
        <v>0</v>
      </c>
      <c r="I42" s="11">
        <f t="shared" si="7"/>
        <v>0</v>
      </c>
      <c r="J42" s="11">
        <f t="shared" ref="J42" si="8">J30+J33+J36+J39</f>
        <v>0</v>
      </c>
    </row>
    <row r="43" spans="1:10" x14ac:dyDescent="0.55000000000000004">
      <c r="A43" s="1" t="s">
        <v>196</v>
      </c>
      <c r="B43" s="11">
        <f t="shared" si="3"/>
        <v>0</v>
      </c>
      <c r="C43" s="11">
        <f t="shared" ref="C43:I43" si="9">C31+C34+C37+C40</f>
        <v>0</v>
      </c>
      <c r="D43" s="11">
        <f t="shared" si="9"/>
        <v>0</v>
      </c>
      <c r="E43" s="11">
        <f t="shared" si="9"/>
        <v>0</v>
      </c>
      <c r="F43" s="11">
        <f t="shared" si="9"/>
        <v>0</v>
      </c>
      <c r="G43" s="11">
        <f t="shared" si="9"/>
        <v>0</v>
      </c>
      <c r="H43" s="11">
        <f t="shared" si="9"/>
        <v>0</v>
      </c>
      <c r="I43" s="11">
        <f t="shared" si="9"/>
        <v>0</v>
      </c>
      <c r="J43" s="11">
        <f t="shared" ref="J43" si="10">J31+J34+J37+J40</f>
        <v>0</v>
      </c>
    </row>
    <row r="44" spans="1:10" x14ac:dyDescent="0.55000000000000004">
      <c r="A44" s="1" t="s">
        <v>202</v>
      </c>
      <c r="B44" s="11">
        <f>SUM(B41:B43)</f>
        <v>0</v>
      </c>
      <c r="C44" s="11">
        <f t="shared" ref="C44" si="11">SUM(C41:C43)</f>
        <v>8</v>
      </c>
      <c r="D44" s="11">
        <f t="shared" ref="D44" si="12">SUM(D41:D43)</f>
        <v>0</v>
      </c>
      <c r="E44" s="11">
        <f t="shared" ref="E44" si="13">SUM(E41:E43)</f>
        <v>0</v>
      </c>
      <c r="F44" s="11">
        <f t="shared" ref="F44" si="14">SUM(F41:F43)</f>
        <v>0</v>
      </c>
      <c r="G44" s="11">
        <f t="shared" ref="G44" si="15">SUM(G41:G43)</f>
        <v>6</v>
      </c>
      <c r="H44" s="11">
        <f t="shared" ref="H44" si="16">SUM(H41:H43)</f>
        <v>6</v>
      </c>
      <c r="I44" s="11">
        <f t="shared" ref="I44:J44" si="17">SUM(I41:I43)</f>
        <v>3</v>
      </c>
      <c r="J44" s="11">
        <f t="shared" si="17"/>
        <v>0</v>
      </c>
    </row>
    <row r="45" spans="1:10" x14ac:dyDescent="0.55000000000000004">
      <c r="A45" s="1" t="s">
        <v>193</v>
      </c>
      <c r="B45" s="11">
        <v>0</v>
      </c>
      <c r="C45" s="11">
        <v>327</v>
      </c>
      <c r="D45" s="11">
        <v>297</v>
      </c>
      <c r="E45" s="11">
        <v>82</v>
      </c>
      <c r="F45" s="11">
        <v>0</v>
      </c>
      <c r="G45" s="11">
        <v>466</v>
      </c>
      <c r="H45" s="1">
        <v>787</v>
      </c>
      <c r="I45" s="1">
        <v>632</v>
      </c>
      <c r="J45" s="1">
        <v>0</v>
      </c>
    </row>
    <row r="46" spans="1:10" x14ac:dyDescent="0.55000000000000004">
      <c r="A46" s="15" t="s">
        <v>201</v>
      </c>
      <c r="B46" s="15">
        <f>IF(B45=0,0,(ROUND((B44/B45)*100,1)))</f>
        <v>0</v>
      </c>
      <c r="C46" s="15">
        <f t="shared" ref="C46:J46" si="18">IF(C45=0,0,(ROUND((C44/C45)*100,1)))</f>
        <v>2.4</v>
      </c>
      <c r="D46" s="15">
        <f t="shared" si="18"/>
        <v>0</v>
      </c>
      <c r="E46" s="15">
        <f t="shared" si="18"/>
        <v>0</v>
      </c>
      <c r="F46" s="15">
        <f t="shared" si="18"/>
        <v>0</v>
      </c>
      <c r="G46" s="15">
        <f t="shared" si="18"/>
        <v>1.3</v>
      </c>
      <c r="H46" s="15">
        <f t="shared" si="18"/>
        <v>0.8</v>
      </c>
      <c r="I46" s="15">
        <f t="shared" si="18"/>
        <v>0.5</v>
      </c>
      <c r="J46" s="15">
        <f t="shared" si="18"/>
        <v>0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1D8A0-26E2-4A20-90AA-CCC6DBC87A28}">
  <sheetPr codeName="Sheet30"/>
  <dimension ref="A1:J15"/>
  <sheetViews>
    <sheetView workbookViewId="0">
      <selection activeCell="F18" sqref="F18"/>
    </sheetView>
  </sheetViews>
  <sheetFormatPr defaultRowHeight="18" x14ac:dyDescent="0.55000000000000004"/>
  <cols>
    <col min="2" max="2" width="15.33203125" style="4" customWidth="1"/>
  </cols>
  <sheetData>
    <row r="1" spans="1:10" x14ac:dyDescent="0.55000000000000004">
      <c r="A1" s="5" t="s">
        <v>4</v>
      </c>
      <c r="B1" s="8"/>
      <c r="C1" s="5"/>
      <c r="D1" s="5"/>
      <c r="E1" s="5"/>
      <c r="F1" s="5"/>
      <c r="G1" s="5"/>
      <c r="H1" s="5"/>
      <c r="I1" s="5"/>
      <c r="J1" s="5"/>
    </row>
    <row r="2" spans="1:10" x14ac:dyDescent="0.55000000000000004">
      <c r="A2" s="29" t="s">
        <v>5</v>
      </c>
      <c r="B2" s="30" t="s">
        <v>5</v>
      </c>
      <c r="C2" s="111" t="s">
        <v>41</v>
      </c>
      <c r="D2" s="111"/>
      <c r="E2" s="111"/>
      <c r="F2" s="112"/>
      <c r="G2" s="111" t="s">
        <v>42</v>
      </c>
      <c r="H2" s="111"/>
      <c r="I2" s="111"/>
      <c r="J2" s="112"/>
    </row>
    <row r="3" spans="1:10" x14ac:dyDescent="0.55000000000000004">
      <c r="A3" s="6" t="s">
        <v>5</v>
      </c>
      <c r="B3" s="9" t="s">
        <v>5</v>
      </c>
      <c r="C3" s="7" t="s">
        <v>6</v>
      </c>
      <c r="D3" s="7" t="s">
        <v>7</v>
      </c>
      <c r="E3" s="7" t="s">
        <v>8</v>
      </c>
      <c r="F3" s="7" t="s">
        <v>9</v>
      </c>
      <c r="G3" s="7" t="s">
        <v>6</v>
      </c>
      <c r="H3" s="7" t="s">
        <v>7</v>
      </c>
      <c r="I3" s="7" t="s">
        <v>8</v>
      </c>
      <c r="J3" s="7" t="s">
        <v>9</v>
      </c>
    </row>
    <row r="4" spans="1:10" x14ac:dyDescent="0.55000000000000004">
      <c r="A4" s="109" t="s">
        <v>43</v>
      </c>
      <c r="B4" s="10" t="s">
        <v>10</v>
      </c>
      <c r="C4" s="109">
        <v>1</v>
      </c>
      <c r="D4" s="7">
        <v>1</v>
      </c>
      <c r="E4" s="7"/>
      <c r="F4" s="7"/>
      <c r="G4" s="109">
        <v>14</v>
      </c>
      <c r="H4" s="7"/>
      <c r="I4" s="7">
        <v>1</v>
      </c>
      <c r="J4" s="7"/>
    </row>
    <row r="5" spans="1:10" x14ac:dyDescent="0.55000000000000004">
      <c r="A5" s="109"/>
      <c r="B5" s="10" t="s">
        <v>11</v>
      </c>
      <c r="C5" s="109"/>
      <c r="D5" s="7"/>
      <c r="E5" s="7"/>
      <c r="F5" s="7"/>
      <c r="G5" s="109"/>
      <c r="H5" s="7"/>
      <c r="I5" s="7">
        <v>12</v>
      </c>
      <c r="J5" s="7"/>
    </row>
    <row r="6" spans="1:10" x14ac:dyDescent="0.55000000000000004">
      <c r="A6" s="110"/>
      <c r="B6" s="10" t="s">
        <v>12</v>
      </c>
      <c r="C6" s="110"/>
      <c r="D6" s="7"/>
      <c r="E6" s="7"/>
      <c r="F6" s="7"/>
      <c r="G6" s="110"/>
      <c r="H6" s="7"/>
      <c r="I6" s="7">
        <v>1</v>
      </c>
      <c r="J6" s="7"/>
    </row>
    <row r="7" spans="1:10" x14ac:dyDescent="0.55000000000000004">
      <c r="A7" s="109" t="s">
        <v>14</v>
      </c>
      <c r="B7" s="10" t="s">
        <v>10</v>
      </c>
      <c r="C7" s="109">
        <v>2</v>
      </c>
      <c r="D7" s="7"/>
      <c r="E7" s="7">
        <v>2</v>
      </c>
      <c r="F7" s="7"/>
      <c r="G7" s="109">
        <v>0</v>
      </c>
      <c r="H7" s="7"/>
      <c r="I7" s="7"/>
      <c r="J7" s="7"/>
    </row>
    <row r="8" spans="1:10" x14ac:dyDescent="0.55000000000000004">
      <c r="A8" s="109"/>
      <c r="B8" s="10" t="s">
        <v>11</v>
      </c>
      <c r="C8" s="109"/>
      <c r="D8" s="7"/>
      <c r="E8" s="7"/>
      <c r="F8" s="7"/>
      <c r="G8" s="109"/>
      <c r="H8" s="7"/>
      <c r="I8" s="7"/>
      <c r="J8" s="7"/>
    </row>
    <row r="9" spans="1:10" x14ac:dyDescent="0.55000000000000004">
      <c r="A9" s="110"/>
      <c r="B9" s="10" t="s">
        <v>3</v>
      </c>
      <c r="C9" s="110"/>
      <c r="D9" s="7"/>
      <c r="E9" s="7"/>
      <c r="F9" s="7"/>
      <c r="G9" s="110"/>
      <c r="H9" s="7"/>
      <c r="I9" s="7"/>
      <c r="J9" s="7"/>
    </row>
    <row r="10" spans="1:10" x14ac:dyDescent="0.55000000000000004">
      <c r="A10" s="109" t="s">
        <v>2</v>
      </c>
      <c r="B10" s="10" t="s">
        <v>10</v>
      </c>
      <c r="C10" s="109">
        <v>1</v>
      </c>
      <c r="D10" s="7"/>
      <c r="E10" s="7"/>
      <c r="F10" s="7">
        <v>1</v>
      </c>
      <c r="G10" s="109">
        <v>0</v>
      </c>
      <c r="H10" s="7">
        <v>1</v>
      </c>
      <c r="I10" s="7"/>
      <c r="J10" s="7"/>
    </row>
    <row r="11" spans="1:10" x14ac:dyDescent="0.55000000000000004">
      <c r="A11" s="109"/>
      <c r="B11" s="10" t="s">
        <v>11</v>
      </c>
      <c r="C11" s="109"/>
      <c r="D11" s="7"/>
      <c r="E11" s="7"/>
      <c r="F11" s="7"/>
      <c r="G11" s="109"/>
      <c r="H11" s="7"/>
      <c r="I11" s="7"/>
      <c r="J11" s="7"/>
    </row>
    <row r="12" spans="1:10" x14ac:dyDescent="0.55000000000000004">
      <c r="A12" s="110"/>
      <c r="B12" s="10" t="s">
        <v>3</v>
      </c>
      <c r="C12" s="110"/>
      <c r="D12" s="7"/>
      <c r="E12" s="7"/>
      <c r="F12" s="7"/>
      <c r="G12" s="110"/>
      <c r="H12" s="7"/>
      <c r="I12" s="7"/>
      <c r="J12" s="7"/>
    </row>
    <row r="13" spans="1:10" x14ac:dyDescent="0.55000000000000004">
      <c r="A13" s="109" t="s">
        <v>15</v>
      </c>
      <c r="B13" s="10" t="s">
        <v>10</v>
      </c>
      <c r="C13" s="109">
        <v>0</v>
      </c>
      <c r="D13" s="7" t="s">
        <v>5</v>
      </c>
      <c r="E13" s="7" t="s">
        <v>5</v>
      </c>
      <c r="F13" s="7" t="s">
        <v>5</v>
      </c>
      <c r="G13" s="109">
        <v>2</v>
      </c>
      <c r="H13" s="7"/>
      <c r="I13" s="7"/>
      <c r="J13" s="7">
        <v>1</v>
      </c>
    </row>
    <row r="14" spans="1:10" x14ac:dyDescent="0.55000000000000004">
      <c r="A14" s="109"/>
      <c r="B14" s="10" t="s">
        <v>11</v>
      </c>
      <c r="C14" s="109"/>
      <c r="D14" s="7" t="s">
        <v>5</v>
      </c>
      <c r="E14" s="7" t="s">
        <v>5</v>
      </c>
      <c r="F14" s="7" t="s">
        <v>5</v>
      </c>
      <c r="G14" s="109"/>
      <c r="H14" s="7"/>
      <c r="I14" s="7"/>
      <c r="J14" s="7"/>
    </row>
    <row r="15" spans="1:10" x14ac:dyDescent="0.55000000000000004">
      <c r="A15" s="110"/>
      <c r="B15" s="10" t="s">
        <v>3</v>
      </c>
      <c r="C15" s="110"/>
      <c r="D15" s="7" t="s">
        <v>5</v>
      </c>
      <c r="E15" s="7" t="s">
        <v>5</v>
      </c>
      <c r="F15" s="7" t="s">
        <v>5</v>
      </c>
      <c r="G15" s="110"/>
      <c r="H15" s="7"/>
      <c r="I15" s="7"/>
      <c r="J15" s="7">
        <v>1</v>
      </c>
    </row>
  </sheetData>
  <mergeCells count="14">
    <mergeCell ref="A7:A9"/>
    <mergeCell ref="C7:C9"/>
    <mergeCell ref="G7:G9"/>
    <mergeCell ref="C2:F2"/>
    <mergeCell ref="G2:J2"/>
    <mergeCell ref="A4:A6"/>
    <mergeCell ref="C4:C6"/>
    <mergeCell ref="G4:G6"/>
    <mergeCell ref="A10:A12"/>
    <mergeCell ref="C10:C12"/>
    <mergeCell ref="G10:G12"/>
    <mergeCell ref="A13:A15"/>
    <mergeCell ref="C13:C15"/>
    <mergeCell ref="G13:G15"/>
  </mergeCells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2034E-C364-4D64-A2F2-F675F9C3331B}">
  <sheetPr codeName="Sheet17"/>
  <dimension ref="A1:M16"/>
  <sheetViews>
    <sheetView workbookViewId="0">
      <selection activeCell="B22" sqref="B22"/>
    </sheetView>
  </sheetViews>
  <sheetFormatPr defaultRowHeight="18" x14ac:dyDescent="0.55000000000000004"/>
  <cols>
    <col min="1" max="1" width="27.75" bestFit="1" customWidth="1"/>
    <col min="2" max="2" width="11.33203125" customWidth="1"/>
    <col min="3" max="3" width="11.58203125" customWidth="1"/>
    <col min="4" max="4" width="11.58203125" bestFit="1" customWidth="1"/>
  </cols>
  <sheetData>
    <row r="1" spans="1:13" x14ac:dyDescent="0.55000000000000004">
      <c r="A1" s="12" t="s">
        <v>16</v>
      </c>
      <c r="B1" s="8"/>
      <c r="C1" s="5"/>
      <c r="D1" s="5"/>
      <c r="E1" s="5"/>
      <c r="F1" s="5"/>
      <c r="G1" s="5"/>
      <c r="H1" s="5"/>
      <c r="I1" s="5"/>
      <c r="J1" s="5"/>
    </row>
    <row r="2" spans="1:13" x14ac:dyDescent="0.55000000000000004">
      <c r="A2" s="5"/>
      <c r="B2" s="8"/>
      <c r="C2" s="5"/>
      <c r="D2" s="5"/>
      <c r="E2" s="5"/>
      <c r="F2" s="5"/>
      <c r="G2" s="5"/>
      <c r="H2" s="5"/>
      <c r="I2" s="5"/>
      <c r="J2" s="5"/>
    </row>
    <row r="3" spans="1:13" x14ac:dyDescent="0.55000000000000004">
      <c r="A3" s="1" t="s">
        <v>34</v>
      </c>
      <c r="B3" s="2" t="s">
        <v>15</v>
      </c>
      <c r="C3" s="2" t="s">
        <v>2</v>
      </c>
      <c r="D3" s="2" t="s">
        <v>14</v>
      </c>
      <c r="E3" s="1"/>
      <c r="F3" s="1"/>
      <c r="G3" s="1"/>
      <c r="H3" s="1"/>
      <c r="I3" s="1"/>
      <c r="J3" s="1"/>
      <c r="K3" s="1"/>
      <c r="L3" s="1"/>
      <c r="M3" s="1"/>
    </row>
    <row r="4" spans="1:13" x14ac:dyDescent="0.55000000000000004">
      <c r="A4" s="1" t="s">
        <v>23</v>
      </c>
      <c r="B4" s="11" t="s">
        <v>30</v>
      </c>
      <c r="C4" s="11" t="s">
        <v>30</v>
      </c>
      <c r="D4" s="11" t="s">
        <v>30</v>
      </c>
      <c r="E4" s="1"/>
      <c r="F4" s="1"/>
      <c r="G4" s="1"/>
      <c r="H4" s="1"/>
      <c r="I4" s="1"/>
      <c r="J4" s="1"/>
      <c r="K4" s="1"/>
      <c r="L4" s="1"/>
      <c r="M4" s="1"/>
    </row>
    <row r="5" spans="1:13" x14ac:dyDescent="0.55000000000000004">
      <c r="A5" s="13" t="s">
        <v>17</v>
      </c>
      <c r="B5" s="14">
        <v>1</v>
      </c>
      <c r="C5" s="14">
        <v>0</v>
      </c>
      <c r="D5" s="14">
        <v>0</v>
      </c>
      <c r="E5" s="1"/>
      <c r="F5" s="1"/>
      <c r="G5" s="1"/>
      <c r="H5" s="1"/>
      <c r="I5" s="1"/>
      <c r="J5" s="1"/>
      <c r="K5" s="1"/>
      <c r="L5" s="1"/>
      <c r="M5" s="1"/>
    </row>
    <row r="6" spans="1:13" x14ac:dyDescent="0.55000000000000004">
      <c r="A6" s="13" t="s">
        <v>18</v>
      </c>
      <c r="B6" s="14">
        <v>0</v>
      </c>
      <c r="C6" s="14">
        <v>0</v>
      </c>
      <c r="D6" s="14">
        <v>0</v>
      </c>
      <c r="E6" s="1"/>
      <c r="F6" s="1"/>
      <c r="G6" s="1"/>
      <c r="H6" s="1"/>
      <c r="I6" s="1"/>
      <c r="J6" s="1"/>
      <c r="K6" s="1"/>
      <c r="L6" s="1"/>
      <c r="M6" s="1"/>
    </row>
    <row r="7" spans="1:13" x14ac:dyDescent="0.55000000000000004">
      <c r="A7" s="13" t="s">
        <v>19</v>
      </c>
      <c r="B7" s="14">
        <v>0</v>
      </c>
      <c r="C7" s="14">
        <v>0</v>
      </c>
      <c r="D7" s="14">
        <v>0</v>
      </c>
      <c r="E7" s="1"/>
      <c r="F7" s="1"/>
      <c r="G7" s="1"/>
      <c r="H7" s="1"/>
      <c r="I7" s="1"/>
      <c r="J7" s="1"/>
      <c r="K7" s="1"/>
      <c r="L7" s="1"/>
      <c r="M7" s="1"/>
    </row>
    <row r="8" spans="1:13" x14ac:dyDescent="0.55000000000000004">
      <c r="A8" s="17" t="s">
        <v>20</v>
      </c>
      <c r="B8" s="18">
        <v>0</v>
      </c>
      <c r="C8" s="18">
        <v>0</v>
      </c>
      <c r="D8" s="18">
        <v>0</v>
      </c>
      <c r="E8" s="1"/>
      <c r="F8" s="1"/>
      <c r="G8" s="1"/>
      <c r="H8" s="1"/>
      <c r="I8" s="1"/>
      <c r="J8" s="1"/>
      <c r="K8" s="1"/>
      <c r="L8" s="1"/>
      <c r="M8" s="1"/>
    </row>
    <row r="9" spans="1:13" x14ac:dyDescent="0.55000000000000004">
      <c r="A9" s="17" t="s">
        <v>21</v>
      </c>
      <c r="B9" s="18">
        <v>0</v>
      </c>
      <c r="C9" s="18">
        <v>2</v>
      </c>
      <c r="D9" s="18">
        <v>0</v>
      </c>
      <c r="E9" s="1"/>
      <c r="F9" s="1"/>
      <c r="G9" s="1"/>
      <c r="H9" s="1"/>
      <c r="I9" s="1"/>
      <c r="J9" s="1"/>
      <c r="K9" s="1"/>
      <c r="L9" s="1"/>
      <c r="M9" s="1"/>
    </row>
    <row r="10" spans="1:13" x14ac:dyDescent="0.55000000000000004">
      <c r="A10" s="17" t="s">
        <v>22</v>
      </c>
      <c r="B10" s="18">
        <v>0</v>
      </c>
      <c r="C10" s="18">
        <v>0</v>
      </c>
      <c r="D10" s="18">
        <v>0</v>
      </c>
      <c r="E10" s="1"/>
      <c r="F10" s="1"/>
      <c r="G10" s="1"/>
      <c r="H10" s="1"/>
      <c r="I10" s="1"/>
      <c r="J10" s="1"/>
      <c r="K10" s="1"/>
      <c r="L10" s="1"/>
      <c r="M10" s="1"/>
    </row>
    <row r="11" spans="1:13" x14ac:dyDescent="0.55000000000000004">
      <c r="A11" s="15" t="s">
        <v>24</v>
      </c>
      <c r="B11" s="16">
        <v>0</v>
      </c>
      <c r="C11" s="16">
        <v>0</v>
      </c>
      <c r="D11" s="16">
        <v>1</v>
      </c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55000000000000004">
      <c r="A12" s="15" t="s">
        <v>25</v>
      </c>
      <c r="B12" s="16">
        <v>0</v>
      </c>
      <c r="C12" s="16">
        <v>0</v>
      </c>
      <c r="D12" s="16">
        <v>1</v>
      </c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55000000000000004">
      <c r="A13" s="15" t="s">
        <v>26</v>
      </c>
      <c r="B13" s="16">
        <v>0</v>
      </c>
      <c r="C13" s="16">
        <v>0</v>
      </c>
      <c r="D13" s="16">
        <v>0</v>
      </c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55000000000000004">
      <c r="A14" s="13" t="s">
        <v>31</v>
      </c>
      <c r="B14" s="19">
        <f>SUM(B5:B7)</f>
        <v>1</v>
      </c>
      <c r="C14" s="19">
        <f>SUM(C5:C7)</f>
        <v>0</v>
      </c>
      <c r="D14" s="19">
        <f>SUM(D5:D7)</f>
        <v>0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55000000000000004">
      <c r="A15" s="17" t="s">
        <v>32</v>
      </c>
      <c r="B15" s="20">
        <f>SUM(B8:B10)</f>
        <v>0</v>
      </c>
      <c r="C15" s="20">
        <f>SUM(C8:C10)</f>
        <v>2</v>
      </c>
      <c r="D15" s="20">
        <f>SUM(D8:D10)</f>
        <v>0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55000000000000004">
      <c r="A16" s="15" t="s">
        <v>33</v>
      </c>
      <c r="B16" s="21">
        <f>SUM(B11:B13)</f>
        <v>0</v>
      </c>
      <c r="C16" s="21">
        <f>SUM(C11:C13)</f>
        <v>0</v>
      </c>
      <c r="D16" s="21">
        <f>SUM(D11:D13)</f>
        <v>2</v>
      </c>
      <c r="E16" s="1"/>
      <c r="F16" s="1"/>
      <c r="G16" s="1"/>
      <c r="H16" s="1"/>
      <c r="I16" s="1"/>
      <c r="J16" s="1"/>
      <c r="K16" s="1"/>
      <c r="L16" s="1"/>
      <c r="M16" s="1"/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920D8-7716-4D1F-B81C-63B678F8C1E1}">
  <sheetPr codeName="Sheet18"/>
  <dimension ref="B3:J95"/>
  <sheetViews>
    <sheetView topLeftCell="A65" workbookViewId="0">
      <selection activeCell="B95" sqref="B95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.58203125" customWidth="1"/>
    <col min="6" max="6" width="11.75" customWidth="1"/>
    <col min="7" max="8" width="9.83203125" bestFit="1" customWidth="1"/>
  </cols>
  <sheetData>
    <row r="3" spans="2:2" ht="22.5" x14ac:dyDescent="0.55000000000000004">
      <c r="B3" s="45" t="s">
        <v>69</v>
      </c>
    </row>
    <row r="6" spans="2:2" x14ac:dyDescent="0.55000000000000004">
      <c r="B6" s="43" t="s">
        <v>70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45170</v>
      </c>
      <c r="D27" s="44">
        <v>45200</v>
      </c>
      <c r="E27" s="44">
        <v>45231</v>
      </c>
      <c r="F27" s="44">
        <v>45261</v>
      </c>
      <c r="G27" s="44">
        <v>45292</v>
      </c>
      <c r="H27" s="44">
        <v>45323</v>
      </c>
      <c r="I27" s="1"/>
      <c r="J27" s="1"/>
    </row>
    <row r="28" spans="2:10" x14ac:dyDescent="0.55000000000000004">
      <c r="B28" s="1" t="s">
        <v>39</v>
      </c>
      <c r="C28" s="1">
        <v>1</v>
      </c>
      <c r="D28" s="1">
        <v>0</v>
      </c>
      <c r="E28" s="1">
        <v>0</v>
      </c>
      <c r="F28" s="1">
        <v>0</v>
      </c>
      <c r="G28" s="1">
        <v>2</v>
      </c>
      <c r="H28" s="1">
        <v>0</v>
      </c>
      <c r="I28" s="1"/>
      <c r="J28" s="1"/>
    </row>
    <row r="29" spans="2:10" x14ac:dyDescent="0.55000000000000004">
      <c r="B29" s="1" t="s">
        <v>28</v>
      </c>
      <c r="C29" s="1">
        <v>1</v>
      </c>
      <c r="D29" s="1">
        <v>6</v>
      </c>
      <c r="E29" s="1">
        <v>2</v>
      </c>
      <c r="F29" s="1">
        <v>0</v>
      </c>
      <c r="G29" s="1">
        <v>19</v>
      </c>
      <c r="H29" s="1">
        <v>4</v>
      </c>
      <c r="I29" s="1"/>
      <c r="J29" s="1"/>
    </row>
    <row r="30" spans="2:10" x14ac:dyDescent="0.55000000000000004">
      <c r="B30" s="1" t="s">
        <v>66</v>
      </c>
      <c r="C30" s="1">
        <v>0</v>
      </c>
      <c r="D30" s="1">
        <v>0</v>
      </c>
      <c r="E30" s="1">
        <v>0</v>
      </c>
      <c r="F30" s="1">
        <v>5</v>
      </c>
      <c r="G30" s="1">
        <v>2</v>
      </c>
      <c r="H30" s="1">
        <v>2</v>
      </c>
      <c r="I30" s="1"/>
      <c r="J30" s="1"/>
    </row>
    <row r="31" spans="2:10" x14ac:dyDescent="0.55000000000000004">
      <c r="B31" s="1" t="s">
        <v>68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/>
      <c r="J31" s="1"/>
    </row>
    <row r="32" spans="2:10" x14ac:dyDescent="0.55000000000000004">
      <c r="B32" s="1" t="s">
        <v>27</v>
      </c>
      <c r="C32" s="1">
        <v>0</v>
      </c>
      <c r="D32" s="1">
        <v>0</v>
      </c>
      <c r="E32" s="1">
        <v>0</v>
      </c>
      <c r="F32" s="1">
        <v>1</v>
      </c>
      <c r="G32" s="1">
        <v>0</v>
      </c>
      <c r="H32" s="1">
        <v>0</v>
      </c>
      <c r="I32" s="1"/>
      <c r="J32" s="1"/>
    </row>
    <row r="33" spans="2:10" x14ac:dyDescent="0.55000000000000004">
      <c r="B33" s="1" t="s">
        <v>40</v>
      </c>
      <c r="C33" s="1">
        <v>0</v>
      </c>
      <c r="D33" s="1">
        <v>0</v>
      </c>
      <c r="E33" s="1">
        <v>0</v>
      </c>
      <c r="F33" s="1">
        <v>3</v>
      </c>
      <c r="G33" s="1">
        <v>0</v>
      </c>
      <c r="H33" s="1">
        <v>0</v>
      </c>
      <c r="I33" s="1"/>
      <c r="J33" s="1"/>
    </row>
    <row r="35" spans="2:10" x14ac:dyDescent="0.55000000000000004">
      <c r="B35" s="43" t="s">
        <v>71</v>
      </c>
    </row>
    <row r="55" spans="2:10" x14ac:dyDescent="0.55000000000000004">
      <c r="B55" s="1" t="s">
        <v>67</v>
      </c>
      <c r="C55" s="44">
        <v>45170</v>
      </c>
      <c r="D55" s="44">
        <v>45200</v>
      </c>
      <c r="E55" s="44">
        <v>45231</v>
      </c>
      <c r="F55" s="44">
        <v>45261</v>
      </c>
      <c r="G55" s="44">
        <v>45292</v>
      </c>
      <c r="H55" s="44">
        <v>45323</v>
      </c>
      <c r="I55" s="1"/>
      <c r="J55" s="1"/>
    </row>
    <row r="56" spans="2:10" x14ac:dyDescent="0.55000000000000004">
      <c r="B56" s="1" t="s">
        <v>39</v>
      </c>
      <c r="C56" s="1">
        <v>0</v>
      </c>
      <c r="D56" s="1">
        <v>0</v>
      </c>
      <c r="E56" s="1">
        <v>0</v>
      </c>
      <c r="F56" s="1">
        <v>0</v>
      </c>
      <c r="G56" s="1">
        <v>1</v>
      </c>
      <c r="H56" s="1">
        <v>0</v>
      </c>
      <c r="I56" s="1"/>
      <c r="J56" s="1"/>
    </row>
    <row r="57" spans="2:10" x14ac:dyDescent="0.55000000000000004">
      <c r="B57" s="1" t="s">
        <v>28</v>
      </c>
      <c r="C57" s="1">
        <v>0</v>
      </c>
      <c r="D57" s="1">
        <v>0</v>
      </c>
      <c r="E57" s="1">
        <v>1</v>
      </c>
      <c r="F57" s="1">
        <v>0</v>
      </c>
      <c r="G57" s="1">
        <v>0</v>
      </c>
      <c r="H57" s="1">
        <v>0</v>
      </c>
      <c r="I57" s="1"/>
      <c r="J57" s="1"/>
    </row>
    <row r="58" spans="2:10" x14ac:dyDescent="0.55000000000000004">
      <c r="B58" s="1" t="s">
        <v>66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/>
      <c r="J58" s="1"/>
    </row>
    <row r="59" spans="2:10" x14ac:dyDescent="0.55000000000000004">
      <c r="B59" s="1" t="s">
        <v>68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/>
      <c r="J59" s="1"/>
    </row>
    <row r="60" spans="2:10" x14ac:dyDescent="0.55000000000000004">
      <c r="B60" s="1" t="s">
        <v>27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/>
      <c r="J60" s="1"/>
    </row>
    <row r="61" spans="2:10" x14ac:dyDescent="0.55000000000000004">
      <c r="B61" s="1" t="s">
        <v>90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/>
      <c r="J61" s="1"/>
    </row>
    <row r="63" spans="2:10" x14ac:dyDescent="0.55000000000000004">
      <c r="B63" s="43" t="s">
        <v>72</v>
      </c>
    </row>
    <row r="64" spans="2:10" x14ac:dyDescent="0.55000000000000004">
      <c r="B64" s="43"/>
    </row>
    <row r="65" spans="2:2" x14ac:dyDescent="0.55000000000000004">
      <c r="B65" s="43"/>
    </row>
    <row r="66" spans="2:2" x14ac:dyDescent="0.55000000000000004">
      <c r="B66" s="43"/>
    </row>
    <row r="67" spans="2:2" x14ac:dyDescent="0.55000000000000004">
      <c r="B67" s="43"/>
    </row>
    <row r="68" spans="2:2" x14ac:dyDescent="0.55000000000000004">
      <c r="B68" s="43"/>
    </row>
    <row r="69" spans="2:2" x14ac:dyDescent="0.55000000000000004">
      <c r="B69" s="43"/>
    </row>
    <row r="70" spans="2:2" x14ac:dyDescent="0.55000000000000004">
      <c r="B70" s="43"/>
    </row>
    <row r="71" spans="2:2" x14ac:dyDescent="0.55000000000000004">
      <c r="B71" s="43"/>
    </row>
    <row r="72" spans="2:2" x14ac:dyDescent="0.55000000000000004">
      <c r="B72" s="43"/>
    </row>
    <row r="73" spans="2:2" x14ac:dyDescent="0.55000000000000004">
      <c r="B73" s="43"/>
    </row>
    <row r="74" spans="2:2" x14ac:dyDescent="0.55000000000000004">
      <c r="B74" s="43"/>
    </row>
    <row r="75" spans="2:2" x14ac:dyDescent="0.55000000000000004">
      <c r="B75" s="43"/>
    </row>
    <row r="83" spans="2:10" x14ac:dyDescent="0.55000000000000004">
      <c r="B83" s="1" t="s">
        <v>67</v>
      </c>
      <c r="C83" s="44">
        <v>45170</v>
      </c>
      <c r="D83" s="44">
        <v>45200</v>
      </c>
      <c r="E83" s="44">
        <v>45231</v>
      </c>
      <c r="F83" s="44">
        <v>45261</v>
      </c>
      <c r="G83" s="44">
        <v>45292</v>
      </c>
      <c r="H83" s="44">
        <v>45323</v>
      </c>
      <c r="I83" s="1"/>
      <c r="J83" s="1"/>
    </row>
    <row r="84" spans="2:10" x14ac:dyDescent="0.55000000000000004">
      <c r="B84" s="1" t="s">
        <v>39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/>
      <c r="J84" s="1"/>
    </row>
    <row r="85" spans="2:10" x14ac:dyDescent="0.55000000000000004">
      <c r="B85" s="1" t="s">
        <v>28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/>
      <c r="J85" s="1"/>
    </row>
    <row r="86" spans="2:10" x14ac:dyDescent="0.55000000000000004">
      <c r="B86" s="1" t="s">
        <v>66</v>
      </c>
      <c r="C86" s="1">
        <v>0</v>
      </c>
      <c r="D86" s="1">
        <v>0</v>
      </c>
      <c r="E86" s="1">
        <v>0</v>
      </c>
      <c r="F86" s="1">
        <v>2</v>
      </c>
      <c r="G86" s="1">
        <v>2</v>
      </c>
      <c r="H86" s="1">
        <v>2</v>
      </c>
      <c r="I86" s="1"/>
      <c r="J86" s="1"/>
    </row>
    <row r="87" spans="2:10" x14ac:dyDescent="0.55000000000000004">
      <c r="B87" s="1" t="s">
        <v>68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/>
      <c r="J87" s="1"/>
    </row>
    <row r="88" spans="2:10" x14ac:dyDescent="0.55000000000000004">
      <c r="B88" s="1" t="s">
        <v>27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/>
      <c r="J88" s="1"/>
    </row>
    <row r="89" spans="2:10" x14ac:dyDescent="0.55000000000000004">
      <c r="B89" s="1" t="s">
        <v>90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/>
      <c r="J89" s="1"/>
    </row>
    <row r="95" spans="2:10" x14ac:dyDescent="0.55000000000000004">
      <c r="D95" t="s">
        <v>325</v>
      </c>
    </row>
  </sheetData>
  <phoneticPr fontId="1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B6326-CD43-4D70-B7BB-4C04379B24B9}">
  <sheetPr codeName="Sheet19"/>
  <dimension ref="B3:J101"/>
  <sheetViews>
    <sheetView workbookViewId="0">
      <selection activeCell="C7" sqref="C7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</cols>
  <sheetData>
    <row r="3" spans="2:2" ht="22.5" x14ac:dyDescent="0.55000000000000004">
      <c r="B3" s="45" t="s">
        <v>170</v>
      </c>
    </row>
    <row r="6" spans="2:2" x14ac:dyDescent="0.55000000000000004">
      <c r="B6" s="43" t="s">
        <v>209</v>
      </c>
    </row>
    <row r="22" spans="2:10" x14ac:dyDescent="0.55000000000000004">
      <c r="C22" s="28"/>
    </row>
    <row r="27" spans="2:10" x14ac:dyDescent="0.55000000000000004">
      <c r="B27" s="1" t="s">
        <v>67</v>
      </c>
      <c r="C27" s="44">
        <v>45292</v>
      </c>
      <c r="D27" s="44">
        <v>45323</v>
      </c>
      <c r="E27" s="44"/>
      <c r="F27" s="44"/>
      <c r="G27" s="44"/>
      <c r="H27" s="44"/>
      <c r="I27" s="1"/>
      <c r="J27" s="1"/>
    </row>
    <row r="28" spans="2:10" x14ac:dyDescent="0.55000000000000004">
      <c r="B28" s="1" t="s">
        <v>184</v>
      </c>
      <c r="C28" s="1">
        <v>0</v>
      </c>
      <c r="D28" s="1">
        <v>0</v>
      </c>
      <c r="E28" s="1"/>
      <c r="F28" s="1"/>
      <c r="G28" s="1"/>
      <c r="H28" s="1"/>
      <c r="I28" s="1"/>
      <c r="J28" s="1"/>
    </row>
    <row r="29" spans="2:10" x14ac:dyDescent="0.55000000000000004">
      <c r="B29" s="1" t="s">
        <v>185</v>
      </c>
      <c r="C29" s="1">
        <v>13.3</v>
      </c>
      <c r="D29" s="1">
        <v>2.4</v>
      </c>
      <c r="E29" s="1"/>
      <c r="F29" s="1"/>
      <c r="G29" s="1"/>
      <c r="H29" s="1"/>
      <c r="I29" s="1"/>
      <c r="J29" s="1"/>
    </row>
    <row r="30" spans="2:10" x14ac:dyDescent="0.55000000000000004">
      <c r="B30" s="1" t="s">
        <v>186</v>
      </c>
      <c r="C30" s="1">
        <v>0</v>
      </c>
      <c r="D30" s="1">
        <v>0</v>
      </c>
      <c r="E30" s="1"/>
      <c r="F30" s="1"/>
      <c r="G30" s="1"/>
      <c r="H30" s="1"/>
      <c r="I30" s="1"/>
      <c r="J30" s="1"/>
    </row>
    <row r="31" spans="2:10" x14ac:dyDescent="0.55000000000000004">
      <c r="B31" s="1" t="s">
        <v>187</v>
      </c>
      <c r="C31" s="1">
        <v>20</v>
      </c>
      <c r="D31" s="1">
        <v>0</v>
      </c>
      <c r="E31" s="1"/>
      <c r="F31" s="1"/>
      <c r="G31" s="1"/>
      <c r="H31" s="1"/>
      <c r="I31" s="1"/>
      <c r="J31" s="1"/>
    </row>
    <row r="32" spans="2:10" x14ac:dyDescent="0.55000000000000004">
      <c r="B32" s="1" t="s">
        <v>188</v>
      </c>
      <c r="C32" s="1">
        <v>0</v>
      </c>
      <c r="D32" s="1">
        <v>0</v>
      </c>
      <c r="E32" s="1"/>
      <c r="F32" s="1"/>
      <c r="G32" s="1"/>
      <c r="H32" s="1"/>
      <c r="I32" s="1"/>
      <c r="J32" s="1"/>
    </row>
    <row r="33" spans="2:10" x14ac:dyDescent="0.55000000000000004">
      <c r="B33" s="1" t="s">
        <v>189</v>
      </c>
      <c r="C33" s="1">
        <v>0.7</v>
      </c>
      <c r="D33" s="1">
        <v>1.3</v>
      </c>
      <c r="E33" s="1"/>
      <c r="F33" s="1"/>
      <c r="G33" s="1"/>
      <c r="H33" s="1"/>
      <c r="I33" s="1"/>
      <c r="J33" s="1"/>
    </row>
    <row r="34" spans="2:10" x14ac:dyDescent="0.55000000000000004">
      <c r="B34" s="1" t="s">
        <v>190</v>
      </c>
      <c r="C34" s="1">
        <v>0.4</v>
      </c>
      <c r="D34" s="1">
        <v>0.8</v>
      </c>
      <c r="E34" s="1"/>
      <c r="F34" s="1"/>
      <c r="G34" s="1"/>
      <c r="H34" s="1"/>
      <c r="I34" s="1"/>
      <c r="J34" s="1"/>
    </row>
    <row r="35" spans="2:10" x14ac:dyDescent="0.55000000000000004">
      <c r="B35" s="1" t="s">
        <v>191</v>
      </c>
      <c r="C35" s="1">
        <v>0</v>
      </c>
      <c r="D35" s="1">
        <v>0.5</v>
      </c>
      <c r="E35" s="1"/>
      <c r="F35" s="1"/>
      <c r="G35" s="1"/>
      <c r="H35" s="1"/>
      <c r="I35" s="1"/>
      <c r="J35" s="1"/>
    </row>
    <row r="36" spans="2:10" x14ac:dyDescent="0.55000000000000004">
      <c r="B36" s="1" t="s">
        <v>206</v>
      </c>
      <c r="C36" s="1">
        <v>0</v>
      </c>
      <c r="D36" s="1">
        <v>0</v>
      </c>
      <c r="E36" s="1"/>
      <c r="F36" s="1"/>
      <c r="G36" s="1"/>
      <c r="H36" s="1"/>
      <c r="I36" s="1"/>
      <c r="J36" s="1"/>
    </row>
    <row r="38" spans="2:10" x14ac:dyDescent="0.55000000000000004">
      <c r="B38" s="43" t="s">
        <v>208</v>
      </c>
    </row>
    <row r="58" spans="2:10" x14ac:dyDescent="0.55000000000000004">
      <c r="B58" s="1" t="s">
        <v>67</v>
      </c>
      <c r="C58" s="44">
        <v>45292</v>
      </c>
      <c r="D58" s="44">
        <v>45323</v>
      </c>
      <c r="E58" s="44"/>
      <c r="F58" s="44"/>
      <c r="G58" s="44"/>
      <c r="H58" s="44"/>
      <c r="I58" s="1"/>
      <c r="J58" s="1"/>
    </row>
    <row r="59" spans="2:10" x14ac:dyDescent="0.55000000000000004">
      <c r="B59" s="1" t="s">
        <v>184</v>
      </c>
      <c r="C59" s="1">
        <v>0</v>
      </c>
      <c r="D59" s="1">
        <v>0</v>
      </c>
      <c r="E59" s="1"/>
      <c r="F59" s="1"/>
      <c r="G59" s="1"/>
      <c r="H59" s="1"/>
      <c r="I59" s="1"/>
      <c r="J59" s="1"/>
    </row>
    <row r="60" spans="2:10" x14ac:dyDescent="0.55000000000000004">
      <c r="B60" s="1" t="s">
        <v>185</v>
      </c>
      <c r="C60" s="1">
        <v>0</v>
      </c>
      <c r="D60" s="1">
        <v>0</v>
      </c>
      <c r="E60" s="1"/>
      <c r="F60" s="1"/>
      <c r="G60" s="1"/>
      <c r="H60" s="1"/>
      <c r="I60" s="1"/>
      <c r="J60" s="1"/>
    </row>
    <row r="61" spans="2:10" x14ac:dyDescent="0.55000000000000004">
      <c r="B61" s="1" t="s">
        <v>186</v>
      </c>
      <c r="C61" s="1">
        <v>0</v>
      </c>
      <c r="D61" s="1">
        <v>0</v>
      </c>
      <c r="E61" s="1"/>
      <c r="F61" s="1"/>
      <c r="G61" s="1"/>
      <c r="H61" s="1"/>
      <c r="I61" s="1"/>
      <c r="J61" s="1"/>
    </row>
    <row r="62" spans="2:10" x14ac:dyDescent="0.55000000000000004">
      <c r="B62" s="1" t="s">
        <v>187</v>
      </c>
      <c r="C62" s="1">
        <v>0</v>
      </c>
      <c r="D62" s="1">
        <v>0</v>
      </c>
      <c r="E62" s="1"/>
      <c r="F62" s="1"/>
      <c r="G62" s="1"/>
      <c r="H62" s="1"/>
      <c r="I62" s="1"/>
      <c r="J62" s="1"/>
    </row>
    <row r="63" spans="2:10" x14ac:dyDescent="0.55000000000000004">
      <c r="B63" s="1" t="s">
        <v>188</v>
      </c>
      <c r="C63" s="1">
        <v>0</v>
      </c>
      <c r="D63" s="1">
        <v>0</v>
      </c>
      <c r="E63" s="1"/>
      <c r="F63" s="1"/>
      <c r="G63" s="1"/>
      <c r="H63" s="1"/>
      <c r="I63" s="1"/>
      <c r="J63" s="1"/>
    </row>
    <row r="64" spans="2:10" x14ac:dyDescent="0.55000000000000004">
      <c r="B64" s="1" t="s">
        <v>189</v>
      </c>
      <c r="C64" s="1">
        <v>0</v>
      </c>
      <c r="D64" s="1">
        <v>0</v>
      </c>
      <c r="E64" s="1"/>
      <c r="F64" s="1"/>
      <c r="G64" s="1"/>
      <c r="H64" s="1"/>
      <c r="I64" s="1"/>
      <c r="J64" s="1"/>
    </row>
    <row r="65" spans="2:10" x14ac:dyDescent="0.55000000000000004">
      <c r="B65" s="1" t="s">
        <v>190</v>
      </c>
      <c r="C65" s="1">
        <v>0</v>
      </c>
      <c r="D65" s="1">
        <v>0</v>
      </c>
      <c r="E65" s="1"/>
      <c r="F65" s="1"/>
      <c r="G65" s="1"/>
      <c r="H65" s="1"/>
      <c r="I65" s="1"/>
      <c r="J65" s="1"/>
    </row>
    <row r="66" spans="2:10" x14ac:dyDescent="0.55000000000000004">
      <c r="B66" s="1" t="s">
        <v>191</v>
      </c>
      <c r="C66" s="1">
        <v>0</v>
      </c>
      <c r="D66" s="1">
        <v>0</v>
      </c>
      <c r="E66" s="1"/>
      <c r="F66" s="1"/>
      <c r="G66" s="1"/>
      <c r="H66" s="1"/>
      <c r="I66" s="1"/>
      <c r="J66" s="1"/>
    </row>
    <row r="67" spans="2:10" x14ac:dyDescent="0.55000000000000004">
      <c r="B67" s="1" t="s">
        <v>206</v>
      </c>
      <c r="C67" s="1">
        <v>0</v>
      </c>
      <c r="D67" s="1">
        <v>0</v>
      </c>
      <c r="E67" s="1"/>
      <c r="F67" s="1"/>
      <c r="G67" s="1"/>
      <c r="H67" s="1"/>
      <c r="I67" s="1"/>
      <c r="J67" s="1"/>
    </row>
    <row r="72" spans="2:10" x14ac:dyDescent="0.55000000000000004">
      <c r="B72" s="43" t="s">
        <v>207</v>
      </c>
    </row>
    <row r="73" spans="2:10" x14ac:dyDescent="0.55000000000000004">
      <c r="B73" s="43"/>
    </row>
    <row r="74" spans="2:10" x14ac:dyDescent="0.55000000000000004">
      <c r="B74" s="43"/>
    </row>
    <row r="75" spans="2:10" x14ac:dyDescent="0.55000000000000004">
      <c r="B75" s="43"/>
    </row>
    <row r="76" spans="2:10" x14ac:dyDescent="0.55000000000000004">
      <c r="B76" s="43"/>
    </row>
    <row r="77" spans="2:10" x14ac:dyDescent="0.55000000000000004">
      <c r="B77" s="43"/>
    </row>
    <row r="78" spans="2:10" x14ac:dyDescent="0.55000000000000004">
      <c r="B78" s="43"/>
    </row>
    <row r="79" spans="2:10" x14ac:dyDescent="0.55000000000000004">
      <c r="B79" s="43"/>
    </row>
    <row r="80" spans="2:10" x14ac:dyDescent="0.55000000000000004">
      <c r="B80" s="43"/>
    </row>
    <row r="81" spans="2:10" x14ac:dyDescent="0.55000000000000004">
      <c r="B81" s="43"/>
    </row>
    <row r="82" spans="2:10" x14ac:dyDescent="0.55000000000000004">
      <c r="B82" s="43"/>
    </row>
    <row r="83" spans="2:10" x14ac:dyDescent="0.55000000000000004">
      <c r="B83" s="43"/>
    </row>
    <row r="84" spans="2:10" x14ac:dyDescent="0.55000000000000004">
      <c r="B84" s="43"/>
    </row>
    <row r="92" spans="2:10" x14ac:dyDescent="0.55000000000000004">
      <c r="B92" s="1" t="s">
        <v>67</v>
      </c>
      <c r="C92" s="44">
        <v>45292</v>
      </c>
      <c r="D92" s="44">
        <v>45323</v>
      </c>
      <c r="E92" s="44"/>
      <c r="F92" s="44"/>
      <c r="G92" s="44"/>
      <c r="H92" s="44"/>
      <c r="I92" s="1"/>
      <c r="J92" s="1"/>
    </row>
    <row r="93" spans="2:10" x14ac:dyDescent="0.55000000000000004">
      <c r="B93" s="1" t="s">
        <v>184</v>
      </c>
      <c r="C93" s="1">
        <v>0</v>
      </c>
      <c r="D93" s="1">
        <v>0</v>
      </c>
      <c r="E93" s="1"/>
      <c r="F93" s="1"/>
      <c r="G93" s="1"/>
      <c r="H93" s="1"/>
      <c r="I93" s="1"/>
      <c r="J93" s="1"/>
    </row>
    <row r="94" spans="2:10" x14ac:dyDescent="0.55000000000000004">
      <c r="B94" s="1" t="s">
        <v>185</v>
      </c>
      <c r="C94" s="1">
        <v>0</v>
      </c>
      <c r="D94" s="1">
        <v>0</v>
      </c>
      <c r="E94" s="1"/>
      <c r="F94" s="1"/>
      <c r="G94" s="1"/>
      <c r="H94" s="1"/>
      <c r="I94" s="1"/>
      <c r="J94" s="1"/>
    </row>
    <row r="95" spans="2:10" x14ac:dyDescent="0.55000000000000004">
      <c r="B95" s="1" t="s">
        <v>186</v>
      </c>
      <c r="C95" s="1">
        <v>0</v>
      </c>
      <c r="D95" s="1">
        <v>0</v>
      </c>
      <c r="E95" s="1"/>
      <c r="F95" s="1"/>
      <c r="G95" s="1"/>
      <c r="H95" s="1"/>
      <c r="I95" s="1"/>
      <c r="J95" s="1"/>
    </row>
    <row r="96" spans="2:10" x14ac:dyDescent="0.55000000000000004">
      <c r="B96" s="1" t="s">
        <v>187</v>
      </c>
      <c r="C96" s="1">
        <v>0</v>
      </c>
      <c r="D96" s="1">
        <v>0</v>
      </c>
      <c r="E96" s="1"/>
      <c r="F96" s="1"/>
      <c r="G96" s="1"/>
      <c r="H96" s="1"/>
      <c r="I96" s="1"/>
      <c r="J96" s="1"/>
    </row>
    <row r="97" spans="2:10" x14ac:dyDescent="0.55000000000000004">
      <c r="B97" s="1" t="s">
        <v>188</v>
      </c>
      <c r="C97" s="1">
        <v>0</v>
      </c>
      <c r="D97" s="1">
        <v>0</v>
      </c>
      <c r="E97" s="1"/>
      <c r="F97" s="1"/>
      <c r="G97" s="1"/>
      <c r="H97" s="1"/>
      <c r="I97" s="1"/>
      <c r="J97" s="1"/>
    </row>
    <row r="98" spans="2:10" x14ac:dyDescent="0.55000000000000004">
      <c r="B98" s="1" t="s">
        <v>189</v>
      </c>
      <c r="C98" s="1">
        <v>0</v>
      </c>
      <c r="D98" s="1">
        <v>0</v>
      </c>
      <c r="E98" s="1"/>
      <c r="F98" s="1"/>
      <c r="G98" s="1"/>
      <c r="H98" s="1"/>
      <c r="I98" s="1"/>
      <c r="J98" s="1"/>
    </row>
    <row r="99" spans="2:10" x14ac:dyDescent="0.55000000000000004">
      <c r="B99" s="1" t="s">
        <v>190</v>
      </c>
      <c r="C99" s="1">
        <v>0</v>
      </c>
      <c r="D99" s="1">
        <v>0</v>
      </c>
      <c r="E99" s="1"/>
      <c r="F99" s="1"/>
      <c r="G99" s="1"/>
      <c r="H99" s="1"/>
      <c r="I99" s="1"/>
      <c r="J99" s="1"/>
    </row>
    <row r="100" spans="2:10" x14ac:dyDescent="0.55000000000000004">
      <c r="B100" s="1" t="s">
        <v>191</v>
      </c>
      <c r="C100" s="1">
        <v>0</v>
      </c>
      <c r="D100" s="1">
        <v>0</v>
      </c>
      <c r="E100" s="1"/>
      <c r="F100" s="1"/>
      <c r="G100" s="1"/>
      <c r="H100" s="1"/>
      <c r="I100" s="1"/>
      <c r="J100" s="1"/>
    </row>
    <row r="101" spans="2:10" x14ac:dyDescent="0.55000000000000004">
      <c r="B101" s="1" t="s">
        <v>206</v>
      </c>
      <c r="C101" s="1">
        <v>0</v>
      </c>
      <c r="D101" s="1">
        <v>0</v>
      </c>
      <c r="E101" s="1"/>
      <c r="F101" s="1"/>
      <c r="G101" s="1"/>
      <c r="H101" s="1"/>
      <c r="I101" s="1"/>
      <c r="J101" s="1"/>
    </row>
  </sheetData>
  <phoneticPr fontId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7F3AE-17E2-4A53-AF5A-BFFFFFF4F10A}">
  <sheetPr codeName="Sheet24"/>
  <dimension ref="B3:R169"/>
  <sheetViews>
    <sheetView topLeftCell="A48" workbookViewId="0">
      <selection activeCell="A20" sqref="A20"/>
    </sheetView>
  </sheetViews>
  <sheetFormatPr defaultRowHeight="18" x14ac:dyDescent="0.55000000000000004"/>
  <cols>
    <col min="2" max="2" width="12.25" bestFit="1" customWidth="1"/>
    <col min="3" max="3" width="13.58203125" customWidth="1"/>
    <col min="4" max="4" width="12.6640625" customWidth="1"/>
    <col min="5" max="5" width="12" customWidth="1"/>
    <col min="6" max="6" width="11.5" customWidth="1"/>
    <col min="7" max="7" width="12.33203125" customWidth="1"/>
    <col min="8" max="8" width="13.1640625" customWidth="1"/>
    <col min="9" max="10" width="10.9140625" bestFit="1" customWidth="1"/>
    <col min="11" max="11" width="11.25" customWidth="1"/>
    <col min="12" max="18" width="9.83203125" bestFit="1" customWidth="1"/>
  </cols>
  <sheetData>
    <row r="3" spans="2:2" ht="22.5" x14ac:dyDescent="0.55000000000000004">
      <c r="B3" s="45" t="s">
        <v>73</v>
      </c>
    </row>
    <row r="6" spans="2:2" x14ac:dyDescent="0.55000000000000004">
      <c r="B6" s="43" t="s">
        <v>431</v>
      </c>
    </row>
    <row r="22" spans="2:18" x14ac:dyDescent="0.55000000000000004">
      <c r="C22" s="28"/>
    </row>
    <row r="27" spans="2:18" x14ac:dyDescent="0.55000000000000004">
      <c r="B27" s="1" t="s">
        <v>67</v>
      </c>
      <c r="C27" s="44">
        <v>45383</v>
      </c>
      <c r="D27" s="44">
        <v>45413</v>
      </c>
      <c r="E27" s="44">
        <v>45444</v>
      </c>
      <c r="F27" s="44">
        <v>45474</v>
      </c>
      <c r="G27" s="44">
        <v>45505</v>
      </c>
      <c r="H27" s="44">
        <v>45536</v>
      </c>
      <c r="I27" s="44">
        <v>45566</v>
      </c>
      <c r="J27" s="44">
        <v>45597</v>
      </c>
      <c r="K27" s="44">
        <v>45627</v>
      </c>
      <c r="L27" s="44">
        <v>45658</v>
      </c>
      <c r="M27" s="44">
        <v>45689</v>
      </c>
      <c r="N27" s="44">
        <v>45717</v>
      </c>
      <c r="O27" s="44">
        <v>45748</v>
      </c>
      <c r="P27" s="44">
        <v>45778</v>
      </c>
      <c r="Q27" s="44">
        <v>45809</v>
      </c>
      <c r="R27" s="44">
        <v>45839</v>
      </c>
    </row>
    <row r="28" spans="2:18" x14ac:dyDescent="0.55000000000000004">
      <c r="B28" s="1" t="s">
        <v>39</v>
      </c>
      <c r="C28" s="1">
        <v>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2:18" x14ac:dyDescent="0.55000000000000004">
      <c r="B29" s="1" t="s">
        <v>28</v>
      </c>
      <c r="C29" s="1">
        <v>0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2:18" x14ac:dyDescent="0.55000000000000004">
      <c r="B30" s="1" t="s">
        <v>66</v>
      </c>
      <c r="C30" s="1">
        <v>1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spans="2:18" x14ac:dyDescent="0.55000000000000004">
      <c r="B31" s="1" t="s">
        <v>68</v>
      </c>
      <c r="C31" s="1">
        <v>1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spans="2:18" x14ac:dyDescent="0.55000000000000004">
      <c r="B32" s="1" t="s">
        <v>27</v>
      </c>
      <c r="C32" s="1">
        <v>0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spans="2:18" x14ac:dyDescent="0.55000000000000004">
      <c r="B33" s="1" t="s">
        <v>321</v>
      </c>
      <c r="C33" s="1">
        <v>0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spans="2:18" x14ac:dyDescent="0.55000000000000004">
      <c r="B34" s="1" t="s">
        <v>320</v>
      </c>
      <c r="C34" s="1">
        <v>0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40" spans="2:18" x14ac:dyDescent="0.55000000000000004">
      <c r="B40" s="43" t="s">
        <v>430</v>
      </c>
    </row>
    <row r="60" spans="2:18" x14ac:dyDescent="0.55000000000000004">
      <c r="B60" s="1" t="s">
        <v>67</v>
      </c>
      <c r="C60" s="44">
        <v>45383</v>
      </c>
      <c r="D60" s="44">
        <v>45413</v>
      </c>
      <c r="E60" s="44">
        <v>45444</v>
      </c>
      <c r="F60" s="44">
        <v>45474</v>
      </c>
      <c r="G60" s="44">
        <v>45505</v>
      </c>
      <c r="H60" s="44">
        <v>45536</v>
      </c>
      <c r="I60" s="44">
        <v>45566</v>
      </c>
      <c r="J60" s="44">
        <v>45597</v>
      </c>
      <c r="K60" s="44">
        <v>45627</v>
      </c>
      <c r="L60" s="44">
        <v>45658</v>
      </c>
      <c r="M60" s="44">
        <v>45689</v>
      </c>
      <c r="N60" s="44">
        <v>45717</v>
      </c>
      <c r="O60" s="44">
        <v>45748</v>
      </c>
      <c r="P60" s="44">
        <v>45778</v>
      </c>
      <c r="Q60" s="44">
        <v>45809</v>
      </c>
      <c r="R60" s="44">
        <v>45839</v>
      </c>
    </row>
    <row r="61" spans="2:18" x14ac:dyDescent="0.55000000000000004">
      <c r="B61" s="1" t="s">
        <v>39</v>
      </c>
      <c r="C61" s="1">
        <v>0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2:18" x14ac:dyDescent="0.55000000000000004">
      <c r="B62" s="1" t="s">
        <v>28</v>
      </c>
      <c r="C62" s="1">
        <v>1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2:18" x14ac:dyDescent="0.55000000000000004">
      <c r="B63" s="1" t="s">
        <v>66</v>
      </c>
      <c r="C63" s="1">
        <v>0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2:18" x14ac:dyDescent="0.55000000000000004">
      <c r="B64" s="1" t="s">
        <v>68</v>
      </c>
      <c r="C64" s="1">
        <v>0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2:18" x14ac:dyDescent="0.55000000000000004">
      <c r="B65" s="1" t="s">
        <v>27</v>
      </c>
      <c r="C65" s="1">
        <v>0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2:18" x14ac:dyDescent="0.55000000000000004">
      <c r="B66" s="1" t="s">
        <v>321</v>
      </c>
      <c r="C66" s="1">
        <v>0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2:18" x14ac:dyDescent="0.55000000000000004">
      <c r="B67" s="1" t="s">
        <v>320</v>
      </c>
      <c r="C67" s="1">
        <v>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72" spans="2:18" x14ac:dyDescent="0.55000000000000004">
      <c r="B72" s="43" t="s">
        <v>432</v>
      </c>
    </row>
    <row r="73" spans="2:18" x14ac:dyDescent="0.55000000000000004">
      <c r="B73" s="43"/>
    </row>
    <row r="74" spans="2:18" x14ac:dyDescent="0.55000000000000004">
      <c r="B74" s="43"/>
    </row>
    <row r="75" spans="2:18" x14ac:dyDescent="0.55000000000000004">
      <c r="B75" s="43"/>
    </row>
    <row r="76" spans="2:18" x14ac:dyDescent="0.55000000000000004">
      <c r="B76" s="43"/>
    </row>
    <row r="77" spans="2:18" x14ac:dyDescent="0.55000000000000004">
      <c r="B77" s="43"/>
    </row>
    <row r="78" spans="2:18" x14ac:dyDescent="0.55000000000000004">
      <c r="B78" s="43"/>
    </row>
    <row r="79" spans="2:18" x14ac:dyDescent="0.55000000000000004">
      <c r="B79" s="43"/>
    </row>
    <row r="80" spans="2:18" x14ac:dyDescent="0.55000000000000004">
      <c r="B80" s="43"/>
    </row>
    <row r="81" spans="2:18" x14ac:dyDescent="0.55000000000000004">
      <c r="B81" s="43"/>
    </row>
    <row r="82" spans="2:18" x14ac:dyDescent="0.55000000000000004">
      <c r="B82" s="43"/>
    </row>
    <row r="83" spans="2:18" x14ac:dyDescent="0.55000000000000004">
      <c r="B83" s="43"/>
    </row>
    <row r="84" spans="2:18" x14ac:dyDescent="0.55000000000000004">
      <c r="B84" s="43"/>
    </row>
    <row r="94" spans="2:18" x14ac:dyDescent="0.55000000000000004">
      <c r="B94" s="1" t="s">
        <v>67</v>
      </c>
      <c r="C94" s="44">
        <v>45383</v>
      </c>
      <c r="D94" s="44">
        <v>45413</v>
      </c>
      <c r="E94" s="44">
        <v>45444</v>
      </c>
      <c r="F94" s="44">
        <v>45474</v>
      </c>
      <c r="G94" s="44">
        <v>45505</v>
      </c>
      <c r="H94" s="44">
        <v>45536</v>
      </c>
      <c r="I94" s="44">
        <v>45566</v>
      </c>
      <c r="J94" s="44">
        <v>45597</v>
      </c>
      <c r="K94" s="44">
        <v>45627</v>
      </c>
      <c r="L94" s="44">
        <v>45658</v>
      </c>
      <c r="M94" s="44">
        <v>45689</v>
      </c>
      <c r="N94" s="44">
        <v>45717</v>
      </c>
      <c r="O94" s="44">
        <v>45748</v>
      </c>
      <c r="P94" s="44">
        <v>45778</v>
      </c>
      <c r="Q94" s="44">
        <v>45809</v>
      </c>
      <c r="R94" s="44">
        <v>45839</v>
      </c>
    </row>
    <row r="95" spans="2:18" x14ac:dyDescent="0.55000000000000004">
      <c r="B95" s="1" t="s">
        <v>39</v>
      </c>
      <c r="C95" s="1">
        <v>0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2:18" x14ac:dyDescent="0.55000000000000004">
      <c r="B96" s="1" t="s">
        <v>28</v>
      </c>
      <c r="C96" s="1">
        <v>0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2:18" x14ac:dyDescent="0.55000000000000004">
      <c r="B97" s="1" t="s">
        <v>66</v>
      </c>
      <c r="C97" s="1">
        <v>1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2:18" x14ac:dyDescent="0.55000000000000004">
      <c r="B98" s="1" t="s">
        <v>68</v>
      </c>
      <c r="C98" s="1">
        <v>1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2:18" x14ac:dyDescent="0.55000000000000004">
      <c r="B99" s="1" t="s">
        <v>27</v>
      </c>
      <c r="C99" s="1">
        <v>0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2:18" x14ac:dyDescent="0.55000000000000004">
      <c r="B100" s="1" t="s">
        <v>321</v>
      </c>
      <c r="C100" s="1">
        <v>0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  <row r="101" spans="2:18" x14ac:dyDescent="0.55000000000000004">
      <c r="B101" s="1" t="s">
        <v>320</v>
      </c>
      <c r="C101" s="1">
        <v>0</v>
      </c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</row>
    <row r="106" spans="2:18" x14ac:dyDescent="0.55000000000000004">
      <c r="B106" s="43" t="s">
        <v>433</v>
      </c>
    </row>
    <row r="107" spans="2:18" x14ac:dyDescent="0.55000000000000004">
      <c r="B107" s="43"/>
    </row>
    <row r="108" spans="2:18" x14ac:dyDescent="0.55000000000000004">
      <c r="B108" s="43"/>
    </row>
    <row r="109" spans="2:18" x14ac:dyDescent="0.55000000000000004">
      <c r="B109" s="43"/>
    </row>
    <row r="110" spans="2:18" x14ac:dyDescent="0.55000000000000004">
      <c r="B110" s="43"/>
    </row>
    <row r="111" spans="2:18" x14ac:dyDescent="0.55000000000000004">
      <c r="B111" s="43"/>
    </row>
    <row r="112" spans="2:18" x14ac:dyDescent="0.55000000000000004">
      <c r="B112" s="43"/>
    </row>
    <row r="113" spans="2:18" x14ac:dyDescent="0.55000000000000004">
      <c r="B113" s="43"/>
    </row>
    <row r="114" spans="2:18" x14ac:dyDescent="0.55000000000000004">
      <c r="B114" s="43"/>
    </row>
    <row r="115" spans="2:18" x14ac:dyDescent="0.55000000000000004">
      <c r="B115" s="43"/>
    </row>
    <row r="116" spans="2:18" x14ac:dyDescent="0.55000000000000004">
      <c r="B116" s="43"/>
    </row>
    <row r="117" spans="2:18" x14ac:dyDescent="0.55000000000000004">
      <c r="B117" s="43"/>
    </row>
    <row r="118" spans="2:18" x14ac:dyDescent="0.55000000000000004">
      <c r="B118" s="43"/>
    </row>
    <row r="128" spans="2:18" x14ac:dyDescent="0.55000000000000004">
      <c r="B128" s="1" t="s">
        <v>67</v>
      </c>
      <c r="C128" s="44">
        <v>45383</v>
      </c>
      <c r="D128" s="44">
        <v>45413</v>
      </c>
      <c r="E128" s="44">
        <v>45444</v>
      </c>
      <c r="F128" s="44">
        <v>45474</v>
      </c>
      <c r="G128" s="44">
        <v>45505</v>
      </c>
      <c r="H128" s="44">
        <v>45536</v>
      </c>
      <c r="I128" s="44">
        <v>45566</v>
      </c>
      <c r="J128" s="44">
        <v>45597</v>
      </c>
      <c r="K128" s="44">
        <v>45627</v>
      </c>
      <c r="L128" s="44">
        <v>45658</v>
      </c>
      <c r="M128" s="44">
        <v>45689</v>
      </c>
      <c r="N128" s="44">
        <v>45717</v>
      </c>
      <c r="O128" s="44">
        <v>45748</v>
      </c>
      <c r="P128" s="44">
        <v>45778</v>
      </c>
      <c r="Q128" s="44">
        <v>45809</v>
      </c>
      <c r="R128" s="44">
        <v>45839</v>
      </c>
    </row>
    <row r="129" spans="2:18" x14ac:dyDescent="0.55000000000000004">
      <c r="B129" s="1" t="s">
        <v>39</v>
      </c>
      <c r="C129" s="1">
        <v>0</v>
      </c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</row>
    <row r="130" spans="2:18" x14ac:dyDescent="0.55000000000000004">
      <c r="B130" s="1" t="s">
        <v>28</v>
      </c>
      <c r="C130" s="1">
        <v>0</v>
      </c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</row>
    <row r="131" spans="2:18" x14ac:dyDescent="0.55000000000000004">
      <c r="B131" s="1" t="s">
        <v>66</v>
      </c>
      <c r="C131" s="1">
        <v>0</v>
      </c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</row>
    <row r="132" spans="2:18" x14ac:dyDescent="0.55000000000000004">
      <c r="B132" s="1" t="s">
        <v>68</v>
      </c>
      <c r="C132" s="1">
        <v>1</v>
      </c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</row>
    <row r="133" spans="2:18" x14ac:dyDescent="0.55000000000000004">
      <c r="B133" s="1" t="s">
        <v>27</v>
      </c>
      <c r="C133" s="1">
        <v>0</v>
      </c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</row>
    <row r="134" spans="2:18" x14ac:dyDescent="0.55000000000000004">
      <c r="B134" s="1" t="s">
        <v>321</v>
      </c>
      <c r="C134" s="1">
        <v>0</v>
      </c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</row>
    <row r="135" spans="2:18" x14ac:dyDescent="0.55000000000000004">
      <c r="B135" s="1" t="s">
        <v>320</v>
      </c>
      <c r="C135" s="1">
        <v>0</v>
      </c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</row>
    <row r="140" spans="2:18" x14ac:dyDescent="0.55000000000000004">
      <c r="B140" s="43" t="s">
        <v>434</v>
      </c>
    </row>
    <row r="141" spans="2:18" x14ac:dyDescent="0.55000000000000004">
      <c r="B141" s="43"/>
    </row>
    <row r="142" spans="2:18" x14ac:dyDescent="0.55000000000000004">
      <c r="B142" s="43"/>
    </row>
    <row r="143" spans="2:18" x14ac:dyDescent="0.55000000000000004">
      <c r="B143" s="43"/>
    </row>
    <row r="144" spans="2:18" x14ac:dyDescent="0.55000000000000004">
      <c r="B144" s="43"/>
    </row>
    <row r="145" spans="2:2" x14ac:dyDescent="0.55000000000000004">
      <c r="B145" s="43"/>
    </row>
    <row r="146" spans="2:2" x14ac:dyDescent="0.55000000000000004">
      <c r="B146" s="43"/>
    </row>
    <row r="147" spans="2:2" x14ac:dyDescent="0.55000000000000004">
      <c r="B147" s="43"/>
    </row>
    <row r="148" spans="2:2" x14ac:dyDescent="0.55000000000000004">
      <c r="B148" s="43"/>
    </row>
    <row r="149" spans="2:2" x14ac:dyDescent="0.55000000000000004">
      <c r="B149" s="43"/>
    </row>
    <row r="150" spans="2:2" x14ac:dyDescent="0.55000000000000004">
      <c r="B150" s="43"/>
    </row>
    <row r="151" spans="2:2" x14ac:dyDescent="0.55000000000000004">
      <c r="B151" s="43"/>
    </row>
    <row r="152" spans="2:2" x14ac:dyDescent="0.55000000000000004">
      <c r="B152" s="43"/>
    </row>
    <row r="162" spans="2:18" x14ac:dyDescent="0.55000000000000004">
      <c r="B162" s="1" t="s">
        <v>67</v>
      </c>
      <c r="C162" s="44">
        <v>45383</v>
      </c>
      <c r="D162" s="44">
        <v>45413</v>
      </c>
      <c r="E162" s="44">
        <v>45444</v>
      </c>
      <c r="F162" s="44">
        <v>45474</v>
      </c>
      <c r="G162" s="44">
        <v>45505</v>
      </c>
      <c r="H162" s="44">
        <v>45536</v>
      </c>
      <c r="I162" s="44">
        <v>45566</v>
      </c>
      <c r="J162" s="44">
        <v>45597</v>
      </c>
      <c r="K162" s="44">
        <v>45627</v>
      </c>
      <c r="L162" s="44">
        <v>45658</v>
      </c>
      <c r="M162" s="44">
        <v>45689</v>
      </c>
      <c r="N162" s="44">
        <v>45717</v>
      </c>
      <c r="O162" s="44">
        <v>45748</v>
      </c>
      <c r="P162" s="44">
        <v>45778</v>
      </c>
      <c r="Q162" s="44">
        <v>45809</v>
      </c>
      <c r="R162" s="44">
        <v>45839</v>
      </c>
    </row>
    <row r="163" spans="2:18" x14ac:dyDescent="0.55000000000000004">
      <c r="B163" s="1" t="s">
        <v>39</v>
      </c>
      <c r="C163" s="1">
        <v>1</v>
      </c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2:18" x14ac:dyDescent="0.55000000000000004">
      <c r="B164" s="1" t="s">
        <v>28</v>
      </c>
      <c r="C164" s="1">
        <v>0</v>
      </c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2:18" x14ac:dyDescent="0.55000000000000004">
      <c r="B165" s="1" t="s">
        <v>66</v>
      </c>
      <c r="C165" s="1">
        <v>0</v>
      </c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2:18" x14ac:dyDescent="0.55000000000000004">
      <c r="B166" s="1" t="s">
        <v>68</v>
      </c>
      <c r="C166" s="1">
        <v>1</v>
      </c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2:18" x14ac:dyDescent="0.55000000000000004">
      <c r="B167" s="1" t="s">
        <v>27</v>
      </c>
      <c r="C167" s="1">
        <v>0</v>
      </c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2:18" x14ac:dyDescent="0.55000000000000004">
      <c r="B168" s="1" t="s">
        <v>321</v>
      </c>
      <c r="C168" s="1">
        <v>0</v>
      </c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2:18" x14ac:dyDescent="0.55000000000000004">
      <c r="B169" s="1" t="s">
        <v>320</v>
      </c>
      <c r="C169" s="1">
        <v>0</v>
      </c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</sheetData>
  <phoneticPr fontId="1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61714-512E-42D6-8DA2-A2E7AD157F8F}">
  <sheetPr codeName="Sheet23"/>
  <dimension ref="B2:B20"/>
  <sheetViews>
    <sheetView topLeftCell="A10" workbookViewId="0">
      <selection activeCell="E28" sqref="E28"/>
    </sheetView>
  </sheetViews>
  <sheetFormatPr defaultRowHeight="18" x14ac:dyDescent="0.55000000000000004"/>
  <cols>
    <col min="2" max="2" width="12.33203125" bestFit="1" customWidth="1"/>
  </cols>
  <sheetData>
    <row r="2" spans="2:2" x14ac:dyDescent="0.55000000000000004">
      <c r="B2" s="1" t="s">
        <v>365</v>
      </c>
    </row>
    <row r="3" spans="2:2" x14ac:dyDescent="0.55000000000000004">
      <c r="B3" s="1" t="s">
        <v>321</v>
      </c>
    </row>
    <row r="4" spans="2:2" x14ac:dyDescent="0.55000000000000004">
      <c r="B4" s="1" t="s">
        <v>27</v>
      </c>
    </row>
    <row r="5" spans="2:2" x14ac:dyDescent="0.55000000000000004">
      <c r="B5" s="1" t="s">
        <v>29</v>
      </c>
    </row>
    <row r="6" spans="2:2" x14ac:dyDescent="0.55000000000000004">
      <c r="B6" s="1" t="s">
        <v>28</v>
      </c>
    </row>
    <row r="7" spans="2:2" x14ac:dyDescent="0.55000000000000004">
      <c r="B7" s="1" t="s">
        <v>36</v>
      </c>
    </row>
    <row r="8" spans="2:2" x14ac:dyDescent="0.55000000000000004">
      <c r="B8" s="1" t="s">
        <v>68</v>
      </c>
    </row>
    <row r="9" spans="2:2" x14ac:dyDescent="0.55000000000000004">
      <c r="B9" s="1" t="s">
        <v>320</v>
      </c>
    </row>
    <row r="10" spans="2:2" x14ac:dyDescent="0.55000000000000004">
      <c r="B10" s="1" t="s">
        <v>163</v>
      </c>
    </row>
    <row r="11" spans="2:2" x14ac:dyDescent="0.55000000000000004">
      <c r="B11" s="1" t="s">
        <v>149</v>
      </c>
    </row>
    <row r="12" spans="2:2" x14ac:dyDescent="0.55000000000000004">
      <c r="B12" s="1" t="s">
        <v>99</v>
      </c>
    </row>
    <row r="13" spans="2:2" x14ac:dyDescent="0.55000000000000004">
      <c r="B13" s="1" t="s">
        <v>148</v>
      </c>
    </row>
    <row r="14" spans="2:2" x14ac:dyDescent="0.55000000000000004">
      <c r="B14" s="1" t="s">
        <v>147</v>
      </c>
    </row>
    <row r="15" spans="2:2" x14ac:dyDescent="0.55000000000000004">
      <c r="B15" s="1" t="s">
        <v>40</v>
      </c>
    </row>
    <row r="16" spans="2:2" x14ac:dyDescent="0.55000000000000004">
      <c r="B16" s="1" t="s">
        <v>366</v>
      </c>
    </row>
    <row r="17" spans="2:2" x14ac:dyDescent="0.55000000000000004">
      <c r="B17" s="1" t="s">
        <v>14</v>
      </c>
    </row>
    <row r="18" spans="2:2" x14ac:dyDescent="0.55000000000000004">
      <c r="B18" s="1" t="s">
        <v>2</v>
      </c>
    </row>
    <row r="19" spans="2:2" x14ac:dyDescent="0.55000000000000004">
      <c r="B19" s="1" t="s">
        <v>15</v>
      </c>
    </row>
    <row r="20" spans="2:2" x14ac:dyDescent="0.55000000000000004">
      <c r="B20" s="1" t="s">
        <v>367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DAB853DD870D241A4AD093F3B1FE9E5" ma:contentTypeVersion="17" ma:contentTypeDescription="Create a new document." ma:contentTypeScope="" ma:versionID="e8699389b5ce2b21d2b469ba70bb7b11">
  <xsd:schema xmlns:xsd="http://www.w3.org/2001/XMLSchema" xmlns:xs="http://www.w3.org/2001/XMLSchema" xmlns:p="http://schemas.microsoft.com/office/2006/metadata/properties" xmlns:ns2="2800fe1a-de70-4134-97c0-3f20be222615" xmlns:ns3="9dd3bebe-02df-40bc-82d6-69dfec61ed77" targetNamespace="http://schemas.microsoft.com/office/2006/metadata/properties" ma:root="true" ma:fieldsID="40f640322a689064d1de0fa19308366f" ns2:_="" ns3:_="">
    <xsd:import namespace="2800fe1a-de70-4134-97c0-3f20be222615"/>
    <xsd:import namespace="9dd3bebe-02df-40bc-82d6-69dfec61ed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DateTaken" minOccurs="0"/>
                <xsd:element ref="ns2:MediaLengthInSeconds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00fe1a-de70-4134-97c0-3f20be2226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6d165d17-9b79-46c3-82b9-c927e733c42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20" nillable="true" ma:displayName="Sign-off status" ma:internalName="Sign_x002d_off_x0020_status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d3bebe-02df-40bc-82d6-69dfec61ed7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2" nillable="true" ma:displayName="Taxonomy Catch All Column" ma:hidden="true" ma:list="{06c1df75-78b3-48ec-b76f-c10e9cb4c1db}" ma:internalName="TaxCatchAll" ma:showField="CatchAllData" ma:web="9dd3bebe-02df-40bc-82d6-69dfec61ed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2800fe1a-de70-4134-97c0-3f20be222615" xsi:nil="true"/>
    <lcf76f155ced4ddcb4097134ff3c332f xmlns="2800fe1a-de70-4134-97c0-3f20be222615">
      <Terms xmlns="http://schemas.microsoft.com/office/infopath/2007/PartnerControls"/>
    </lcf76f155ced4ddcb4097134ff3c332f>
    <TaxCatchAll xmlns="9dd3bebe-02df-40bc-82d6-69dfec61ed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599955A9-DFDF-43E4-844F-5FF567191A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800fe1a-de70-4134-97c0-3f20be222615"/>
    <ds:schemaRef ds:uri="9dd3bebe-02df-40bc-82d6-69dfec61ed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EA64AFC-CFCD-4E47-8FD5-01F6F9C538E2}">
  <ds:schemaRefs>
    <ds:schemaRef ds:uri="9dd3bebe-02df-40bc-82d6-69dfec61ed77"/>
    <ds:schemaRef ds:uri="http://schemas.microsoft.com/office/2006/metadata/properties"/>
    <ds:schemaRef ds:uri="http://www.w3.org/XML/1998/namespace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2800fe1a-de70-4134-97c0-3f20be222615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F3F34D1-2E88-4D13-9C47-BA75AD87A27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B9C042C-B029-41FE-B398-BFE0825BC481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e0793d39-0939-496d-b129-198edd916feb}" enabled="0" method="" siteId="{e0793d39-0939-496d-b129-198edd916f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36</vt:i4>
      </vt:variant>
    </vt:vector>
  </HeadingPairs>
  <TitlesOfParts>
    <vt:vector size="36" baseType="lpstr">
      <vt:lpstr>myTe(FB件数)</vt:lpstr>
      <vt:lpstr>myTE 累積棒グラフ</vt:lpstr>
      <vt:lpstr>I&amp;D(FB件数)</vt:lpstr>
      <vt:lpstr>I&amp;D 累積棒グラフ</vt:lpstr>
      <vt:lpstr>人事異動・組織改編(FB件数)</vt:lpstr>
      <vt:lpstr>人事異動累積棒グラフ</vt:lpstr>
      <vt:lpstr>サーバールーム(FB件数)</vt:lpstr>
      <vt:lpstr>サーバールーム累積件数グラフ</vt:lpstr>
      <vt:lpstr>中計決算50社(FB件数)</vt:lpstr>
      <vt:lpstr>中計決算50社累積件数グラフ</vt:lpstr>
      <vt:lpstr>集計方法</vt:lpstr>
      <vt:lpstr>作業用 (myTE集計用)</vt:lpstr>
      <vt:lpstr>作業用 (I&amp;D集計用)</vt:lpstr>
      <vt:lpstr>作業用 (人事異動集計用)</vt:lpstr>
      <vt:lpstr>作業用 (中計決算50社)</vt:lpstr>
      <vt:lpstr>ここから先は今後使用予定→</vt:lpstr>
      <vt:lpstr>Jpit請求書(FB件数)</vt:lpstr>
      <vt:lpstr>Jpit請求書累積件数グラフ</vt:lpstr>
      <vt:lpstr>Update History</vt:lpstr>
      <vt:lpstr>→ここから先は使用しない</vt:lpstr>
      <vt:lpstr>myTE 累積棒グラフ(2023年9月～2024年3月)</vt:lpstr>
      <vt:lpstr>I&amp;D 累積棒グラフ(2023年9月～2024年3月)</vt:lpstr>
      <vt:lpstr>人事異動・組織改編累積件数グラフ(2024年1月～3月)</vt:lpstr>
      <vt:lpstr>服部案 (myTE202401-202403)</vt:lpstr>
      <vt:lpstr>服部案 (myTE02309-202312)</vt:lpstr>
      <vt:lpstr>I&amp;D 202401-202403</vt:lpstr>
      <vt:lpstr>I&amp;D202309-202312 </vt:lpstr>
      <vt:lpstr>人事異動 202404-</vt:lpstr>
      <vt:lpstr>人事異動 202401-202402</vt:lpstr>
      <vt:lpstr>人事異動FB率 202401-202402</vt:lpstr>
      <vt:lpstr>大竹案 (2)</vt:lpstr>
      <vt:lpstr>服部案</vt:lpstr>
      <vt:lpstr>服部案(FB推移グラフ)</vt:lpstr>
      <vt:lpstr>人事異動・組織改編累FB率グラフ</vt:lpstr>
      <vt:lpstr>myTE　グラフテスト</vt:lpstr>
      <vt:lpstr>メンバー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Muramatsu, Takashi</dc:creator>
  <cp:keywords/>
  <dc:description/>
  <cp:lastModifiedBy>Hattori, Takao</cp:lastModifiedBy>
  <cp:revision/>
  <dcterms:created xsi:type="dcterms:W3CDTF">2024-02-16T05:22:46Z</dcterms:created>
  <dcterms:modified xsi:type="dcterms:W3CDTF">2024-10-21T06:45:14Z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0x0101001DAB853DD870D241A4AD093F3B1FE9E5</vt:lpwstr>
  </property>
  <property fmtid="{D5CDD505-2E9C-101B-9397-08002B2CF9AE}" pid="3" name="MediaServiceImageTags">
    <vt:lpwstr/>
  </property>
</Properties>
</file>