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VBA\"/>
    </mc:Choice>
  </mc:AlternateContent>
  <xr:revisionPtr revIDLastSave="0" documentId="13_ncr:1_{B8590C2D-7538-44B6-A4E6-1B399358044B}" xr6:coauthVersionLast="47" xr6:coauthVersionMax="47" xr10:uidLastSave="{00000000-0000-0000-0000-000000000000}"/>
  <bookViews>
    <workbookView xWindow="-120" yWindow="-120" windowWidth="20730" windowHeight="11040" activeTab="1" xr2:uid="{9016FA0A-90BB-4A87-B9E7-340F5A0A0CFF}"/>
  </bookViews>
  <sheets>
    <sheet name="課題" sheetId="1" r:id="rId1"/>
    <sheet name="マクロフォーム" sheetId="3" r:id="rId2"/>
    <sheet name="data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0" i="2" l="1"/>
  <c r="H20" i="2"/>
  <c r="I19" i="2"/>
  <c r="H19" i="2"/>
  <c r="I18" i="2"/>
  <c r="H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I3" i="2"/>
  <c r="H3" i="2"/>
</calcChain>
</file>

<file path=xl/sharedStrings.xml><?xml version="1.0" encoding="utf-8"?>
<sst xmlns="http://schemas.openxmlformats.org/spreadsheetml/2006/main" count="32" uniqueCount="32">
  <si>
    <t>国語</t>
    <rPh sb="0" eb="2">
      <t>コクゴ</t>
    </rPh>
    <phoneticPr fontId="1"/>
  </si>
  <si>
    <t>数学</t>
    <rPh sb="0" eb="2">
      <t>スウガク</t>
    </rPh>
    <phoneticPr fontId="1"/>
  </si>
  <si>
    <t>英語</t>
    <rPh sb="0" eb="2">
      <t>エイゴ</t>
    </rPh>
    <phoneticPr fontId="1"/>
  </si>
  <si>
    <t>理科</t>
    <rPh sb="0" eb="2">
      <t>リカ</t>
    </rPh>
    <phoneticPr fontId="1"/>
  </si>
  <si>
    <t>地歴公民</t>
    <rPh sb="0" eb="4">
      <t>チレキコウミン</t>
    </rPh>
    <phoneticPr fontId="1"/>
  </si>
  <si>
    <t>合計点</t>
    <rPh sb="0" eb="3">
      <t>ゴウケイテン</t>
    </rPh>
    <phoneticPr fontId="1"/>
  </si>
  <si>
    <t>氏名/科目</t>
    <rPh sb="0" eb="2">
      <t>シメイ</t>
    </rPh>
    <rPh sb="3" eb="5">
      <t>カモク</t>
    </rPh>
    <phoneticPr fontId="1"/>
  </si>
  <si>
    <t>総合順位</t>
    <rPh sb="0" eb="2">
      <t>ソウゴウ</t>
    </rPh>
    <rPh sb="2" eb="4">
      <t>ジュンイ</t>
    </rPh>
    <phoneticPr fontId="1"/>
  </si>
  <si>
    <t>語学合計点</t>
    <rPh sb="0" eb="2">
      <t>ゴガク</t>
    </rPh>
    <rPh sb="2" eb="5">
      <t>ゴウケイテン</t>
    </rPh>
    <phoneticPr fontId="1"/>
  </si>
  <si>
    <t>語学順位</t>
    <rPh sb="0" eb="4">
      <t>ゴガクジュンイ</t>
    </rPh>
    <phoneticPr fontId="1"/>
  </si>
  <si>
    <t>課題①</t>
    <rPh sb="0" eb="3">
      <t>カダイ1</t>
    </rPh>
    <phoneticPr fontId="1"/>
  </si>
  <si>
    <t>dataシートに5教科の成績データの合計点と、語学(国語と英語)の合計点が記入されたデータがあります。</t>
    <rPh sb="9" eb="11">
      <t>キョウカ</t>
    </rPh>
    <rPh sb="12" eb="14">
      <t>セイセキ</t>
    </rPh>
    <rPh sb="18" eb="21">
      <t>ゴウケイテン</t>
    </rPh>
    <rPh sb="23" eb="25">
      <t>ゴガク</t>
    </rPh>
    <rPh sb="26" eb="28">
      <t>コクゴ</t>
    </rPh>
    <rPh sb="29" eb="31">
      <t>エイゴ</t>
    </rPh>
    <rPh sb="33" eb="36">
      <t>ゴウケイテン</t>
    </rPh>
    <rPh sb="37" eb="39">
      <t>キニュウ</t>
    </rPh>
    <phoneticPr fontId="1"/>
  </si>
  <si>
    <t>データの順位をセルに記入するマクロを作成してください。</t>
    <rPh sb="4" eb="6">
      <t>ジュンイ</t>
    </rPh>
    <rPh sb="10" eb="12">
      <t>キニュウ</t>
    </rPh>
    <rPh sb="18" eb="20">
      <t>サクセイ</t>
    </rPh>
    <phoneticPr fontId="1"/>
  </si>
  <si>
    <t>小川彩</t>
    <rPh sb="0" eb="3">
      <t>オガワアヤ</t>
    </rPh>
    <phoneticPr fontId="1"/>
  </si>
  <si>
    <t>岡本姫奈</t>
    <rPh sb="0" eb="3">
      <t>オカモトヒメ</t>
    </rPh>
    <rPh sb="3" eb="4">
      <t>ナ</t>
    </rPh>
    <phoneticPr fontId="1"/>
  </si>
  <si>
    <t>池田瑛紗</t>
    <rPh sb="0" eb="2">
      <t>イケダ</t>
    </rPh>
    <rPh sb="2" eb="3">
      <t>エイ</t>
    </rPh>
    <rPh sb="3" eb="4">
      <t>サ</t>
    </rPh>
    <phoneticPr fontId="1"/>
  </si>
  <si>
    <t>梅澤美波</t>
    <rPh sb="0" eb="4">
      <t>ウメザワミナミ</t>
    </rPh>
    <phoneticPr fontId="1"/>
  </si>
  <si>
    <t>岩本蓮加</t>
    <rPh sb="0" eb="2">
      <t>イワモト</t>
    </rPh>
    <rPh sb="2" eb="3">
      <t>レン</t>
    </rPh>
    <rPh sb="3" eb="4">
      <t>クワ</t>
    </rPh>
    <phoneticPr fontId="1"/>
  </si>
  <si>
    <t>柴田柚菜</t>
    <rPh sb="0" eb="2">
      <t>シバタ</t>
    </rPh>
    <rPh sb="2" eb="3">
      <t>ユズ</t>
    </rPh>
    <rPh sb="3" eb="4">
      <t>ナ</t>
    </rPh>
    <phoneticPr fontId="1"/>
  </si>
  <si>
    <t>井上和</t>
    <rPh sb="0" eb="2">
      <t>イノウエ</t>
    </rPh>
    <rPh sb="2" eb="3">
      <t>ワ</t>
    </rPh>
    <phoneticPr fontId="1"/>
  </si>
  <si>
    <t>五百城茉央</t>
    <rPh sb="0" eb="3">
      <t>ゴヒャクシロ</t>
    </rPh>
    <rPh sb="3" eb="5">
      <t>マオ</t>
    </rPh>
    <phoneticPr fontId="1"/>
  </si>
  <si>
    <t>一ノ瀬美空</t>
    <rPh sb="0" eb="1">
      <t>イチ</t>
    </rPh>
    <rPh sb="2" eb="3">
      <t>セ</t>
    </rPh>
    <rPh sb="3" eb="4">
      <t>ビ</t>
    </rPh>
    <rPh sb="4" eb="5">
      <t>ソラ</t>
    </rPh>
    <phoneticPr fontId="1"/>
  </si>
  <si>
    <t>川崎桜</t>
    <rPh sb="0" eb="2">
      <t>カワサキ</t>
    </rPh>
    <rPh sb="2" eb="3">
      <t>サクラ</t>
    </rPh>
    <phoneticPr fontId="1"/>
  </si>
  <si>
    <t>遠藤さくら</t>
    <rPh sb="0" eb="2">
      <t>エンドウ</t>
    </rPh>
    <phoneticPr fontId="1"/>
  </si>
  <si>
    <t>増田三莉音</t>
    <rPh sb="0" eb="2">
      <t>マスダ</t>
    </rPh>
    <rPh sb="2" eb="3">
      <t>サン</t>
    </rPh>
    <rPh sb="3" eb="4">
      <t>リ</t>
    </rPh>
    <rPh sb="4" eb="5">
      <t>オト</t>
    </rPh>
    <phoneticPr fontId="1"/>
  </si>
  <si>
    <t>瀬戸口心月</t>
    <rPh sb="0" eb="3">
      <t>セトグチ</t>
    </rPh>
    <rPh sb="3" eb="4">
      <t>ココロ</t>
    </rPh>
    <rPh sb="4" eb="5">
      <t>ツキ</t>
    </rPh>
    <phoneticPr fontId="1"/>
  </si>
  <si>
    <t>久保史緒里</t>
    <rPh sb="0" eb="2">
      <t>クボ</t>
    </rPh>
    <rPh sb="2" eb="3">
      <t>シ</t>
    </rPh>
    <rPh sb="3" eb="4">
      <t>オ</t>
    </rPh>
    <rPh sb="4" eb="5">
      <t>サト</t>
    </rPh>
    <phoneticPr fontId="1"/>
  </si>
  <si>
    <t>筒井あやめ</t>
    <rPh sb="0" eb="2">
      <t>ツツイ</t>
    </rPh>
    <phoneticPr fontId="1"/>
  </si>
  <si>
    <t>マクロフォーム</t>
    <phoneticPr fontId="1"/>
  </si>
  <si>
    <t>小林由依</t>
    <rPh sb="0" eb="2">
      <t>コバヤシ</t>
    </rPh>
    <rPh sb="2" eb="4">
      <t>ユイ</t>
    </rPh>
    <phoneticPr fontId="1"/>
  </si>
  <si>
    <t>和田まあや</t>
    <rPh sb="0" eb="2">
      <t>ワダ</t>
    </rPh>
    <phoneticPr fontId="1"/>
  </si>
  <si>
    <t>髙橋未来虹</t>
    <rPh sb="0" eb="2">
      <t>タカハシ</t>
    </rPh>
    <rPh sb="2" eb="4">
      <t>ミライ</t>
    </rPh>
    <rPh sb="4" eb="5">
      <t>ニジ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</si>
</sst>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5</xdr:row>
      <xdr:rowOff>19050</xdr:rowOff>
    </xdr:from>
    <xdr:to>
      <xdr:col>4</xdr:col>
      <xdr:colOff>0</xdr:colOff>
      <xdr:row>7</xdr:row>
      <xdr:rowOff>190500</xdr:rowOff>
    </xdr:to>
    <xdr:sp macro="[0]!main" textlink="">
      <xdr:nvSpPr>
        <xdr:cNvPr id="2" name="正方形/長方形 1">
          <a:extLst>
            <a:ext uri="{FF2B5EF4-FFF2-40B4-BE49-F238E27FC236}">
              <a16:creationId xmlns:a16="http://schemas.microsoft.com/office/drawing/2014/main" id="{27D4140B-EE8D-4CA2-933A-151D0AE6F1E1}"/>
            </a:ext>
          </a:extLst>
        </xdr:cNvPr>
        <xdr:cNvSpPr/>
      </xdr:nvSpPr>
      <xdr:spPr>
        <a:xfrm>
          <a:off x="666750" y="1390650"/>
          <a:ext cx="1974850" cy="628650"/>
        </a:xfrm>
        <a:prstGeom prst="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成績順位集計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4415D-2430-4411-945C-444C037F531F}">
  <sheetPr codeName="Sheet1"/>
  <dimension ref="B3:B5"/>
  <sheetViews>
    <sheetView workbookViewId="0">
      <selection activeCell="A15" sqref="A15"/>
    </sheetView>
  </sheetViews>
  <sheetFormatPr defaultRowHeight="18.75" x14ac:dyDescent="0.4"/>
  <sheetData>
    <row r="3" spans="2:2" ht="19.5" x14ac:dyDescent="0.4">
      <c r="B3" s="5" t="s">
        <v>10</v>
      </c>
    </row>
    <row r="4" spans="2:2" x14ac:dyDescent="0.4">
      <c r="B4" t="s">
        <v>11</v>
      </c>
    </row>
    <row r="5" spans="2:2" x14ac:dyDescent="0.4">
      <c r="B5" t="s">
        <v>12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54710-C188-4EBA-9D20-A59C782B99A1}">
  <sheetPr codeName="Sheet3"/>
  <dimension ref="B3:B6"/>
  <sheetViews>
    <sheetView tabSelected="1" workbookViewId="0">
      <selection activeCell="B11" sqref="B11"/>
    </sheetView>
  </sheetViews>
  <sheetFormatPr defaultRowHeight="18.75" x14ac:dyDescent="0.4"/>
  <sheetData>
    <row r="3" spans="2:2" x14ac:dyDescent="0.4">
      <c r="B3" s="6" t="s">
        <v>28</v>
      </c>
    </row>
    <row r="6" spans="2:2" x14ac:dyDescent="0.4">
      <c r="B6" s="6"/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8BBA2-A318-4406-A846-98947A0D2150}">
  <sheetPr codeName="Sheet2"/>
  <dimension ref="B2:K20"/>
  <sheetViews>
    <sheetView zoomScale="80" zoomScaleNormal="80" workbookViewId="0">
      <selection activeCell="Q16" sqref="Q16"/>
    </sheetView>
  </sheetViews>
  <sheetFormatPr defaultRowHeight="18.75" x14ac:dyDescent="0.4"/>
  <cols>
    <col min="2" max="2" width="10.375" bestFit="1" customWidth="1"/>
    <col min="8" max="8" width="10.375" bestFit="1" customWidth="1"/>
    <col min="10" max="11" width="8.5" bestFit="1" customWidth="1"/>
  </cols>
  <sheetData>
    <row r="2" spans="2:11" x14ac:dyDescent="0.4">
      <c r="B2" s="1" t="s">
        <v>6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3" t="s">
        <v>8</v>
      </c>
      <c r="I2" s="2" t="s">
        <v>5</v>
      </c>
      <c r="J2" s="4" t="s">
        <v>9</v>
      </c>
      <c r="K2" s="4" t="s">
        <v>7</v>
      </c>
    </row>
    <row r="3" spans="2:11" x14ac:dyDescent="0.4">
      <c r="B3" s="1" t="s">
        <v>13</v>
      </c>
      <c r="C3" s="1">
        <v>43</v>
      </c>
      <c r="D3" s="1">
        <v>38</v>
      </c>
      <c r="E3" s="1">
        <v>52</v>
      </c>
      <c r="F3" s="1">
        <v>49</v>
      </c>
      <c r="G3" s="1">
        <v>55</v>
      </c>
      <c r="H3" s="3">
        <f>C3+E3</f>
        <v>95</v>
      </c>
      <c r="I3" s="2">
        <f>SUM(C3:G3)</f>
        <v>237</v>
      </c>
      <c r="J3" s="4">
        <v>12</v>
      </c>
      <c r="K3" s="4">
        <v>12</v>
      </c>
    </row>
    <row r="4" spans="2:11" x14ac:dyDescent="0.4">
      <c r="B4" s="1" t="s">
        <v>14</v>
      </c>
      <c r="C4" s="1">
        <v>12</v>
      </c>
      <c r="D4" s="1">
        <v>5</v>
      </c>
      <c r="E4" s="1">
        <v>19</v>
      </c>
      <c r="F4" s="1">
        <v>8</v>
      </c>
      <c r="G4" s="1">
        <v>20</v>
      </c>
      <c r="H4" s="3">
        <f t="shared" ref="H4:H17" si="0">C4+E4</f>
        <v>31</v>
      </c>
      <c r="I4" s="2">
        <f t="shared" ref="I4:I17" si="1">SUM(C4:G4)</f>
        <v>64</v>
      </c>
      <c r="J4" s="4">
        <v>17</v>
      </c>
      <c r="K4" s="4">
        <v>17</v>
      </c>
    </row>
    <row r="5" spans="2:11" x14ac:dyDescent="0.4">
      <c r="B5" s="1" t="s">
        <v>15</v>
      </c>
      <c r="C5" s="1">
        <v>98</v>
      </c>
      <c r="D5" s="1">
        <v>87</v>
      </c>
      <c r="E5" s="1">
        <v>95</v>
      </c>
      <c r="F5" s="1">
        <v>88</v>
      </c>
      <c r="G5" s="1">
        <v>98</v>
      </c>
      <c r="H5" s="3">
        <f t="shared" si="0"/>
        <v>193</v>
      </c>
      <c r="I5" s="2">
        <f t="shared" si="1"/>
        <v>466</v>
      </c>
      <c r="J5" s="4">
        <v>1</v>
      </c>
      <c r="K5" s="4">
        <v>1</v>
      </c>
    </row>
    <row r="6" spans="2:11" x14ac:dyDescent="0.4">
      <c r="B6" s="1" t="s">
        <v>16</v>
      </c>
      <c r="C6" s="1">
        <v>25</v>
      </c>
      <c r="D6" s="1">
        <v>34</v>
      </c>
      <c r="E6" s="1">
        <v>32</v>
      </c>
      <c r="F6" s="1">
        <v>29</v>
      </c>
      <c r="G6" s="1">
        <v>38</v>
      </c>
      <c r="H6" s="3">
        <f t="shared" si="0"/>
        <v>57</v>
      </c>
      <c r="I6" s="2">
        <f t="shared" si="1"/>
        <v>158</v>
      </c>
      <c r="J6" s="4">
        <v>15</v>
      </c>
      <c r="K6" s="4">
        <v>15</v>
      </c>
    </row>
    <row r="7" spans="2:11" x14ac:dyDescent="0.4">
      <c r="B7" s="1" t="s">
        <v>17</v>
      </c>
      <c r="C7" s="1">
        <v>14</v>
      </c>
      <c r="D7" s="1">
        <v>18</v>
      </c>
      <c r="E7" s="1">
        <v>21</v>
      </c>
      <c r="F7" s="1">
        <v>18</v>
      </c>
      <c r="G7" s="1">
        <v>22</v>
      </c>
      <c r="H7" s="3">
        <f t="shared" si="0"/>
        <v>35</v>
      </c>
      <c r="I7" s="2">
        <f t="shared" si="1"/>
        <v>93</v>
      </c>
      <c r="J7" s="4">
        <v>16</v>
      </c>
      <c r="K7" s="4">
        <v>16</v>
      </c>
    </row>
    <row r="8" spans="2:11" x14ac:dyDescent="0.4">
      <c r="B8" s="1" t="s">
        <v>18</v>
      </c>
      <c r="C8" s="1">
        <v>50</v>
      </c>
      <c r="D8" s="1">
        <v>55</v>
      </c>
      <c r="E8" s="1">
        <v>54</v>
      </c>
      <c r="F8" s="1">
        <v>61</v>
      </c>
      <c r="G8" s="1">
        <v>60</v>
      </c>
      <c r="H8" s="3">
        <f t="shared" si="0"/>
        <v>104</v>
      </c>
      <c r="I8" s="2">
        <f t="shared" si="1"/>
        <v>280</v>
      </c>
      <c r="J8" s="4">
        <v>11</v>
      </c>
      <c r="K8" s="4">
        <v>10</v>
      </c>
    </row>
    <row r="9" spans="2:11" x14ac:dyDescent="0.4">
      <c r="B9" s="1" t="s">
        <v>19</v>
      </c>
      <c r="C9" s="1">
        <v>55</v>
      </c>
      <c r="D9" s="1">
        <v>72</v>
      </c>
      <c r="E9" s="1">
        <v>78</v>
      </c>
      <c r="F9" s="1">
        <v>58</v>
      </c>
      <c r="G9" s="1">
        <v>68</v>
      </c>
      <c r="H9" s="3">
        <f t="shared" si="0"/>
        <v>133</v>
      </c>
      <c r="I9" s="2">
        <f t="shared" si="1"/>
        <v>331</v>
      </c>
      <c r="J9" s="4">
        <v>8</v>
      </c>
      <c r="K9" s="4">
        <v>9</v>
      </c>
    </row>
    <row r="10" spans="2:11" x14ac:dyDescent="0.4">
      <c r="B10" s="1" t="s">
        <v>20</v>
      </c>
      <c r="C10" s="1">
        <v>65</v>
      </c>
      <c r="D10" s="1">
        <v>61</v>
      </c>
      <c r="E10" s="1">
        <v>71</v>
      </c>
      <c r="F10" s="1">
        <v>67</v>
      </c>
      <c r="G10" s="1">
        <v>70</v>
      </c>
      <c r="H10" s="3">
        <f t="shared" si="0"/>
        <v>136</v>
      </c>
      <c r="I10" s="2">
        <f t="shared" si="1"/>
        <v>334</v>
      </c>
      <c r="J10" s="4">
        <v>7</v>
      </c>
      <c r="K10" s="4">
        <v>7</v>
      </c>
    </row>
    <row r="11" spans="2:11" x14ac:dyDescent="0.4">
      <c r="B11" s="1" t="s">
        <v>21</v>
      </c>
      <c r="C11" s="1">
        <v>78</v>
      </c>
      <c r="D11" s="1">
        <v>74</v>
      </c>
      <c r="E11" s="1">
        <v>80</v>
      </c>
      <c r="F11" s="1">
        <v>71</v>
      </c>
      <c r="G11" s="1">
        <v>77</v>
      </c>
      <c r="H11" s="3">
        <f t="shared" si="0"/>
        <v>158</v>
      </c>
      <c r="I11" s="2">
        <f t="shared" si="1"/>
        <v>380</v>
      </c>
      <c r="J11" s="4">
        <v>2</v>
      </c>
      <c r="K11" s="4">
        <v>2</v>
      </c>
    </row>
    <row r="12" spans="2:11" x14ac:dyDescent="0.4">
      <c r="B12" s="1" t="s">
        <v>22</v>
      </c>
      <c r="C12" s="1">
        <v>67</v>
      </c>
      <c r="D12" s="1">
        <v>65</v>
      </c>
      <c r="E12" s="1">
        <v>61</v>
      </c>
      <c r="F12" s="1">
        <v>72</v>
      </c>
      <c r="G12" s="1">
        <v>68</v>
      </c>
      <c r="H12" s="3">
        <f t="shared" si="0"/>
        <v>128</v>
      </c>
      <c r="I12" s="2">
        <f t="shared" si="1"/>
        <v>333</v>
      </c>
      <c r="J12" s="4">
        <v>9</v>
      </c>
      <c r="K12" s="4">
        <v>8</v>
      </c>
    </row>
    <row r="13" spans="2:11" x14ac:dyDescent="0.4">
      <c r="B13" s="1" t="s">
        <v>23</v>
      </c>
      <c r="C13" s="1">
        <v>43</v>
      </c>
      <c r="D13" s="1">
        <v>38</v>
      </c>
      <c r="E13" s="1">
        <v>50</v>
      </c>
      <c r="F13" s="1">
        <v>47</v>
      </c>
      <c r="G13" s="1">
        <v>48</v>
      </c>
      <c r="H13" s="3">
        <f t="shared" si="0"/>
        <v>93</v>
      </c>
      <c r="I13" s="2">
        <f t="shared" si="1"/>
        <v>226</v>
      </c>
      <c r="J13" s="4">
        <v>13</v>
      </c>
      <c r="K13" s="4">
        <v>13</v>
      </c>
    </row>
    <row r="14" spans="2:11" x14ac:dyDescent="0.4">
      <c r="B14" s="1" t="s">
        <v>24</v>
      </c>
      <c r="C14" s="1">
        <v>38</v>
      </c>
      <c r="D14" s="1">
        <v>41</v>
      </c>
      <c r="E14" s="1">
        <v>44</v>
      </c>
      <c r="F14" s="1">
        <v>42</v>
      </c>
      <c r="G14" s="1">
        <v>39</v>
      </c>
      <c r="H14" s="3">
        <f t="shared" si="0"/>
        <v>82</v>
      </c>
      <c r="I14" s="2">
        <f t="shared" si="1"/>
        <v>204</v>
      </c>
      <c r="J14" s="4">
        <v>14</v>
      </c>
      <c r="K14" s="4">
        <v>14</v>
      </c>
    </row>
    <row r="15" spans="2:11" x14ac:dyDescent="0.4">
      <c r="B15" s="1" t="s">
        <v>25</v>
      </c>
      <c r="C15" s="1">
        <v>79</v>
      </c>
      <c r="D15" s="1">
        <v>68</v>
      </c>
      <c r="E15" s="1">
        <v>65</v>
      </c>
      <c r="F15" s="1">
        <v>71</v>
      </c>
      <c r="G15" s="1">
        <v>69</v>
      </c>
      <c r="H15" s="3">
        <f t="shared" si="0"/>
        <v>144</v>
      </c>
      <c r="I15" s="2">
        <f t="shared" si="1"/>
        <v>352</v>
      </c>
      <c r="J15" s="4">
        <v>5</v>
      </c>
      <c r="K15" s="4">
        <v>5</v>
      </c>
    </row>
    <row r="16" spans="2:11" x14ac:dyDescent="0.4">
      <c r="B16" s="1" t="s">
        <v>26</v>
      </c>
      <c r="C16" s="1">
        <v>76</v>
      </c>
      <c r="D16" s="1">
        <v>72</v>
      </c>
      <c r="E16" s="1">
        <v>75</v>
      </c>
      <c r="F16" s="1">
        <v>64</v>
      </c>
      <c r="G16" s="1">
        <v>80</v>
      </c>
      <c r="H16" s="3">
        <f t="shared" si="0"/>
        <v>151</v>
      </c>
      <c r="I16" s="2">
        <f t="shared" si="1"/>
        <v>367</v>
      </c>
      <c r="J16" s="4">
        <v>3</v>
      </c>
      <c r="K16" s="4">
        <v>3</v>
      </c>
    </row>
    <row r="17" spans="2:11" x14ac:dyDescent="0.4">
      <c r="B17" s="1" t="s">
        <v>27</v>
      </c>
      <c r="C17" s="1">
        <v>68</v>
      </c>
      <c r="D17" s="1">
        <v>65</v>
      </c>
      <c r="E17" s="1">
        <v>80</v>
      </c>
      <c r="F17" s="1">
        <v>72</v>
      </c>
      <c r="G17" s="1">
        <v>74</v>
      </c>
      <c r="H17" s="3">
        <f t="shared" si="0"/>
        <v>148</v>
      </c>
      <c r="I17" s="2">
        <f t="shared" si="1"/>
        <v>359</v>
      </c>
      <c r="J17" s="4">
        <v>4</v>
      </c>
      <c r="K17" s="4">
        <v>4</v>
      </c>
    </row>
    <row r="18" spans="2:11" x14ac:dyDescent="0.4">
      <c r="B18" s="1" t="s">
        <v>29</v>
      </c>
      <c r="C18" s="1">
        <v>56</v>
      </c>
      <c r="D18" s="1">
        <v>48</v>
      </c>
      <c r="E18" s="1">
        <v>60</v>
      </c>
      <c r="F18" s="1">
        <v>50</v>
      </c>
      <c r="G18" s="1">
        <v>56</v>
      </c>
      <c r="H18" s="3">
        <f t="shared" ref="H18:H20" si="2">C18+E18</f>
        <v>116</v>
      </c>
      <c r="I18" s="2">
        <f t="shared" ref="I18:I20" si="3">SUM(C18:G18)</f>
        <v>270</v>
      </c>
      <c r="J18" s="4">
        <v>10</v>
      </c>
      <c r="K18" s="4">
        <v>11</v>
      </c>
    </row>
    <row r="19" spans="2:11" x14ac:dyDescent="0.4">
      <c r="B19" s="1" t="s">
        <v>30</v>
      </c>
      <c r="C19" s="1">
        <v>6</v>
      </c>
      <c r="D19" s="1">
        <v>4</v>
      </c>
      <c r="E19" s="1">
        <v>16</v>
      </c>
      <c r="F19" s="1">
        <v>8</v>
      </c>
      <c r="G19" s="1">
        <v>10</v>
      </c>
      <c r="H19" s="3">
        <f t="shared" si="2"/>
        <v>22</v>
      </c>
      <c r="I19" s="2">
        <f t="shared" si="3"/>
        <v>44</v>
      </c>
      <c r="J19" s="4">
        <v>18</v>
      </c>
      <c r="K19" s="4">
        <v>18</v>
      </c>
    </row>
    <row r="20" spans="2:11" x14ac:dyDescent="0.4">
      <c r="B20" s="1" t="s">
        <v>31</v>
      </c>
      <c r="C20" s="1">
        <v>67</v>
      </c>
      <c r="D20" s="1">
        <v>80</v>
      </c>
      <c r="E20" s="1">
        <v>76</v>
      </c>
      <c r="F20" s="1">
        <v>54</v>
      </c>
      <c r="G20" s="1">
        <v>65</v>
      </c>
      <c r="H20" s="3">
        <f t="shared" si="2"/>
        <v>143</v>
      </c>
      <c r="I20" s="2">
        <f t="shared" si="3"/>
        <v>342</v>
      </c>
      <c r="J20" s="4">
        <v>6</v>
      </c>
      <c r="K20" s="4">
        <v>6</v>
      </c>
    </row>
  </sheetData>
  <phoneticPr fontId="1"/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課題</vt:lpstr>
      <vt:lpstr>マクロフォーム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Takao</cp:lastModifiedBy>
  <dcterms:created xsi:type="dcterms:W3CDTF">2025-07-28T00:51:34Z</dcterms:created>
  <dcterms:modified xsi:type="dcterms:W3CDTF">2025-09-17T12:49:44Z</dcterms:modified>
</cp:coreProperties>
</file>